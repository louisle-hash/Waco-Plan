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me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ouisle/Downloads/"/>
    </mc:Choice>
  </mc:AlternateContent>
  <xr:revisionPtr revIDLastSave="0" documentId="8_{DE0E507E-A5AB-3141-ABC8-BAB9C906A50D}" xr6:coauthVersionLast="47" xr6:coauthVersionMax="47" xr10:uidLastSave="{00000000-0000-0000-0000-000000000000}"/>
  <bookViews>
    <workbookView xWindow="0" yWindow="880" windowWidth="34200" windowHeight="20380" firstSheet="34" activeTab="34" xr2:uid="{00000000-000D-0000-FFFF-FFFF00000000}"/>
  </bookViews>
  <sheets>
    <sheet name="DIAMOND" sheetId="82" r:id="rId1"/>
    <sheet name="CODE_PRICE" sheetId="9" r:id="rId2"/>
    <sheet name="CODE_MASTER_AS" sheetId="8" r:id="rId3"/>
    <sheet name="SIZE GUIDE" sheetId="3" r:id="rId4"/>
    <sheet name="STERLING-W25-01" sheetId="109" r:id="rId5"/>
    <sheet name="DICKSON-W25_02" sheetId="108" r:id="rId6"/>
    <sheet name="COSICANA-TX0121-033" sheetId="107" r:id="rId7"/>
    <sheet name="COSICANA-TX0121-032" sheetId="106" r:id="rId8"/>
    <sheet name="STERLING-W25-02" sheetId="110" r:id="rId9"/>
    <sheet name="SIMON BEDDING-TR-W25-01" sheetId="111" r:id="rId10"/>
    <sheet name="DICKSON-W26_01" sheetId="112" r:id="rId11"/>
    <sheet name="STERLING-W26-01" sheetId="113" r:id="rId12"/>
    <sheet name="DICKSON-W26_02" sheetId="114" r:id="rId13"/>
    <sheet name="COSICANA-TX0121-034" sheetId="115" r:id="rId14"/>
    <sheet name="COSICANA-TX0121-035" sheetId="116" r:id="rId15"/>
    <sheet name="DICKSON-W26_03" sheetId="117" r:id="rId16"/>
    <sheet name="STERLING-W26-02" sheetId="118" r:id="rId17"/>
    <sheet name="STERLING-W27-01" sheetId="121" r:id="rId18"/>
    <sheet name="COSICANA-TX0121-036" sheetId="122" r:id="rId19"/>
    <sheet name="COSICANA-TX0121-037" sheetId="123" r:id="rId20"/>
    <sheet name="DIAMOND-SAMPLE" sheetId="124" r:id="rId21"/>
    <sheet name="STERLING-W28-01" sheetId="125" r:id="rId22"/>
    <sheet name="AP-W28" sheetId="127" r:id="rId23"/>
    <sheet name="DICKSON-W28_01" sheetId="128" r:id="rId24"/>
    <sheet name="COSICANA-TX0121-038" sheetId="126" r:id="rId25"/>
    <sheet name="COSICANA-TX0121-039" sheetId="129" r:id="rId26"/>
    <sheet name="STERLING-W28-02" sheetId="130" r:id="rId27"/>
    <sheet name="COSICANA-TX0121-040" sheetId="131" r:id="rId28"/>
    <sheet name="STERLING-W29-01" sheetId="132" r:id="rId29"/>
    <sheet name="DICKSON-W29_01" sheetId="133" r:id="rId30"/>
    <sheet name="STERLING-W29-02" sheetId="134" r:id="rId31"/>
    <sheet name="COSICANA-TX0121-041" sheetId="135" r:id="rId32"/>
    <sheet name="SOUTHWESTERN" sheetId="136" r:id="rId33"/>
    <sheet name="SIMON BEDDING_W20-01" sheetId="137" r:id="rId34"/>
    <sheet name="COSICANA-TX0121-042" sheetId="138" r:id="rId35"/>
    <sheet name="PRODUCT_DB" sheetId="4" state="hidden" r:id="rId36"/>
    <sheet name="SIZE_DB" sheetId="5" state="hidden" r:id="rId37"/>
    <sheet name="LISTS" sheetId="6" state="hidden" r:id="rId38"/>
  </sheets>
  <externalReferences>
    <externalReference r:id="rId39"/>
  </externalReferences>
  <definedNames>
    <definedName name="_xlnm._FilterDatabase" localSheetId="22" hidden="1">'AP-W28'!$A$14:$X$36</definedName>
    <definedName name="_xlnm._FilterDatabase" localSheetId="1" hidden="1">CODE_PRICE!$A$2:$AB$209</definedName>
    <definedName name="_xlpm.r" hidden="1" xlm="1">#NAME?</definedName>
    <definedName name="_xlnm.Print_Area" localSheetId="22">'AP-W28'!$A$1:$X$52</definedName>
    <definedName name="_xlnm.Print_Area" localSheetId="7">'COSICANA-TX0121-032'!$A$1:$X$52</definedName>
    <definedName name="_xlnm.Print_Area" localSheetId="6">'COSICANA-TX0121-033'!$A$1:$X$52</definedName>
    <definedName name="_xlnm.Print_Area" localSheetId="13">'COSICANA-TX0121-034'!$A$1:$X$52</definedName>
    <definedName name="_xlnm.Print_Area" localSheetId="14">'COSICANA-TX0121-035'!$A$1:$X$52</definedName>
    <definedName name="_xlnm.Print_Area" localSheetId="18">'COSICANA-TX0121-036'!$A$1:$X$51</definedName>
    <definedName name="_xlnm.Print_Area" localSheetId="19">'COSICANA-TX0121-037'!$A$1:$X$52</definedName>
    <definedName name="_xlnm.Print_Area" localSheetId="24">'COSICANA-TX0121-038'!$A$1:$X$52</definedName>
    <definedName name="_xlnm.Print_Area" localSheetId="25">'COSICANA-TX0121-039'!$A$1:$X$52</definedName>
    <definedName name="_xlnm.Print_Area" localSheetId="27">'COSICANA-TX0121-040'!$A$1:$AA$52</definedName>
    <definedName name="_xlnm.Print_Area" localSheetId="31">'COSICANA-TX0121-041'!$A$1:$X$52</definedName>
    <definedName name="_xlnm.Print_Area" localSheetId="34">'COSICANA-TX0121-042'!$A$1:$X$52</definedName>
    <definedName name="_xlnm.Print_Area" localSheetId="0">DIAMOND!$A$1:$Y$54</definedName>
    <definedName name="_xlnm.Print_Area" localSheetId="20">'DIAMOND-SAMPLE'!$A$1:$Y$54</definedName>
    <definedName name="_xlnm.Print_Area" localSheetId="5">'DICKSON-W25_02'!$A$1:$X$60</definedName>
    <definedName name="_xlnm.Print_Area" localSheetId="10">'DICKSON-W26_01'!$A$1:$Y$60</definedName>
    <definedName name="_xlnm.Print_Area" localSheetId="12">'DICKSON-W26_02'!$A$1:$Y$60</definedName>
    <definedName name="_xlnm.Print_Area" localSheetId="15">'DICKSON-W26_03'!$A$1:$Y$60</definedName>
    <definedName name="_xlnm.Print_Area" localSheetId="23">'DICKSON-W28_01'!$A$1:$Y$60</definedName>
    <definedName name="_xlnm.Print_Area" localSheetId="29">'DICKSON-W29_01'!$A$1:$Y$60</definedName>
    <definedName name="_xlnm.Print_Area" localSheetId="33">'SIMON BEDDING_W20-01'!$A$1:$X$52</definedName>
    <definedName name="_xlnm.Print_Area" localSheetId="9">'SIMON BEDDING-TR-W25-01'!$A$1:$X$53</definedName>
    <definedName name="_xlnm.Print_Area" localSheetId="32">SOUTHWESTERN!$A$1:$X$52</definedName>
    <definedName name="_xlnm.Print_Area" localSheetId="4">'STERLING-W25-01'!$A$1:$V$60</definedName>
    <definedName name="_xlnm.Print_Area" localSheetId="8">'STERLING-W25-02'!$A$1:$V$60</definedName>
    <definedName name="_xlnm.Print_Area" localSheetId="11">'STERLING-W26-01'!$A$1:$V$60</definedName>
    <definedName name="_xlnm.Print_Area" localSheetId="16">'STERLING-W26-02'!$A$1:$V$60</definedName>
    <definedName name="_xlnm.Print_Area" localSheetId="17">'STERLING-W27-01'!$A$1:$V$39</definedName>
    <definedName name="_xlnm.Print_Area" localSheetId="21">'STERLING-W28-01'!$A$1:$V$39</definedName>
    <definedName name="_xlnm.Print_Area" localSheetId="28">'STERLING-W29-01'!$A$1:$X$36</definedName>
    <definedName name="_xlnm.Print_Area" localSheetId="30">'STERLING-W29-02'!$A$1:$X$37</definedName>
    <definedName name="_xlnm.Print_Titles" localSheetId="22">'AP-W28'!$14:$14</definedName>
    <definedName name="_xlnm.Print_Titles" localSheetId="7">'COSICANA-TX0121-032'!$14:$14</definedName>
    <definedName name="_xlnm.Print_Titles" localSheetId="6">'COSICANA-TX0121-033'!$14:$14</definedName>
    <definedName name="_xlnm.Print_Titles" localSheetId="13">'COSICANA-TX0121-034'!$14:$14</definedName>
    <definedName name="_xlnm.Print_Titles" localSheetId="14">'COSICANA-TX0121-035'!$14:$14</definedName>
    <definedName name="_xlnm.Print_Titles" localSheetId="18">'COSICANA-TX0121-036'!$14:$14</definedName>
    <definedName name="_xlnm.Print_Titles" localSheetId="19">'COSICANA-TX0121-037'!$14:$14</definedName>
    <definedName name="_xlnm.Print_Titles" localSheetId="24">'COSICANA-TX0121-038'!$14:$14</definedName>
    <definedName name="_xlnm.Print_Titles" localSheetId="25">'COSICANA-TX0121-039'!$14:$14</definedName>
    <definedName name="_xlnm.Print_Titles" localSheetId="27">'COSICANA-TX0121-040'!$14:$14</definedName>
    <definedName name="_xlnm.Print_Titles" localSheetId="31">'COSICANA-TX0121-041'!$14:$14</definedName>
    <definedName name="_xlnm.Print_Titles" localSheetId="34">'COSICANA-TX0121-042'!$14:$14</definedName>
    <definedName name="_xlnm.Print_Titles" localSheetId="0">DIAMOND!$14:$14</definedName>
    <definedName name="_xlnm.Print_Titles" localSheetId="20">'DIAMOND-SAMPLE'!$14:$14</definedName>
    <definedName name="_xlnm.Print_Titles" localSheetId="5">'DICKSON-W25_02'!$16:$16</definedName>
    <definedName name="_xlnm.Print_Titles" localSheetId="10">'DICKSON-W26_01'!$16:$16</definedName>
    <definedName name="_xlnm.Print_Titles" localSheetId="12">'DICKSON-W26_02'!$16:$16</definedName>
    <definedName name="_xlnm.Print_Titles" localSheetId="15">'DICKSON-W26_03'!$16:$16</definedName>
    <definedName name="_xlnm.Print_Titles" localSheetId="23">'DICKSON-W28_01'!$16:$16</definedName>
    <definedName name="_xlnm.Print_Titles" localSheetId="29">'DICKSON-W29_01'!$16:$16</definedName>
    <definedName name="_xlnm.Print_Titles" localSheetId="33">'SIMON BEDDING_W20-01'!$14:$14</definedName>
    <definedName name="_xlnm.Print_Titles" localSheetId="9">'SIMON BEDDING-TR-W25-01'!$14:$14</definedName>
    <definedName name="_xlnm.Print_Titles" localSheetId="32">SOUTHWESTERN!$14:$14</definedName>
    <definedName name="_xlnm.Print_Titles" localSheetId="4">'STERLING-W25-01'!$14:$14</definedName>
    <definedName name="_xlnm.Print_Titles" localSheetId="8">'STERLING-W25-02'!$14:$14</definedName>
    <definedName name="_xlnm.Print_Titles" localSheetId="11">'STERLING-W26-01'!$14:$14</definedName>
    <definedName name="_xlnm.Print_Titles" localSheetId="16">'STERLING-W26-02'!$14:$14</definedName>
    <definedName name="_xlnm.Print_Titles" localSheetId="17">'STERLING-W27-01'!$14:$14</definedName>
    <definedName name="_xlnm.Print_Titles" localSheetId="21">'STERLING-W28-01'!$14:$14</definedName>
    <definedName name="_xlnm.Print_Titles" localSheetId="26">'STERLING-W28-02'!$14:$14</definedName>
    <definedName name="_xlnm.Print_Titles" localSheetId="28">'STERLING-W29-01'!$14:$14</definedName>
    <definedName name="_xlnm.Print_Titles" localSheetId="30">'STERLING-W29-02'!$14:$14</definedName>
    <definedName name="table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" i="138" l="1"/>
  <c r="G38" i="138"/>
  <c r="K38" i="138" a="1"/>
  <c r="L38" i="138" a="1"/>
  <c r="O38" i="138" a="1"/>
  <c r="Q38" i="138"/>
  <c r="R38" i="138"/>
  <c r="S38" i="138"/>
  <c r="T38" i="138"/>
  <c r="U38" i="138"/>
  <c r="V38" i="138"/>
  <c r="W38" i="138"/>
  <c r="X38" i="138"/>
  <c r="O37" i="138" a="1"/>
  <c r="A35" i="138"/>
  <c r="G35" i="138"/>
  <c r="K35" i="138" a="1"/>
  <c r="L35" i="138" a="1"/>
  <c r="O35" i="138" a="1"/>
  <c r="Q35" i="138"/>
  <c r="R35" i="138"/>
  <c r="S35" i="138"/>
  <c r="T35" i="138"/>
  <c r="U35" i="138"/>
  <c r="V35" i="138"/>
  <c r="W35" i="138"/>
  <c r="X35" i="138"/>
  <c r="A36" i="138"/>
  <c r="G36" i="138"/>
  <c r="K36" i="138" a="1"/>
  <c r="L36" i="138" a="1"/>
  <c r="O36" i="138" a="1"/>
  <c r="Q36" i="138"/>
  <c r="R36" i="138"/>
  <c r="S36" i="138"/>
  <c r="T36" i="138"/>
  <c r="U36" i="138"/>
  <c r="V36" i="138"/>
  <c r="W36" i="138"/>
  <c r="X36" i="138"/>
  <c r="A37" i="138"/>
  <c r="G37" i="138"/>
  <c r="K37" i="138" a="1"/>
  <c r="L37" i="138" a="1"/>
  <c r="Q37" i="138"/>
  <c r="R37" i="138"/>
  <c r="S37" i="138"/>
  <c r="T37" i="138"/>
  <c r="U37" i="138"/>
  <c r="V37" i="138"/>
  <c r="W37" i="138"/>
  <c r="X37" i="138"/>
  <c r="K29" i="138" a="1"/>
  <c r="L29" i="138" a="1"/>
  <c r="K30" i="138" a="1"/>
  <c r="L30" i="138" a="1"/>
  <c r="X19" i="138"/>
  <c r="A33" i="138"/>
  <c r="A34" i="138"/>
  <c r="G34" i="138"/>
  <c r="K34" i="138" a="1"/>
  <c r="L34" i="138" a="1"/>
  <c r="O34" i="138" a="1"/>
  <c r="Q34" i="138"/>
  <c r="R34" i="138"/>
  <c r="S34" i="138"/>
  <c r="T34" i="138"/>
  <c r="U34" i="138"/>
  <c r="V34" i="138"/>
  <c r="W34" i="138"/>
  <c r="X34" i="138"/>
  <c r="K15" i="138" a="1"/>
  <c r="Q15" i="138"/>
  <c r="L15" i="138" a="1"/>
  <c r="R15" i="138"/>
  <c r="S15" i="138"/>
  <c r="T15" i="138"/>
  <c r="U15" i="138"/>
  <c r="V15" i="138"/>
  <c r="K16" i="138" a="1"/>
  <c r="Q16" i="138"/>
  <c r="L16" i="138" a="1"/>
  <c r="R16" i="138"/>
  <c r="S16" i="138"/>
  <c r="T16" i="138"/>
  <c r="U16" i="138"/>
  <c r="V16" i="138"/>
  <c r="K17" i="138" a="1"/>
  <c r="Q17" i="138"/>
  <c r="L17" i="138" a="1"/>
  <c r="R17" i="138"/>
  <c r="S17" i="138"/>
  <c r="T17" i="138"/>
  <c r="U17" i="138"/>
  <c r="V17" i="138"/>
  <c r="K18" i="138" a="1"/>
  <c r="Q18" i="138"/>
  <c r="L18" i="138" a="1"/>
  <c r="R18" i="138"/>
  <c r="S18" i="138"/>
  <c r="T18" i="138"/>
  <c r="U18" i="138"/>
  <c r="V18" i="138"/>
  <c r="K19" i="138" a="1"/>
  <c r="Q19" i="138"/>
  <c r="L19" i="138" a="1"/>
  <c r="R19" i="138"/>
  <c r="S19" i="138"/>
  <c r="T19" i="138"/>
  <c r="U19" i="138"/>
  <c r="V19" i="138"/>
  <c r="K20" i="138" a="1"/>
  <c r="Q20" i="138"/>
  <c r="L20" i="138" a="1"/>
  <c r="R20" i="138"/>
  <c r="S20" i="138"/>
  <c r="T20" i="138"/>
  <c r="U20" i="138"/>
  <c r="V20" i="138"/>
  <c r="K33" i="138" a="1"/>
  <c r="Q33" i="138"/>
  <c r="L33" i="138" a="1"/>
  <c r="R33" i="138"/>
  <c r="S33" i="138"/>
  <c r="T33" i="138"/>
  <c r="U33" i="138"/>
  <c r="V33" i="138"/>
  <c r="K32" i="138" a="1"/>
  <c r="Q32" i="138"/>
  <c r="L32" i="138" a="1"/>
  <c r="R32" i="138"/>
  <c r="S32" i="138"/>
  <c r="T32" i="138"/>
  <c r="U32" i="138"/>
  <c r="V32" i="138"/>
  <c r="K31" i="138" a="1"/>
  <c r="Q31" i="138"/>
  <c r="L31" i="138" a="1"/>
  <c r="R31" i="138"/>
  <c r="S31" i="138"/>
  <c r="T31" i="138"/>
  <c r="U31" i="138"/>
  <c r="V31" i="138"/>
  <c r="Q30" i="138"/>
  <c r="R30" i="138"/>
  <c r="S30" i="138"/>
  <c r="T30" i="138"/>
  <c r="U30" i="138"/>
  <c r="V30" i="138"/>
  <c r="Q29" i="138"/>
  <c r="R29" i="138"/>
  <c r="S29" i="138"/>
  <c r="T29" i="138"/>
  <c r="U29" i="138"/>
  <c r="V29" i="138"/>
  <c r="K28" i="138" a="1"/>
  <c r="Q28" i="138"/>
  <c r="L28" i="138" a="1"/>
  <c r="R28" i="138"/>
  <c r="S28" i="138"/>
  <c r="T28" i="138"/>
  <c r="U28" i="138"/>
  <c r="V28" i="138"/>
  <c r="K27" i="138" a="1"/>
  <c r="Q27" i="138"/>
  <c r="L27" i="138" a="1"/>
  <c r="R27" i="138"/>
  <c r="S27" i="138"/>
  <c r="T27" i="138"/>
  <c r="U27" i="138"/>
  <c r="V27" i="138"/>
  <c r="K26" i="138" a="1"/>
  <c r="Q26" i="138"/>
  <c r="L26" i="138" a="1"/>
  <c r="R26" i="138"/>
  <c r="S26" i="138"/>
  <c r="T26" i="138"/>
  <c r="U26" i="138"/>
  <c r="V26" i="138"/>
  <c r="K25" i="138" a="1"/>
  <c r="Q25" i="138"/>
  <c r="L25" i="138" a="1"/>
  <c r="R25" i="138"/>
  <c r="S25" i="138"/>
  <c r="T25" i="138"/>
  <c r="U25" i="138"/>
  <c r="V25" i="138"/>
  <c r="K24" i="138" a="1"/>
  <c r="Q24" i="138"/>
  <c r="L24" i="138" a="1"/>
  <c r="R24" i="138"/>
  <c r="S24" i="138"/>
  <c r="T24" i="138"/>
  <c r="U24" i="138"/>
  <c r="V24" i="138"/>
  <c r="K23" i="138" a="1"/>
  <c r="Q23" i="138"/>
  <c r="L23" i="138" a="1"/>
  <c r="R23" i="138"/>
  <c r="S23" i="138"/>
  <c r="T23" i="138"/>
  <c r="U23" i="138"/>
  <c r="V23" i="138"/>
  <c r="K22" i="138" a="1"/>
  <c r="Q22" i="138"/>
  <c r="L22" i="138" a="1"/>
  <c r="R22" i="138"/>
  <c r="S22" i="138"/>
  <c r="T22" i="138"/>
  <c r="U22" i="138"/>
  <c r="V22" i="138"/>
  <c r="K21" i="138" a="1"/>
  <c r="Q21" i="138"/>
  <c r="L21" i="138" a="1"/>
  <c r="R21" i="138"/>
  <c r="S21" i="138"/>
  <c r="T21" i="138"/>
  <c r="U21" i="138"/>
  <c r="V21" i="138"/>
  <c r="V46" i="138"/>
  <c r="V48" i="138"/>
  <c r="T48" i="138"/>
  <c r="I48" i="138"/>
  <c r="T46" i="138"/>
  <c r="I46" i="138"/>
  <c r="X33" i="138"/>
  <c r="W33" i="138"/>
  <c r="O33" i="138" a="1"/>
  <c r="G33" i="138"/>
  <c r="A16" i="138"/>
  <c r="A17" i="138"/>
  <c r="A18" i="138"/>
  <c r="A19" i="138"/>
  <c r="A20" i="138"/>
  <c r="A21" i="138"/>
  <c r="A22" i="138"/>
  <c r="A23" i="138"/>
  <c r="A24" i="138"/>
  <c r="A25" i="138"/>
  <c r="A26" i="138"/>
  <c r="A27" i="138"/>
  <c r="A28" i="138"/>
  <c r="A29" i="138"/>
  <c r="A30" i="138"/>
  <c r="A31" i="138"/>
  <c r="A32" i="138"/>
  <c r="X32" i="138"/>
  <c r="W32" i="138"/>
  <c r="O32" i="138" a="1"/>
  <c r="G32" i="138"/>
  <c r="X31" i="138"/>
  <c r="W31" i="138"/>
  <c r="O31" i="138" a="1"/>
  <c r="G31" i="138"/>
  <c r="X30" i="138"/>
  <c r="W30" i="138"/>
  <c r="O30" i="138" a="1"/>
  <c r="G30" i="138"/>
  <c r="X29" i="138"/>
  <c r="W29" i="138"/>
  <c r="O29" i="138" a="1"/>
  <c r="G29" i="138"/>
  <c r="X28" i="138"/>
  <c r="W28" i="138"/>
  <c r="O28" i="138" a="1"/>
  <c r="G28" i="138"/>
  <c r="X27" i="138"/>
  <c r="W27" i="138"/>
  <c r="O27" i="138" a="1"/>
  <c r="G27" i="138"/>
  <c r="X26" i="138"/>
  <c r="W26" i="138"/>
  <c r="O26" i="138" a="1"/>
  <c r="G26" i="138"/>
  <c r="X25" i="138"/>
  <c r="W25" i="138"/>
  <c r="O25" i="138" a="1"/>
  <c r="G25" i="138"/>
  <c r="X24" i="138"/>
  <c r="W24" i="138"/>
  <c r="O24" i="138" a="1"/>
  <c r="G24" i="138"/>
  <c r="X23" i="138"/>
  <c r="W23" i="138"/>
  <c r="O23" i="138" a="1"/>
  <c r="G23" i="138"/>
  <c r="X22" i="138"/>
  <c r="W22" i="138"/>
  <c r="O22" i="138" a="1"/>
  <c r="G22" i="138"/>
  <c r="X21" i="138"/>
  <c r="W21" i="138"/>
  <c r="O21" i="138" a="1"/>
  <c r="G21" i="138"/>
  <c r="X20" i="138"/>
  <c r="W20" i="138"/>
  <c r="O20" i="138" a="1"/>
  <c r="G20" i="138"/>
  <c r="W19" i="138"/>
  <c r="O19" i="138" a="1"/>
  <c r="G19" i="138"/>
  <c r="X18" i="138"/>
  <c r="W18" i="138"/>
  <c r="O18" i="138" a="1"/>
  <c r="G18" i="138"/>
  <c r="X17" i="138"/>
  <c r="W17" i="138"/>
  <c r="O17" i="138" a="1"/>
  <c r="G17" i="138"/>
  <c r="X16" i="138"/>
  <c r="W16" i="138"/>
  <c r="O16" i="138" a="1"/>
  <c r="G16" i="138"/>
  <c r="X15" i="138"/>
  <c r="W15" i="138"/>
  <c r="O15" i="138" a="1"/>
  <c r="G15" i="138"/>
  <c r="S21" i="137"/>
  <c r="X30" i="137"/>
  <c r="N33" i="137" a="1"/>
  <c r="O33" i="137" a="1"/>
  <c r="S33" i="137"/>
  <c r="T33" i="137"/>
  <c r="V33" i="137"/>
  <c r="N34" i="137" a="1"/>
  <c r="O34" i="137" a="1"/>
  <c r="S34" i="137"/>
  <c r="T34" i="137"/>
  <c r="V34" i="137"/>
  <c r="N35" i="137" a="1"/>
  <c r="O35" i="137" a="1"/>
  <c r="S35" i="137"/>
  <c r="T35" i="137"/>
  <c r="V35" i="137"/>
  <c r="N36" i="137" a="1"/>
  <c r="O36" i="137" a="1"/>
  <c r="S36" i="137"/>
  <c r="T36" i="137"/>
  <c r="V36" i="137"/>
  <c r="A33" i="137"/>
  <c r="G33" i="137"/>
  <c r="A34" i="137"/>
  <c r="G34" i="137"/>
  <c r="A35" i="137"/>
  <c r="G35" i="137"/>
  <c r="A36" i="137"/>
  <c r="G36" i="137"/>
  <c r="A32" i="137"/>
  <c r="G32" i="137"/>
  <c r="N32" i="137" a="1"/>
  <c r="O32" i="137" a="1"/>
  <c r="S32" i="137"/>
  <c r="T32" i="137"/>
  <c r="V32" i="137"/>
  <c r="W32" i="137"/>
  <c r="X32" i="137"/>
  <c r="G20" i="137"/>
  <c r="G21" i="137"/>
  <c r="G22" i="137"/>
  <c r="G23" i="137"/>
  <c r="G24" i="137"/>
  <c r="G25" i="137"/>
  <c r="G26" i="137"/>
  <c r="G27" i="137"/>
  <c r="G28" i="137"/>
  <c r="G29" i="137"/>
  <c r="G30" i="137"/>
  <c r="G31" i="137"/>
  <c r="S16" i="137"/>
  <c r="T16" i="137"/>
  <c r="V16" i="137"/>
  <c r="W16" i="137"/>
  <c r="X16" i="137"/>
  <c r="S17" i="137"/>
  <c r="T17" i="137"/>
  <c r="V17" i="137"/>
  <c r="W17" i="137"/>
  <c r="X17" i="137"/>
  <c r="S18" i="137"/>
  <c r="T18" i="137"/>
  <c r="V18" i="137"/>
  <c r="W18" i="137"/>
  <c r="X18" i="137"/>
  <c r="S19" i="137"/>
  <c r="T19" i="137"/>
  <c r="V19" i="137"/>
  <c r="W19" i="137"/>
  <c r="X19" i="137"/>
  <c r="S20" i="137"/>
  <c r="T20" i="137"/>
  <c r="V20" i="137"/>
  <c r="W20" i="137"/>
  <c r="X20" i="137"/>
  <c r="T21" i="137"/>
  <c r="V21" i="137"/>
  <c r="W21" i="137"/>
  <c r="X21" i="137"/>
  <c r="S22" i="137"/>
  <c r="T22" i="137"/>
  <c r="V22" i="137"/>
  <c r="W22" i="137"/>
  <c r="X22" i="137"/>
  <c r="S23" i="137"/>
  <c r="T23" i="137"/>
  <c r="V23" i="137"/>
  <c r="W23" i="137"/>
  <c r="X23" i="137"/>
  <c r="S24" i="137"/>
  <c r="T24" i="137"/>
  <c r="V24" i="137"/>
  <c r="W24" i="137"/>
  <c r="X24" i="137"/>
  <c r="S25" i="137"/>
  <c r="T25" i="137"/>
  <c r="V25" i="137"/>
  <c r="W25" i="137"/>
  <c r="X25" i="137"/>
  <c r="S26" i="137"/>
  <c r="T26" i="137"/>
  <c r="V26" i="137"/>
  <c r="W26" i="137"/>
  <c r="X26" i="137"/>
  <c r="S27" i="137"/>
  <c r="T27" i="137"/>
  <c r="V27" i="137"/>
  <c r="W27" i="137"/>
  <c r="X27" i="137"/>
  <c r="S28" i="137"/>
  <c r="T28" i="137"/>
  <c r="V28" i="137"/>
  <c r="W28" i="137"/>
  <c r="X28" i="137"/>
  <c r="S29" i="137"/>
  <c r="T29" i="137"/>
  <c r="V29" i="137"/>
  <c r="W29" i="137"/>
  <c r="X29" i="137"/>
  <c r="S30" i="137"/>
  <c r="T30" i="137"/>
  <c r="V30" i="137"/>
  <c r="W30" i="137"/>
  <c r="S31" i="137"/>
  <c r="T31" i="137"/>
  <c r="V31" i="137"/>
  <c r="W31" i="137"/>
  <c r="X31" i="137"/>
  <c r="W34" i="137"/>
  <c r="X34" i="137"/>
  <c r="W35" i="137"/>
  <c r="X35" i="137"/>
  <c r="W36" i="137"/>
  <c r="X36" i="137"/>
  <c r="S15" i="137"/>
  <c r="O15" i="137" a="1"/>
  <c r="N15" i="137" a="1"/>
  <c r="N23" i="137" a="1"/>
  <c r="O23" i="137" a="1"/>
  <c r="N24" i="137" a="1"/>
  <c r="O24" i="137" a="1"/>
  <c r="N25" i="137" a="1"/>
  <c r="O25" i="137" a="1"/>
  <c r="N26" i="137" a="1"/>
  <c r="O26" i="137" a="1"/>
  <c r="N27" i="137" a="1"/>
  <c r="O27" i="137" a="1"/>
  <c r="N28" i="137" a="1"/>
  <c r="O28" i="137" a="1"/>
  <c r="N29" i="137" a="1"/>
  <c r="O29" i="137" a="1"/>
  <c r="N30" i="137" a="1"/>
  <c r="O30" i="137" a="1"/>
  <c r="N31" i="137" a="1"/>
  <c r="O31" i="137" a="1"/>
  <c r="A23" i="137"/>
  <c r="A24" i="137"/>
  <c r="A25" i="137"/>
  <c r="A26" i="137"/>
  <c r="A27" i="137"/>
  <c r="A28" i="137"/>
  <c r="A29" i="137"/>
  <c r="A30" i="137"/>
  <c r="A31" i="137"/>
  <c r="T15" i="137"/>
  <c r="V15" i="137"/>
  <c r="K16" i="137" a="1"/>
  <c r="N16" i="137" a="1"/>
  <c r="O16" i="137" a="1"/>
  <c r="K17" i="137" a="1"/>
  <c r="N17" i="137" a="1"/>
  <c r="O17" i="137" a="1"/>
  <c r="K18" i="137" a="1"/>
  <c r="N18" i="137" a="1"/>
  <c r="O18" i="137" a="1"/>
  <c r="K22" i="137" a="1"/>
  <c r="N22" i="137" a="1"/>
  <c r="O22" i="137" a="1"/>
  <c r="K21" i="137" a="1"/>
  <c r="N21" i="137" a="1"/>
  <c r="O21" i="137" a="1"/>
  <c r="K20" i="137" a="1"/>
  <c r="N20" i="137" a="1"/>
  <c r="O20" i="137" a="1"/>
  <c r="K19" i="137" a="1"/>
  <c r="N19" i="137" a="1"/>
  <c r="O19" i="137" a="1"/>
  <c r="V46" i="137"/>
  <c r="V48" i="137"/>
  <c r="T48" i="137"/>
  <c r="I48" i="137"/>
  <c r="T46" i="137"/>
  <c r="I46" i="137"/>
  <c r="A16" i="137"/>
  <c r="A17" i="137"/>
  <c r="A18" i="137"/>
  <c r="A19" i="137"/>
  <c r="A20" i="137"/>
  <c r="A21" i="137"/>
  <c r="A22" i="137"/>
  <c r="G19" i="137"/>
  <c r="G18" i="137"/>
  <c r="G17" i="137"/>
  <c r="G16" i="137"/>
  <c r="X15" i="137"/>
  <c r="W15" i="137"/>
  <c r="K15" i="137" a="1"/>
  <c r="G15" i="137"/>
  <c r="U15" i="135"/>
  <c r="W15" i="136"/>
  <c r="T15" i="134"/>
  <c r="S15" i="134"/>
  <c r="S15" i="136"/>
  <c r="T15" i="136"/>
  <c r="U15" i="136"/>
  <c r="V15" i="136"/>
  <c r="K16" i="136" a="1"/>
  <c r="Q16" i="136"/>
  <c r="L16" i="136" a="1"/>
  <c r="R16" i="136"/>
  <c r="S16" i="136"/>
  <c r="T16" i="136"/>
  <c r="U16" i="136"/>
  <c r="V16" i="136"/>
  <c r="K17" i="136" a="1"/>
  <c r="Q17" i="136"/>
  <c r="L17" i="136" a="1"/>
  <c r="R17" i="136"/>
  <c r="S17" i="136"/>
  <c r="T17" i="136"/>
  <c r="U17" i="136"/>
  <c r="V17" i="136"/>
  <c r="K18" i="136" a="1"/>
  <c r="Q18" i="136"/>
  <c r="L18" i="136" a="1"/>
  <c r="R18" i="136"/>
  <c r="S18" i="136"/>
  <c r="T18" i="136"/>
  <c r="U18" i="136"/>
  <c r="V18" i="136"/>
  <c r="K19" i="136" a="1"/>
  <c r="Q19" i="136"/>
  <c r="L19" i="136" a="1"/>
  <c r="R19" i="136"/>
  <c r="S19" i="136"/>
  <c r="T19" i="136"/>
  <c r="U19" i="136"/>
  <c r="V19" i="136"/>
  <c r="K20" i="136" a="1"/>
  <c r="Q20" i="136"/>
  <c r="L20" i="136" a="1"/>
  <c r="R20" i="136"/>
  <c r="S20" i="136"/>
  <c r="T20" i="136"/>
  <c r="U20" i="136"/>
  <c r="V20" i="136"/>
  <c r="K22" i="136" a="1"/>
  <c r="Q22" i="136"/>
  <c r="L22" i="136" a="1"/>
  <c r="R22" i="136"/>
  <c r="S22" i="136"/>
  <c r="T22" i="136"/>
  <c r="U22" i="136"/>
  <c r="V22" i="136"/>
  <c r="K21" i="136" a="1"/>
  <c r="Q21" i="136"/>
  <c r="L21" i="136" a="1"/>
  <c r="R21" i="136"/>
  <c r="S21" i="136"/>
  <c r="T21" i="136"/>
  <c r="U21" i="136"/>
  <c r="V21" i="136"/>
  <c r="V46" i="136"/>
  <c r="V48" i="136"/>
  <c r="T48" i="136"/>
  <c r="I48" i="136"/>
  <c r="T46" i="136"/>
  <c r="I46" i="136"/>
  <c r="A16" i="136"/>
  <c r="A17" i="136"/>
  <c r="A18" i="136"/>
  <c r="A19" i="136"/>
  <c r="A20" i="136"/>
  <c r="A21" i="136"/>
  <c r="A22" i="136"/>
  <c r="X22" i="136"/>
  <c r="W22" i="136"/>
  <c r="O22" i="136" a="1"/>
  <c r="N22" i="136" a="1"/>
  <c r="G22" i="136"/>
  <c r="X21" i="136"/>
  <c r="W21" i="136"/>
  <c r="O21" i="136" a="1"/>
  <c r="N21" i="136" a="1"/>
  <c r="G21" i="136"/>
  <c r="X20" i="136"/>
  <c r="W20" i="136"/>
  <c r="O20" i="136" a="1"/>
  <c r="N20" i="136" a="1"/>
  <c r="G20" i="136"/>
  <c r="X19" i="136"/>
  <c r="W19" i="136"/>
  <c r="O19" i="136" a="1"/>
  <c r="N19" i="136" a="1"/>
  <c r="G19" i="136"/>
  <c r="X18" i="136"/>
  <c r="W18" i="136"/>
  <c r="O18" i="136" a="1"/>
  <c r="N18" i="136" a="1"/>
  <c r="G18" i="136"/>
  <c r="X17" i="136"/>
  <c r="W17" i="136"/>
  <c r="O17" i="136" a="1"/>
  <c r="N17" i="136" a="1"/>
  <c r="G17" i="136"/>
  <c r="X16" i="136"/>
  <c r="W16" i="136"/>
  <c r="O16" i="136" a="1"/>
  <c r="N16" i="136" a="1"/>
  <c r="G16" i="136"/>
  <c r="X15" i="136"/>
  <c r="O15" i="136" a="1"/>
  <c r="N15" i="136" a="1"/>
  <c r="L15" i="136" a="1"/>
  <c r="K15" i="136" a="1"/>
  <c r="G15" i="136"/>
  <c r="K15" i="131" a="1"/>
  <c r="T15" i="131"/>
  <c r="L15" i="131" a="1"/>
  <c r="U15" i="131"/>
  <c r="V15" i="131"/>
  <c r="W15" i="131"/>
  <c r="G26" i="135"/>
  <c r="K15" i="135" a="1"/>
  <c r="Q15" i="135"/>
  <c r="L15" i="135" a="1"/>
  <c r="R15" i="135"/>
  <c r="S15" i="135"/>
  <c r="T15" i="135"/>
  <c r="V15" i="135"/>
  <c r="K16" i="135" a="1"/>
  <c r="Q16" i="135"/>
  <c r="L16" i="135" a="1"/>
  <c r="R16" i="135"/>
  <c r="S16" i="135"/>
  <c r="T16" i="135"/>
  <c r="U16" i="135"/>
  <c r="V16" i="135"/>
  <c r="K17" i="135" a="1"/>
  <c r="Q17" i="135"/>
  <c r="L17" i="135" a="1"/>
  <c r="R17" i="135"/>
  <c r="S17" i="135"/>
  <c r="T17" i="135"/>
  <c r="U17" i="135"/>
  <c r="V17" i="135"/>
  <c r="K18" i="135" a="1"/>
  <c r="Q18" i="135"/>
  <c r="L18" i="135" a="1"/>
  <c r="R18" i="135"/>
  <c r="S18" i="135"/>
  <c r="T18" i="135"/>
  <c r="U18" i="135"/>
  <c r="V18" i="135"/>
  <c r="K19" i="135" a="1"/>
  <c r="Q19" i="135"/>
  <c r="L19" i="135" a="1"/>
  <c r="R19" i="135"/>
  <c r="S19" i="135"/>
  <c r="T19" i="135"/>
  <c r="U19" i="135"/>
  <c r="V19" i="135"/>
  <c r="K33" i="135" a="1"/>
  <c r="Q33" i="135"/>
  <c r="L33" i="135" a="1"/>
  <c r="R33" i="135"/>
  <c r="S33" i="135"/>
  <c r="T33" i="135"/>
  <c r="U33" i="135"/>
  <c r="V33" i="135"/>
  <c r="K32" i="135" a="1"/>
  <c r="Q32" i="135"/>
  <c r="L32" i="135" a="1"/>
  <c r="R32" i="135"/>
  <c r="S32" i="135"/>
  <c r="T32" i="135"/>
  <c r="U32" i="135"/>
  <c r="V32" i="135"/>
  <c r="K31" i="135" a="1"/>
  <c r="Q31" i="135"/>
  <c r="L31" i="135" a="1"/>
  <c r="R31" i="135"/>
  <c r="S31" i="135"/>
  <c r="T31" i="135"/>
  <c r="U31" i="135"/>
  <c r="V31" i="135"/>
  <c r="K30" i="135" a="1"/>
  <c r="Q30" i="135"/>
  <c r="L30" i="135" a="1"/>
  <c r="R30" i="135"/>
  <c r="S30" i="135"/>
  <c r="T30" i="135"/>
  <c r="U30" i="135"/>
  <c r="V30" i="135"/>
  <c r="K29" i="135" a="1"/>
  <c r="Q29" i="135"/>
  <c r="L29" i="135" a="1"/>
  <c r="R29" i="135"/>
  <c r="S29" i="135"/>
  <c r="T29" i="135"/>
  <c r="U29" i="135"/>
  <c r="V29" i="135"/>
  <c r="K28" i="135" a="1"/>
  <c r="Q28" i="135"/>
  <c r="L28" i="135" a="1"/>
  <c r="R28" i="135"/>
  <c r="S28" i="135"/>
  <c r="T28" i="135"/>
  <c r="U28" i="135"/>
  <c r="V28" i="135"/>
  <c r="K27" i="135" a="1"/>
  <c r="Q27" i="135"/>
  <c r="L27" i="135" a="1"/>
  <c r="R27" i="135"/>
  <c r="S27" i="135"/>
  <c r="T27" i="135"/>
  <c r="U27" i="135"/>
  <c r="V27" i="135"/>
  <c r="K26" i="135" a="1"/>
  <c r="Q26" i="135"/>
  <c r="L26" i="135" a="1"/>
  <c r="R26" i="135"/>
  <c r="S26" i="135"/>
  <c r="T26" i="135"/>
  <c r="U26" i="135"/>
  <c r="V26" i="135"/>
  <c r="K25" i="135" a="1"/>
  <c r="Q25" i="135"/>
  <c r="L25" i="135" a="1"/>
  <c r="R25" i="135"/>
  <c r="S25" i="135"/>
  <c r="T25" i="135"/>
  <c r="U25" i="135"/>
  <c r="V25" i="135"/>
  <c r="K24" i="135" a="1"/>
  <c r="Q24" i="135"/>
  <c r="L24" i="135" a="1"/>
  <c r="R24" i="135"/>
  <c r="S24" i="135"/>
  <c r="T24" i="135"/>
  <c r="U24" i="135"/>
  <c r="V24" i="135"/>
  <c r="K23" i="135" a="1"/>
  <c r="Q23" i="135"/>
  <c r="L23" i="135" a="1"/>
  <c r="R23" i="135"/>
  <c r="S23" i="135"/>
  <c r="T23" i="135"/>
  <c r="U23" i="135"/>
  <c r="V23" i="135"/>
  <c r="K22" i="135" a="1"/>
  <c r="Q22" i="135"/>
  <c r="L22" i="135" a="1"/>
  <c r="R22" i="135"/>
  <c r="S22" i="135"/>
  <c r="T22" i="135"/>
  <c r="U22" i="135"/>
  <c r="V22" i="135"/>
  <c r="K21" i="135" a="1"/>
  <c r="Q21" i="135"/>
  <c r="L21" i="135" a="1"/>
  <c r="R21" i="135"/>
  <c r="S21" i="135"/>
  <c r="T21" i="135"/>
  <c r="U21" i="135"/>
  <c r="V21" i="135"/>
  <c r="K20" i="135" a="1"/>
  <c r="Q20" i="135"/>
  <c r="L20" i="135" a="1"/>
  <c r="R20" i="135"/>
  <c r="S20" i="135"/>
  <c r="T20" i="135"/>
  <c r="U20" i="135"/>
  <c r="V20" i="135"/>
  <c r="V46" i="135"/>
  <c r="V48" i="135"/>
  <c r="T48" i="135"/>
  <c r="I48" i="135"/>
  <c r="T46" i="135"/>
  <c r="I46" i="135"/>
  <c r="A16" i="135"/>
  <c r="A17" i="135"/>
  <c r="A18" i="135"/>
  <c r="A19" i="135"/>
  <c r="A20" i="135"/>
  <c r="A21" i="135"/>
  <c r="A22" i="135"/>
  <c r="A23" i="135"/>
  <c r="A24" i="135"/>
  <c r="A25" i="135"/>
  <c r="A26" i="135"/>
  <c r="A27" i="135"/>
  <c r="A28" i="135"/>
  <c r="A29" i="135"/>
  <c r="A30" i="135"/>
  <c r="A31" i="135"/>
  <c r="A32" i="135"/>
  <c r="A33" i="135"/>
  <c r="X33" i="135"/>
  <c r="W33" i="135"/>
  <c r="O33" i="135" a="1"/>
  <c r="G33" i="135"/>
  <c r="X32" i="135"/>
  <c r="W32" i="135"/>
  <c r="O32" i="135" a="1"/>
  <c r="G32" i="135"/>
  <c r="X31" i="135"/>
  <c r="W31" i="135"/>
  <c r="O31" i="135" a="1"/>
  <c r="G31" i="135"/>
  <c r="X30" i="135"/>
  <c r="W30" i="135"/>
  <c r="O30" i="135" a="1"/>
  <c r="G30" i="135"/>
  <c r="X29" i="135"/>
  <c r="W29" i="135"/>
  <c r="O29" i="135" a="1"/>
  <c r="G29" i="135"/>
  <c r="X28" i="135"/>
  <c r="W28" i="135"/>
  <c r="O28" i="135" a="1"/>
  <c r="G28" i="135"/>
  <c r="X27" i="135"/>
  <c r="W27" i="135"/>
  <c r="O27" i="135" a="1"/>
  <c r="G27" i="135"/>
  <c r="X26" i="135"/>
  <c r="W26" i="135"/>
  <c r="O26" i="135" a="1"/>
  <c r="X25" i="135"/>
  <c r="W25" i="135"/>
  <c r="O25" i="135" a="1"/>
  <c r="G25" i="135"/>
  <c r="X24" i="135"/>
  <c r="W24" i="135"/>
  <c r="O24" i="135" a="1"/>
  <c r="G24" i="135"/>
  <c r="X23" i="135"/>
  <c r="W23" i="135"/>
  <c r="O23" i="135" a="1"/>
  <c r="G23" i="135"/>
  <c r="X22" i="135"/>
  <c r="W22" i="135"/>
  <c r="O22" i="135" a="1"/>
  <c r="G22" i="135"/>
  <c r="X21" i="135"/>
  <c r="W21" i="135"/>
  <c r="O21" i="135" a="1"/>
  <c r="G21" i="135"/>
  <c r="X20" i="135"/>
  <c r="W20" i="135"/>
  <c r="O20" i="135" a="1"/>
  <c r="G20" i="135"/>
  <c r="X19" i="135"/>
  <c r="W19" i="135"/>
  <c r="O19" i="135" a="1"/>
  <c r="G19" i="135"/>
  <c r="X18" i="135"/>
  <c r="W18" i="135"/>
  <c r="O18" i="135" a="1"/>
  <c r="G18" i="135"/>
  <c r="X17" i="135"/>
  <c r="W17" i="135"/>
  <c r="O17" i="135" a="1"/>
  <c r="G17" i="135"/>
  <c r="X16" i="135"/>
  <c r="W16" i="135"/>
  <c r="O16" i="135" a="1"/>
  <c r="G16" i="135"/>
  <c r="X15" i="135"/>
  <c r="W15" i="135"/>
  <c r="O15" i="135" a="1"/>
  <c r="G15" i="135"/>
  <c r="A16" i="134"/>
  <c r="A17" i="134"/>
  <c r="A18" i="134"/>
  <c r="A19" i="134"/>
  <c r="A20" i="134"/>
  <c r="A21" i="134"/>
  <c r="A22" i="134"/>
  <c r="A23" i="134"/>
  <c r="A24" i="134"/>
  <c r="A25" i="134"/>
  <c r="B25" i="134" a="1"/>
  <c r="D25" i="134"/>
  <c r="G25" i="134"/>
  <c r="K25" i="134" a="1"/>
  <c r="L25" i="134" a="1"/>
  <c r="N25" i="134" a="1"/>
  <c r="O25" i="134" a="1"/>
  <c r="Q25" i="134"/>
  <c r="R25" i="134"/>
  <c r="S25" i="134"/>
  <c r="T25" i="134"/>
  <c r="U25" i="134"/>
  <c r="V25" i="134"/>
  <c r="A26" i="134"/>
  <c r="B26" i="134" a="1"/>
  <c r="D26" i="134"/>
  <c r="G26" i="134"/>
  <c r="K26" i="134" a="1"/>
  <c r="L26" i="134" a="1"/>
  <c r="N26" i="134" a="1"/>
  <c r="O26" i="134" a="1"/>
  <c r="Q26" i="134"/>
  <c r="R26" i="134"/>
  <c r="S26" i="134"/>
  <c r="T26" i="134"/>
  <c r="U26" i="134"/>
  <c r="V26" i="134"/>
  <c r="K15" i="134" a="1"/>
  <c r="L15" i="134" a="1"/>
  <c r="U15" i="134"/>
  <c r="V15" i="134"/>
  <c r="K16" i="134" a="1"/>
  <c r="Q16" i="134"/>
  <c r="L16" i="134" a="1"/>
  <c r="R16" i="134"/>
  <c r="S16" i="134"/>
  <c r="T16" i="134"/>
  <c r="U16" i="134"/>
  <c r="V16" i="134"/>
  <c r="K17" i="134" a="1"/>
  <c r="Q17" i="134"/>
  <c r="L17" i="134" a="1"/>
  <c r="R17" i="134"/>
  <c r="S17" i="134"/>
  <c r="T17" i="134"/>
  <c r="U17" i="134"/>
  <c r="V17" i="134"/>
  <c r="K18" i="134" a="1"/>
  <c r="Q18" i="134"/>
  <c r="L18" i="134" a="1"/>
  <c r="R18" i="134"/>
  <c r="S18" i="134"/>
  <c r="T18" i="134"/>
  <c r="U18" i="134"/>
  <c r="V18" i="134"/>
  <c r="K19" i="134" a="1"/>
  <c r="Q19" i="134"/>
  <c r="L19" i="134" a="1"/>
  <c r="R19" i="134"/>
  <c r="S19" i="134"/>
  <c r="T19" i="134"/>
  <c r="U19" i="134"/>
  <c r="V19" i="134"/>
  <c r="K20" i="134" a="1"/>
  <c r="Q20" i="134"/>
  <c r="L20" i="134" a="1"/>
  <c r="R20" i="134"/>
  <c r="S20" i="134"/>
  <c r="T20" i="134"/>
  <c r="K21" i="134" a="1"/>
  <c r="Q21" i="134"/>
  <c r="L21" i="134" a="1"/>
  <c r="R21" i="134"/>
  <c r="S21" i="134"/>
  <c r="T21" i="134"/>
  <c r="K22" i="134" a="1"/>
  <c r="Q22" i="134"/>
  <c r="L22" i="134" a="1"/>
  <c r="R22" i="134"/>
  <c r="S22" i="134"/>
  <c r="T22" i="134"/>
  <c r="K23" i="134" a="1"/>
  <c r="Q23" i="134"/>
  <c r="L23" i="134" a="1"/>
  <c r="R23" i="134"/>
  <c r="S23" i="134"/>
  <c r="T23" i="134"/>
  <c r="K24" i="134" a="1"/>
  <c r="Q24" i="134"/>
  <c r="L24" i="134" a="1"/>
  <c r="R24" i="134"/>
  <c r="S24" i="134"/>
  <c r="T24" i="134"/>
  <c r="T27" i="134"/>
  <c r="W27" i="134"/>
  <c r="W29" i="134"/>
  <c r="T29" i="134"/>
  <c r="I27" i="134"/>
  <c r="I29" i="134"/>
  <c r="X24" i="134"/>
  <c r="W24" i="134"/>
  <c r="U24" i="134"/>
  <c r="O24" i="134" a="1"/>
  <c r="N24" i="134" a="1"/>
  <c r="G24" i="134"/>
  <c r="B24" i="134" a="1"/>
  <c r="D24" i="134"/>
  <c r="X23" i="134"/>
  <c r="W23" i="134"/>
  <c r="U23" i="134"/>
  <c r="O23" i="134" a="1"/>
  <c r="N23" i="134" a="1"/>
  <c r="G23" i="134"/>
  <c r="B23" i="134" a="1"/>
  <c r="D23" i="134"/>
  <c r="B15" i="134" a="1"/>
  <c r="D15" i="134"/>
  <c r="G15" i="134"/>
  <c r="B16" i="134" a="1"/>
  <c r="D16" i="134"/>
  <c r="G16" i="134"/>
  <c r="B17" i="134" a="1"/>
  <c r="D17" i="134"/>
  <c r="G17" i="134"/>
  <c r="B18" i="134" a="1"/>
  <c r="D18" i="134"/>
  <c r="G18" i="134"/>
  <c r="B19" i="134" a="1"/>
  <c r="D19" i="134"/>
  <c r="G19" i="134"/>
  <c r="B20" i="134" a="1"/>
  <c r="D20" i="134"/>
  <c r="G20" i="134"/>
  <c r="B21" i="134" a="1"/>
  <c r="D21" i="134"/>
  <c r="G21" i="134"/>
  <c r="B22" i="134" a="1"/>
  <c r="D22" i="134"/>
  <c r="G22" i="134"/>
  <c r="X22" i="134" a="1"/>
  <c r="X22" i="134" s="1"/>
  <c r="X27" i="134" s="1"/>
  <c r="X29" i="134" s="1"/>
  <c r="W22" i="134"/>
  <c r="U22" i="134"/>
  <c r="O22" i="134" a="1"/>
  <c r="N22" i="134" a="1"/>
  <c r="X21" i="134"/>
  <c r="W21" i="134"/>
  <c r="U21" i="134"/>
  <c r="O21" i="134" a="1"/>
  <c r="N21" i="134" a="1"/>
  <c r="X20" i="134"/>
  <c r="W20" i="134"/>
  <c r="U20" i="134"/>
  <c r="O20" i="134" a="1"/>
  <c r="N20" i="134" a="1"/>
  <c r="X19" i="134"/>
  <c r="W19" i="134"/>
  <c r="O19" i="134" a="1"/>
  <c r="N19" i="134" a="1"/>
  <c r="X18" i="134"/>
  <c r="W18" i="134"/>
  <c r="O18" i="134" a="1"/>
  <c r="N18" i="134" a="1"/>
  <c r="X17" i="134"/>
  <c r="W17" i="134"/>
  <c r="O17" i="134" a="1"/>
  <c r="N17" i="134" a="1"/>
  <c r="X16" i="134"/>
  <c r="W16" i="134"/>
  <c r="O16" i="134" a="1"/>
  <c r="N16" i="134" a="1"/>
  <c r="W15" i="134"/>
  <c r="O15" i="134" a="1"/>
  <c r="N15" i="134" a="1"/>
  <c r="A19" i="132"/>
  <c r="B19" i="132" a="1"/>
  <c r="D19" i="132"/>
  <c r="G19" i="132"/>
  <c r="K19" i="132" a="1"/>
  <c r="L19" i="132" a="1"/>
  <c r="N19" i="132" a="1"/>
  <c r="O19" i="132" a="1"/>
  <c r="Q19" i="132"/>
  <c r="R19" i="132"/>
  <c r="S19" i="132"/>
  <c r="T19" i="132"/>
  <c r="U19" i="132"/>
  <c r="V19" i="132"/>
  <c r="W19" i="132"/>
  <c r="X19" i="132"/>
  <c r="A20" i="132"/>
  <c r="A21" i="132"/>
  <c r="A22" i="132"/>
  <c r="A23" i="132"/>
  <c r="A24" i="132"/>
  <c r="S17" i="133"/>
  <c r="T17" i="133"/>
  <c r="U17" i="133"/>
  <c r="V17" i="133"/>
  <c r="W17" i="133"/>
  <c r="S18" i="133"/>
  <c r="T18" i="133"/>
  <c r="U18" i="133"/>
  <c r="V18" i="133"/>
  <c r="W18" i="133"/>
  <c r="S19" i="133"/>
  <c r="T19" i="133"/>
  <c r="U19" i="133"/>
  <c r="V19" i="133"/>
  <c r="W19" i="133"/>
  <c r="S20" i="133"/>
  <c r="T20" i="133"/>
  <c r="U20" i="133"/>
  <c r="V20" i="133"/>
  <c r="W20" i="133"/>
  <c r="S26" i="133"/>
  <c r="T26" i="133"/>
  <c r="U26" i="133"/>
  <c r="V26" i="133"/>
  <c r="W26" i="133"/>
  <c r="S25" i="133"/>
  <c r="T25" i="133"/>
  <c r="U25" i="133"/>
  <c r="V25" i="133"/>
  <c r="W25" i="133"/>
  <c r="S24" i="133"/>
  <c r="T24" i="133"/>
  <c r="U24" i="133"/>
  <c r="V24" i="133"/>
  <c r="W24" i="133"/>
  <c r="S23" i="133"/>
  <c r="T23" i="133"/>
  <c r="U23" i="133"/>
  <c r="V23" i="133"/>
  <c r="W23" i="133"/>
  <c r="S22" i="133"/>
  <c r="T22" i="133"/>
  <c r="U22" i="133"/>
  <c r="V22" i="133"/>
  <c r="W22" i="133"/>
  <c r="S21" i="133"/>
  <c r="T21" i="133"/>
  <c r="U21" i="133"/>
  <c r="V21" i="133"/>
  <c r="W21" i="133"/>
  <c r="W50" i="133"/>
  <c r="W52" i="133"/>
  <c r="U50" i="133"/>
  <c r="U52" i="133"/>
  <c r="J50" i="133"/>
  <c r="J52" i="133"/>
  <c r="D52" i="133" a="1"/>
  <c r="D51" i="133" a="1"/>
  <c r="D50" i="133" a="1"/>
  <c r="Y49" i="133"/>
  <c r="X49" i="133"/>
  <c r="R49" i="133"/>
  <c r="P49" i="133" a="1"/>
  <c r="L49" i="133" a="1"/>
  <c r="D49" i="133" a="1"/>
  <c r="Y48" i="133"/>
  <c r="X48" i="133"/>
  <c r="R48" i="133"/>
  <c r="P48" i="133" a="1"/>
  <c r="L48" i="133" a="1"/>
  <c r="D48" i="133" a="1"/>
  <c r="Y47" i="133"/>
  <c r="X47" i="133"/>
  <c r="R47" i="133"/>
  <c r="P47" i="133" a="1"/>
  <c r="L47" i="133" a="1"/>
  <c r="D47" i="133" a="1"/>
  <c r="Y46" i="133"/>
  <c r="X46" i="133"/>
  <c r="R46" i="133"/>
  <c r="P46" i="133" a="1"/>
  <c r="L46" i="133" a="1"/>
  <c r="D46" i="133" a="1"/>
  <c r="Y45" i="133"/>
  <c r="X45" i="133"/>
  <c r="R45" i="133"/>
  <c r="P45" i="133" a="1"/>
  <c r="L45" i="133" a="1"/>
  <c r="D45" i="133" a="1"/>
  <c r="Y44" i="133"/>
  <c r="X44" i="133"/>
  <c r="R44" i="133"/>
  <c r="P44" i="133" a="1"/>
  <c r="L44" i="133" a="1"/>
  <c r="D44" i="133" a="1"/>
  <c r="Y43" i="133"/>
  <c r="X43" i="133"/>
  <c r="R43" i="133"/>
  <c r="P43" i="133" a="1"/>
  <c r="L43" i="133" a="1"/>
  <c r="D43" i="133" a="1"/>
  <c r="Y42" i="133"/>
  <c r="X42" i="133"/>
  <c r="R42" i="133"/>
  <c r="P42" i="133" a="1"/>
  <c r="L42" i="133" a="1"/>
  <c r="D42" i="133" a="1"/>
  <c r="Y41" i="133"/>
  <c r="X41" i="133"/>
  <c r="D41" i="133" a="1"/>
  <c r="Y40" i="133"/>
  <c r="X40" i="133"/>
  <c r="D40" i="133" a="1"/>
  <c r="Y39" i="133"/>
  <c r="X39" i="133"/>
  <c r="D39" i="133" a="1"/>
  <c r="Y38" i="133"/>
  <c r="X38" i="133"/>
  <c r="D38" i="133" a="1"/>
  <c r="Y37" i="133"/>
  <c r="X37" i="133"/>
  <c r="D37" i="133" a="1"/>
  <c r="Y36" i="133"/>
  <c r="X36" i="133"/>
  <c r="D36" i="133" a="1"/>
  <c r="Y35" i="133"/>
  <c r="X35" i="133"/>
  <c r="D35" i="133" a="1"/>
  <c r="Y34" i="133"/>
  <c r="X34" i="133"/>
  <c r="D34" i="133" a="1"/>
  <c r="Y33" i="133"/>
  <c r="X33" i="133"/>
  <c r="D33" i="133" a="1"/>
  <c r="Y32" i="133"/>
  <c r="X32" i="133"/>
  <c r="D32" i="133" a="1"/>
  <c r="Y31" i="133"/>
  <c r="X31" i="133"/>
  <c r="D31" i="133" a="1"/>
  <c r="Y30" i="133"/>
  <c r="X30" i="133"/>
  <c r="D30" i="133" a="1"/>
  <c r="Y29" i="133"/>
  <c r="X29" i="133"/>
  <c r="D29" i="133" a="1"/>
  <c r="Y28" i="133"/>
  <c r="X28" i="133"/>
  <c r="D28" i="133" a="1"/>
  <c r="Y27" i="133"/>
  <c r="X27" i="133"/>
  <c r="D27" i="133" a="1"/>
  <c r="Y26" i="133"/>
  <c r="X26" i="133"/>
  <c r="P26" i="133" a="1"/>
  <c r="H26" i="133"/>
  <c r="D26" i="133" a="1"/>
  <c r="B26" i="133" a="1"/>
  <c r="A18" i="133"/>
  <c r="A19" i="133"/>
  <c r="A20" i="133"/>
  <c r="A21" i="133"/>
  <c r="A22" i="133"/>
  <c r="A23" i="133"/>
  <c r="A24" i="133"/>
  <c r="A25" i="133"/>
  <c r="A26" i="133"/>
  <c r="Y25" i="133"/>
  <c r="X25" i="133"/>
  <c r="P25" i="133" a="1"/>
  <c r="H25" i="133"/>
  <c r="D25" i="133" a="1"/>
  <c r="B25" i="133" a="1"/>
  <c r="Y24" i="133"/>
  <c r="X24" i="133"/>
  <c r="P24" i="133" a="1"/>
  <c r="H24" i="133"/>
  <c r="D24" i="133" a="1"/>
  <c r="B24" i="133" a="1"/>
  <c r="Y23" i="133"/>
  <c r="X23" i="133"/>
  <c r="P23" i="133" a="1"/>
  <c r="H23" i="133"/>
  <c r="D23" i="133" a="1"/>
  <c r="B23" i="133" a="1"/>
  <c r="Y22" i="133"/>
  <c r="X22" i="133"/>
  <c r="P22" i="133" a="1"/>
  <c r="H22" i="133"/>
  <c r="D22" i="133" a="1"/>
  <c r="B22" i="133" a="1"/>
  <c r="Y21" i="133"/>
  <c r="X21" i="133"/>
  <c r="P21" i="133" a="1"/>
  <c r="H21" i="133"/>
  <c r="D21" i="133" a="1"/>
  <c r="B21" i="133" a="1"/>
  <c r="Y20" i="133"/>
  <c r="X20" i="133"/>
  <c r="P20" i="133" a="1"/>
  <c r="H20" i="133"/>
  <c r="D20" i="133" a="1"/>
  <c r="B20" i="133" a="1"/>
  <c r="Y19" i="133"/>
  <c r="X19" i="133"/>
  <c r="P19" i="133" a="1"/>
  <c r="H19" i="133"/>
  <c r="D19" i="133" a="1"/>
  <c r="B19" i="133" a="1"/>
  <c r="Y18" i="133"/>
  <c r="X18" i="133"/>
  <c r="P18" i="133" a="1"/>
  <c r="H18" i="133"/>
  <c r="D18" i="133" a="1"/>
  <c r="B18" i="133" a="1"/>
  <c r="Y17" i="133"/>
  <c r="X17" i="133"/>
  <c r="P17" i="133" a="1"/>
  <c r="H17" i="133"/>
  <c r="D17" i="133" a="1"/>
  <c r="B17" i="133" a="1"/>
  <c r="K15" i="132" a="1"/>
  <c r="Q15" i="132"/>
  <c r="L15" i="132" a="1"/>
  <c r="R15" i="132"/>
  <c r="S15" i="132"/>
  <c r="T15" i="132"/>
  <c r="U15" i="132"/>
  <c r="V15" i="132"/>
  <c r="K16" i="132" a="1"/>
  <c r="Q16" i="132"/>
  <c r="L16" i="132" a="1"/>
  <c r="R16" i="132"/>
  <c r="S16" i="132"/>
  <c r="T16" i="132"/>
  <c r="U16" i="132"/>
  <c r="V16" i="132"/>
  <c r="K17" i="132" a="1"/>
  <c r="Q17" i="132"/>
  <c r="L17" i="132" a="1"/>
  <c r="R17" i="132"/>
  <c r="S17" i="132"/>
  <c r="T17" i="132"/>
  <c r="U17" i="132"/>
  <c r="V17" i="132"/>
  <c r="K18" i="132" a="1"/>
  <c r="Q18" i="132"/>
  <c r="L18" i="132" a="1"/>
  <c r="R18" i="132"/>
  <c r="S18" i="132"/>
  <c r="T18" i="132"/>
  <c r="U18" i="132"/>
  <c r="V18" i="132"/>
  <c r="K20" i="132" a="1"/>
  <c r="Q20" i="132"/>
  <c r="L20" i="132" a="1"/>
  <c r="R20" i="132"/>
  <c r="S20" i="132"/>
  <c r="T20" i="132"/>
  <c r="K21" i="132" a="1"/>
  <c r="Q21" i="132"/>
  <c r="L21" i="132" a="1"/>
  <c r="R21" i="132"/>
  <c r="S21" i="132"/>
  <c r="T21" i="132"/>
  <c r="K22" i="132" a="1"/>
  <c r="Q22" i="132"/>
  <c r="L22" i="132" a="1"/>
  <c r="R22" i="132"/>
  <c r="S22" i="132"/>
  <c r="T22" i="132"/>
  <c r="K24" i="132" a="1"/>
  <c r="Q24" i="132"/>
  <c r="L24" i="132" a="1"/>
  <c r="R24" i="132"/>
  <c r="S24" i="132"/>
  <c r="T24" i="132"/>
  <c r="K23" i="132" a="1"/>
  <c r="Q23" i="132"/>
  <c r="L23" i="132" a="1"/>
  <c r="R23" i="132"/>
  <c r="S23" i="132"/>
  <c r="T23" i="132"/>
  <c r="T26" i="132"/>
  <c r="W26" i="132"/>
  <c r="W28" i="132"/>
  <c r="T28" i="132"/>
  <c r="I26" i="132"/>
  <c r="I28" i="132"/>
  <c r="X24" i="132"/>
  <c r="W24" i="132"/>
  <c r="U24" i="132"/>
  <c r="O24" i="132" a="1"/>
  <c r="N24" i="132" a="1"/>
  <c r="G24" i="132"/>
  <c r="B24" i="132" a="1"/>
  <c r="D24" i="132"/>
  <c r="A16" i="132"/>
  <c r="A17" i="132"/>
  <c r="A18" i="132"/>
  <c r="X23" i="132"/>
  <c r="W23" i="132"/>
  <c r="U23" i="132"/>
  <c r="O23" i="132" a="1"/>
  <c r="N23" i="132" a="1"/>
  <c r="G23" i="132"/>
  <c r="B23" i="132" a="1"/>
  <c r="D23" i="132"/>
  <c r="B15" i="132" a="1"/>
  <c r="D15" i="132"/>
  <c r="G15" i="132"/>
  <c r="B16" i="132" a="1"/>
  <c r="D16" i="132"/>
  <c r="G16" i="132"/>
  <c r="B17" i="132" a="1"/>
  <c r="D17" i="132"/>
  <c r="G17" i="132"/>
  <c r="B18" i="132" a="1"/>
  <c r="D18" i="132"/>
  <c r="G18" i="132"/>
  <c r="B20" i="132" a="1"/>
  <c r="D20" i="132"/>
  <c r="G20" i="132"/>
  <c r="B21" i="132" a="1"/>
  <c r="D21" i="132"/>
  <c r="G21" i="132"/>
  <c r="B22" i="132" a="1"/>
  <c r="D22" i="132"/>
  <c r="G22" i="132"/>
  <c r="X22" i="132" a="1"/>
  <c r="X22" i="132" s="1"/>
  <c r="X26" i="132" s="1"/>
  <c r="X28" i="132" s="1"/>
  <c r="W22" i="132"/>
  <c r="U22" i="132"/>
  <c r="O22" i="132" a="1"/>
  <c r="N22" i="132" a="1"/>
  <c r="X21" i="132"/>
  <c r="W21" i="132"/>
  <c r="U21" i="132"/>
  <c r="O21" i="132" a="1"/>
  <c r="N21" i="132" a="1"/>
  <c r="X20" i="132"/>
  <c r="W20" i="132"/>
  <c r="U20" i="132"/>
  <c r="O20" i="132" a="1"/>
  <c r="N20" i="132" a="1"/>
  <c r="X18" i="132"/>
  <c r="W18" i="132"/>
  <c r="O18" i="132" a="1"/>
  <c r="N18" i="132" a="1"/>
  <c r="X17" i="132"/>
  <c r="W17" i="132"/>
  <c r="O17" i="132" a="1"/>
  <c r="N17" i="132" a="1"/>
  <c r="X16" i="132"/>
  <c r="W16" i="132"/>
  <c r="O16" i="132" a="1"/>
  <c r="N16" i="132" a="1"/>
  <c r="W15" i="132"/>
  <c r="O15" i="132" a="1"/>
  <c r="N15" i="132" a="1"/>
  <c r="X15" i="131"/>
  <c r="Y15" i="131"/>
  <c r="K16" i="131" a="1"/>
  <c r="T16" i="131"/>
  <c r="L16" i="131" a="1"/>
  <c r="U16" i="131"/>
  <c r="V16" i="131"/>
  <c r="W16" i="131"/>
  <c r="X16" i="131"/>
  <c r="Y16" i="131"/>
  <c r="K17" i="131" a="1"/>
  <c r="T17" i="131"/>
  <c r="L17" i="131" a="1"/>
  <c r="U17" i="131"/>
  <c r="V17" i="131"/>
  <c r="W17" i="131"/>
  <c r="X17" i="131"/>
  <c r="Y17" i="131"/>
  <c r="K18" i="131" a="1"/>
  <c r="T18" i="131"/>
  <c r="L18" i="131" a="1"/>
  <c r="U18" i="131"/>
  <c r="V18" i="131"/>
  <c r="W18" i="131"/>
  <c r="X18" i="131"/>
  <c r="Y18" i="131"/>
  <c r="K34" i="131" a="1"/>
  <c r="T34" i="131"/>
  <c r="L34" i="131" a="1"/>
  <c r="U34" i="131"/>
  <c r="V34" i="131"/>
  <c r="W34" i="131"/>
  <c r="X34" i="131"/>
  <c r="Y34" i="131"/>
  <c r="K33" i="131" a="1"/>
  <c r="T33" i="131"/>
  <c r="L33" i="131" a="1"/>
  <c r="U33" i="131"/>
  <c r="V33" i="131"/>
  <c r="W33" i="131"/>
  <c r="X33" i="131"/>
  <c r="Y33" i="131"/>
  <c r="K32" i="131" a="1"/>
  <c r="T32" i="131"/>
  <c r="L32" i="131" a="1"/>
  <c r="U32" i="131"/>
  <c r="V32" i="131"/>
  <c r="W32" i="131"/>
  <c r="X32" i="131"/>
  <c r="Y32" i="131"/>
  <c r="K31" i="131" a="1"/>
  <c r="T31" i="131"/>
  <c r="L31" i="131" a="1"/>
  <c r="U31" i="131"/>
  <c r="V31" i="131"/>
  <c r="W31" i="131"/>
  <c r="X31" i="131"/>
  <c r="Y31" i="131"/>
  <c r="K30" i="131" a="1"/>
  <c r="T30" i="131"/>
  <c r="L30" i="131" a="1"/>
  <c r="U30" i="131"/>
  <c r="V30" i="131"/>
  <c r="W30" i="131"/>
  <c r="X30" i="131"/>
  <c r="Y30" i="131"/>
  <c r="K29" i="131" a="1"/>
  <c r="T29" i="131"/>
  <c r="L29" i="131" a="1"/>
  <c r="U29" i="131"/>
  <c r="V29" i="131"/>
  <c r="W29" i="131"/>
  <c r="X29" i="131"/>
  <c r="Y29" i="131"/>
  <c r="K28" i="131" a="1"/>
  <c r="T28" i="131"/>
  <c r="L28" i="131" a="1"/>
  <c r="U28" i="131"/>
  <c r="V28" i="131"/>
  <c r="W28" i="131"/>
  <c r="X28" i="131"/>
  <c r="Y28" i="131"/>
  <c r="K27" i="131" a="1"/>
  <c r="T27" i="131"/>
  <c r="L27" i="131" a="1"/>
  <c r="U27" i="131"/>
  <c r="V27" i="131"/>
  <c r="W27" i="131"/>
  <c r="X27" i="131"/>
  <c r="Y27" i="131"/>
  <c r="K26" i="131" a="1"/>
  <c r="T26" i="131"/>
  <c r="L26" i="131" a="1"/>
  <c r="U26" i="131"/>
  <c r="V26" i="131"/>
  <c r="W26" i="131"/>
  <c r="X26" i="131"/>
  <c r="Y26" i="131"/>
  <c r="K25" i="131" a="1"/>
  <c r="T25" i="131"/>
  <c r="L25" i="131" a="1"/>
  <c r="U25" i="131"/>
  <c r="V25" i="131"/>
  <c r="W25" i="131"/>
  <c r="X25" i="131"/>
  <c r="Y25" i="131"/>
  <c r="K24" i="131" a="1"/>
  <c r="T24" i="131"/>
  <c r="L24" i="131" a="1"/>
  <c r="U24" i="131"/>
  <c r="V24" i="131"/>
  <c r="W24" i="131"/>
  <c r="X24" i="131"/>
  <c r="Y24" i="131"/>
  <c r="K23" i="131" a="1"/>
  <c r="T23" i="131"/>
  <c r="L23" i="131" a="1"/>
  <c r="U23" i="131"/>
  <c r="V23" i="131"/>
  <c r="W23" i="131"/>
  <c r="X23" i="131"/>
  <c r="Y23" i="131"/>
  <c r="K22" i="131" a="1"/>
  <c r="T22" i="131"/>
  <c r="L22" i="131" a="1"/>
  <c r="U22" i="131"/>
  <c r="V22" i="131"/>
  <c r="W22" i="131"/>
  <c r="X22" i="131"/>
  <c r="Y22" i="131"/>
  <c r="K21" i="131" a="1"/>
  <c r="T21" i="131"/>
  <c r="L21" i="131" a="1"/>
  <c r="U21" i="131"/>
  <c r="V21" i="131"/>
  <c r="W21" i="131"/>
  <c r="X21" i="131"/>
  <c r="Y21" i="131"/>
  <c r="K20" i="131" a="1"/>
  <c r="T20" i="131"/>
  <c r="L20" i="131" a="1"/>
  <c r="U20" i="131"/>
  <c r="V20" i="131"/>
  <c r="W20" i="131"/>
  <c r="X20" i="131"/>
  <c r="Y20" i="131"/>
  <c r="K19" i="131" a="1"/>
  <c r="T19" i="131"/>
  <c r="L19" i="131" a="1"/>
  <c r="U19" i="131"/>
  <c r="V19" i="131"/>
  <c r="W19" i="131"/>
  <c r="X19" i="131"/>
  <c r="Y19" i="131"/>
  <c r="Y46" i="131"/>
  <c r="Y48" i="131"/>
  <c r="W48" i="131"/>
  <c r="I48" i="131"/>
  <c r="W46" i="131"/>
  <c r="I46" i="131"/>
  <c r="A16" i="131"/>
  <c r="A17" i="131"/>
  <c r="A18" i="131"/>
  <c r="A19" i="131"/>
  <c r="A20" i="131"/>
  <c r="A21" i="131"/>
  <c r="A22" i="131"/>
  <c r="A23" i="131"/>
  <c r="A24" i="131"/>
  <c r="A25" i="131"/>
  <c r="A26" i="131"/>
  <c r="A27" i="131"/>
  <c r="A28" i="131"/>
  <c r="A29" i="131"/>
  <c r="A30" i="131"/>
  <c r="A31" i="131"/>
  <c r="A32" i="131"/>
  <c r="A33" i="131"/>
  <c r="A34" i="131"/>
  <c r="AA34" i="131"/>
  <c r="Z34" i="131"/>
  <c r="R34" i="131" a="1"/>
  <c r="G34" i="131"/>
  <c r="AA33" i="131"/>
  <c r="Z33" i="131"/>
  <c r="R33" i="131" a="1"/>
  <c r="G33" i="131"/>
  <c r="AA32" i="131"/>
  <c r="Z32" i="131"/>
  <c r="R32" i="131" a="1"/>
  <c r="G32" i="131"/>
  <c r="AA31" i="131"/>
  <c r="Z31" i="131"/>
  <c r="R31" i="131" a="1"/>
  <c r="G31" i="131"/>
  <c r="AA30" i="131"/>
  <c r="Z30" i="131"/>
  <c r="R30" i="131" a="1"/>
  <c r="G30" i="131"/>
  <c r="AA29" i="131"/>
  <c r="Z29" i="131"/>
  <c r="R29" i="131" a="1"/>
  <c r="G29" i="131"/>
  <c r="AA28" i="131"/>
  <c r="Z28" i="131"/>
  <c r="R28" i="131" a="1"/>
  <c r="G28" i="131"/>
  <c r="AA27" i="131"/>
  <c r="Z27" i="131"/>
  <c r="R27" i="131" a="1"/>
  <c r="G27" i="131"/>
  <c r="AA26" i="131"/>
  <c r="Z26" i="131"/>
  <c r="R26" i="131" a="1"/>
  <c r="G26" i="131"/>
  <c r="AA25" i="131"/>
  <c r="Z25" i="131"/>
  <c r="R25" i="131" a="1"/>
  <c r="G25" i="131"/>
  <c r="AA24" i="131"/>
  <c r="Z24" i="131"/>
  <c r="R24" i="131" a="1"/>
  <c r="G24" i="131"/>
  <c r="AA23" i="131"/>
  <c r="Z23" i="131"/>
  <c r="R23" i="131" a="1"/>
  <c r="G23" i="131"/>
  <c r="AA22" i="131"/>
  <c r="Z22" i="131"/>
  <c r="R22" i="131" a="1"/>
  <c r="G22" i="131"/>
  <c r="AA21" i="131"/>
  <c r="Z21" i="131"/>
  <c r="R21" i="131" a="1"/>
  <c r="G21" i="131"/>
  <c r="AA20" i="131"/>
  <c r="Z20" i="131"/>
  <c r="R20" i="131" a="1"/>
  <c r="G20" i="131"/>
  <c r="AA19" i="131"/>
  <c r="Z19" i="131"/>
  <c r="R19" i="131" a="1"/>
  <c r="G19" i="131"/>
  <c r="AA18" i="131"/>
  <c r="Z18" i="131"/>
  <c r="R18" i="131" a="1"/>
  <c r="G18" i="131"/>
  <c r="AA17" i="131"/>
  <c r="Z17" i="131"/>
  <c r="R17" i="131" a="1"/>
  <c r="G17" i="131"/>
  <c r="AA16" i="131"/>
  <c r="Z16" i="131"/>
  <c r="R16" i="131" a="1"/>
  <c r="G16" i="131"/>
  <c r="AA15" i="131"/>
  <c r="Z15" i="131"/>
  <c r="R15" i="131" a="1"/>
  <c r="G15" i="131"/>
  <c r="K15" i="130" a="1"/>
  <c r="Q15" i="130"/>
  <c r="L15" i="130" a="1"/>
  <c r="R15" i="130"/>
  <c r="T15" i="130"/>
  <c r="K16" i="130" a="1"/>
  <c r="Q16" i="130"/>
  <c r="L16" i="130" a="1"/>
  <c r="R16" i="130"/>
  <c r="T16" i="130"/>
  <c r="K17" i="130" a="1"/>
  <c r="Q17" i="130"/>
  <c r="L17" i="130" a="1"/>
  <c r="R17" i="130"/>
  <c r="T17" i="130"/>
  <c r="K18" i="130" a="1"/>
  <c r="Q18" i="130"/>
  <c r="L18" i="130" a="1"/>
  <c r="R18" i="130"/>
  <c r="T18" i="130"/>
  <c r="K24" i="130" a="1"/>
  <c r="Q24" i="130"/>
  <c r="L24" i="130" a="1"/>
  <c r="R24" i="130"/>
  <c r="T24" i="130"/>
  <c r="K23" i="130" a="1"/>
  <c r="Q23" i="130"/>
  <c r="L23" i="130" a="1"/>
  <c r="R23" i="130"/>
  <c r="T23" i="130"/>
  <c r="K22" i="130" a="1"/>
  <c r="Q22" i="130"/>
  <c r="L22" i="130" a="1"/>
  <c r="R22" i="130"/>
  <c r="T22" i="130"/>
  <c r="K21" i="130" a="1"/>
  <c r="Q21" i="130"/>
  <c r="L21" i="130" a="1"/>
  <c r="R21" i="130"/>
  <c r="T21" i="130"/>
  <c r="K20" i="130" a="1"/>
  <c r="Q20" i="130"/>
  <c r="L20" i="130" a="1"/>
  <c r="R20" i="130"/>
  <c r="T20" i="130"/>
  <c r="K19" i="130" a="1"/>
  <c r="Q19" i="130"/>
  <c r="L19" i="130" a="1"/>
  <c r="R19" i="130"/>
  <c r="T19" i="130"/>
  <c r="T26" i="130"/>
  <c r="S15" i="130"/>
  <c r="U15" i="130"/>
  <c r="V15" i="130"/>
  <c r="S16" i="130"/>
  <c r="U16" i="130"/>
  <c r="V16" i="130"/>
  <c r="S17" i="130"/>
  <c r="U17" i="130"/>
  <c r="V17" i="130"/>
  <c r="S18" i="130"/>
  <c r="U18" i="130"/>
  <c r="V18" i="130"/>
  <c r="S19" i="130"/>
  <c r="S20" i="130"/>
  <c r="S21" i="130"/>
  <c r="S22" i="130"/>
  <c r="S24" i="130"/>
  <c r="S23" i="130"/>
  <c r="W26" i="130"/>
  <c r="W28" i="130"/>
  <c r="T28" i="130"/>
  <c r="I26" i="130"/>
  <c r="I28" i="130"/>
  <c r="A16" i="130"/>
  <c r="A17" i="130"/>
  <c r="A18" i="130"/>
  <c r="A19" i="130"/>
  <c r="A20" i="130"/>
  <c r="A21" i="130"/>
  <c r="A22" i="130"/>
  <c r="A23" i="130"/>
  <c r="A24" i="130"/>
  <c r="X24" i="130"/>
  <c r="W24" i="130"/>
  <c r="U24" i="130"/>
  <c r="O24" i="130" a="1"/>
  <c r="N24" i="130" a="1"/>
  <c r="G24" i="130"/>
  <c r="B24" i="130" a="1"/>
  <c r="D24" i="130"/>
  <c r="X23" i="130"/>
  <c r="W23" i="130"/>
  <c r="U23" i="130"/>
  <c r="O23" i="130" a="1"/>
  <c r="N23" i="130" a="1"/>
  <c r="G23" i="130"/>
  <c r="B23" i="130" a="1"/>
  <c r="D23" i="130"/>
  <c r="B15" i="130" a="1"/>
  <c r="D15" i="130"/>
  <c r="G15" i="130"/>
  <c r="B16" i="130" a="1"/>
  <c r="D16" i="130"/>
  <c r="G16" i="130"/>
  <c r="B17" i="130" a="1"/>
  <c r="D17" i="130"/>
  <c r="G17" i="130"/>
  <c r="B18" i="130" a="1"/>
  <c r="D18" i="130"/>
  <c r="G18" i="130"/>
  <c r="B19" i="130" a="1"/>
  <c r="D19" i="130"/>
  <c r="G19" i="130"/>
  <c r="B20" i="130" a="1"/>
  <c r="D20" i="130"/>
  <c r="G20" i="130"/>
  <c r="B21" i="130" a="1"/>
  <c r="D21" i="130"/>
  <c r="G21" i="130"/>
  <c r="B22" i="130" a="1"/>
  <c r="D22" i="130"/>
  <c r="G22" i="130"/>
  <c r="X22" i="130" a="1"/>
  <c r="X22" i="130" s="1"/>
  <c r="X26" i="130" s="1"/>
  <c r="X28" i="130" s="1"/>
  <c r="W22" i="130"/>
  <c r="U22" i="130"/>
  <c r="O22" i="130" a="1"/>
  <c r="N22" i="130" a="1"/>
  <c r="X21" i="130"/>
  <c r="W21" i="130"/>
  <c r="U21" i="130"/>
  <c r="O21" i="130" a="1"/>
  <c r="N21" i="130" a="1"/>
  <c r="X20" i="130"/>
  <c r="W20" i="130"/>
  <c r="U20" i="130"/>
  <c r="O20" i="130" a="1"/>
  <c r="N20" i="130" a="1"/>
  <c r="X19" i="130"/>
  <c r="W19" i="130"/>
  <c r="U19" i="130"/>
  <c r="O19" i="130" a="1"/>
  <c r="N19" i="130" a="1"/>
  <c r="X18" i="130"/>
  <c r="W18" i="130"/>
  <c r="O18" i="130" a="1"/>
  <c r="N18" i="130" a="1"/>
  <c r="X17" i="130"/>
  <c r="W17" i="130"/>
  <c r="O17" i="130" a="1"/>
  <c r="N17" i="130" a="1"/>
  <c r="X16" i="130"/>
  <c r="W16" i="130"/>
  <c r="O16" i="130" a="1"/>
  <c r="N16" i="130" a="1"/>
  <c r="W15" i="130"/>
  <c r="O15" i="130" a="1"/>
  <c r="N15" i="130" a="1"/>
  <c r="S24" i="129"/>
  <c r="S25" i="129"/>
  <c r="S26" i="129"/>
  <c r="G15" i="129"/>
  <c r="A35" i="129"/>
  <c r="G35" i="129"/>
  <c r="K35" i="129" a="1"/>
  <c r="L35" i="129" a="1"/>
  <c r="N35" i="129" a="1"/>
  <c r="O35" i="129" a="1"/>
  <c r="Q35" i="129"/>
  <c r="R35" i="129"/>
  <c r="S35" i="129"/>
  <c r="T35" i="129"/>
  <c r="U35" i="129"/>
  <c r="V35" i="129"/>
  <c r="W35" i="129"/>
  <c r="X35" i="129"/>
  <c r="A36" i="129"/>
  <c r="G36" i="129"/>
  <c r="K36" i="129" a="1"/>
  <c r="L36" i="129" a="1"/>
  <c r="N36" i="129" a="1"/>
  <c r="O36" i="129" a="1"/>
  <c r="Q36" i="129"/>
  <c r="R36" i="129"/>
  <c r="S36" i="129"/>
  <c r="T36" i="129"/>
  <c r="U36" i="129"/>
  <c r="V36" i="129"/>
  <c r="W36" i="129"/>
  <c r="X36" i="129"/>
  <c r="S31" i="126"/>
  <c r="K31" i="126" a="1"/>
  <c r="Q31" i="126"/>
  <c r="L31" i="126" a="1"/>
  <c r="R31" i="126"/>
  <c r="T31" i="126"/>
  <c r="U31" i="126"/>
  <c r="V31" i="126"/>
  <c r="K15" i="126" a="1"/>
  <c r="Q15" i="126"/>
  <c r="L15" i="126" a="1"/>
  <c r="R15" i="126"/>
  <c r="T15" i="126"/>
  <c r="U15" i="126"/>
  <c r="V15" i="126"/>
  <c r="K16" i="126" a="1"/>
  <c r="Q16" i="126"/>
  <c r="L16" i="126" a="1"/>
  <c r="R16" i="126"/>
  <c r="T16" i="126"/>
  <c r="U16" i="126"/>
  <c r="V16" i="126"/>
  <c r="K17" i="126" a="1"/>
  <c r="Q17" i="126"/>
  <c r="L17" i="126" a="1"/>
  <c r="R17" i="126"/>
  <c r="T17" i="126"/>
  <c r="U17" i="126"/>
  <c r="V17" i="126"/>
  <c r="K18" i="126" a="1"/>
  <c r="Q18" i="126"/>
  <c r="L18" i="126" a="1"/>
  <c r="R18" i="126"/>
  <c r="T18" i="126"/>
  <c r="U18" i="126"/>
  <c r="V18" i="126"/>
  <c r="K34" i="126" a="1"/>
  <c r="Q34" i="126"/>
  <c r="L34" i="126" a="1"/>
  <c r="R34" i="126"/>
  <c r="T34" i="126"/>
  <c r="U34" i="126"/>
  <c r="V34" i="126"/>
  <c r="K33" i="126" a="1"/>
  <c r="Q33" i="126"/>
  <c r="L33" i="126" a="1"/>
  <c r="R33" i="126"/>
  <c r="T33" i="126"/>
  <c r="U33" i="126"/>
  <c r="V33" i="126"/>
  <c r="K32" i="126" a="1"/>
  <c r="Q32" i="126"/>
  <c r="L32" i="126" a="1"/>
  <c r="R32" i="126"/>
  <c r="T32" i="126"/>
  <c r="U32" i="126"/>
  <c r="V32" i="126"/>
  <c r="K30" i="126" a="1"/>
  <c r="Q30" i="126"/>
  <c r="L30" i="126" a="1"/>
  <c r="R30" i="126"/>
  <c r="T30" i="126"/>
  <c r="U30" i="126"/>
  <c r="V30" i="126"/>
  <c r="K29" i="126" a="1"/>
  <c r="Q29" i="126"/>
  <c r="L29" i="126" a="1"/>
  <c r="R29" i="126"/>
  <c r="T29" i="126"/>
  <c r="U29" i="126"/>
  <c r="V29" i="126"/>
  <c r="K28" i="126" a="1"/>
  <c r="Q28" i="126"/>
  <c r="L28" i="126" a="1"/>
  <c r="R28" i="126"/>
  <c r="T28" i="126"/>
  <c r="U28" i="126"/>
  <c r="V28" i="126"/>
  <c r="K27" i="126" a="1"/>
  <c r="Q27" i="126"/>
  <c r="L27" i="126" a="1"/>
  <c r="R27" i="126"/>
  <c r="T27" i="126"/>
  <c r="U27" i="126"/>
  <c r="V27" i="126"/>
  <c r="K26" i="126" a="1"/>
  <c r="Q26" i="126"/>
  <c r="L26" i="126" a="1"/>
  <c r="R26" i="126"/>
  <c r="T26" i="126"/>
  <c r="U26" i="126"/>
  <c r="V26" i="126"/>
  <c r="K25" i="126" a="1"/>
  <c r="Q25" i="126"/>
  <c r="L25" i="126" a="1"/>
  <c r="R25" i="126"/>
  <c r="T25" i="126"/>
  <c r="U25" i="126"/>
  <c r="V25" i="126"/>
  <c r="K24" i="126" a="1"/>
  <c r="Q24" i="126"/>
  <c r="L24" i="126" a="1"/>
  <c r="R24" i="126"/>
  <c r="T24" i="126"/>
  <c r="U24" i="126"/>
  <c r="V24" i="126"/>
  <c r="K23" i="126" a="1"/>
  <c r="Q23" i="126"/>
  <c r="L23" i="126" a="1"/>
  <c r="R23" i="126"/>
  <c r="T23" i="126"/>
  <c r="U23" i="126"/>
  <c r="V23" i="126"/>
  <c r="K22" i="126" a="1"/>
  <c r="Q22" i="126"/>
  <c r="L22" i="126" a="1"/>
  <c r="R22" i="126"/>
  <c r="T22" i="126"/>
  <c r="U22" i="126"/>
  <c r="V22" i="126"/>
  <c r="K21" i="126" a="1"/>
  <c r="Q21" i="126"/>
  <c r="L21" i="126" a="1"/>
  <c r="R21" i="126"/>
  <c r="T21" i="126"/>
  <c r="U21" i="126"/>
  <c r="V21" i="126"/>
  <c r="K20" i="126" a="1"/>
  <c r="Q20" i="126"/>
  <c r="L20" i="126" a="1"/>
  <c r="R20" i="126"/>
  <c r="T20" i="126"/>
  <c r="U20" i="126"/>
  <c r="V20" i="126"/>
  <c r="K19" i="126" a="1"/>
  <c r="Q19" i="126"/>
  <c r="L19" i="126" a="1"/>
  <c r="R19" i="126"/>
  <c r="T19" i="126"/>
  <c r="U19" i="126"/>
  <c r="V19" i="126"/>
  <c r="V46" i="126"/>
  <c r="K15" i="129" a="1"/>
  <c r="Q15" i="129"/>
  <c r="L15" i="129" a="1"/>
  <c r="R15" i="129"/>
  <c r="S15" i="129"/>
  <c r="T15" i="129"/>
  <c r="U15" i="129"/>
  <c r="V15" i="129"/>
  <c r="K16" i="129" a="1"/>
  <c r="Q16" i="129"/>
  <c r="L16" i="129" a="1"/>
  <c r="R16" i="129"/>
  <c r="S16" i="129"/>
  <c r="T16" i="129"/>
  <c r="U16" i="129"/>
  <c r="V16" i="129"/>
  <c r="K17" i="129" a="1"/>
  <c r="Q17" i="129"/>
  <c r="L17" i="129" a="1"/>
  <c r="R17" i="129"/>
  <c r="S17" i="129"/>
  <c r="T17" i="129"/>
  <c r="U17" i="129"/>
  <c r="V17" i="129"/>
  <c r="K18" i="129" a="1"/>
  <c r="Q18" i="129"/>
  <c r="L18" i="129" a="1"/>
  <c r="R18" i="129"/>
  <c r="S18" i="129"/>
  <c r="T18" i="129"/>
  <c r="U18" i="129"/>
  <c r="V18" i="129"/>
  <c r="K34" i="129" a="1"/>
  <c r="Q34" i="129"/>
  <c r="L34" i="129" a="1"/>
  <c r="R34" i="129"/>
  <c r="S34" i="129"/>
  <c r="T34" i="129"/>
  <c r="U34" i="129"/>
  <c r="V34" i="129"/>
  <c r="K33" i="129" a="1"/>
  <c r="Q33" i="129"/>
  <c r="L33" i="129" a="1"/>
  <c r="R33" i="129"/>
  <c r="S33" i="129"/>
  <c r="T33" i="129"/>
  <c r="U33" i="129"/>
  <c r="V33" i="129"/>
  <c r="K32" i="129" a="1"/>
  <c r="Q32" i="129"/>
  <c r="L32" i="129" a="1"/>
  <c r="R32" i="129"/>
  <c r="S32" i="129"/>
  <c r="T32" i="129"/>
  <c r="U32" i="129"/>
  <c r="V32" i="129"/>
  <c r="K31" i="129" a="1"/>
  <c r="Q31" i="129"/>
  <c r="L31" i="129" a="1"/>
  <c r="R31" i="129"/>
  <c r="S31" i="129"/>
  <c r="T31" i="129"/>
  <c r="U31" i="129"/>
  <c r="V31" i="129"/>
  <c r="K30" i="129" a="1"/>
  <c r="Q30" i="129"/>
  <c r="L30" i="129" a="1"/>
  <c r="R30" i="129"/>
  <c r="S30" i="129"/>
  <c r="T30" i="129"/>
  <c r="U30" i="129"/>
  <c r="V30" i="129"/>
  <c r="K29" i="129" a="1"/>
  <c r="Q29" i="129"/>
  <c r="L29" i="129" a="1"/>
  <c r="R29" i="129"/>
  <c r="S29" i="129"/>
  <c r="T29" i="129"/>
  <c r="U29" i="129"/>
  <c r="V29" i="129"/>
  <c r="K28" i="129" a="1"/>
  <c r="Q28" i="129"/>
  <c r="L28" i="129" a="1"/>
  <c r="R28" i="129"/>
  <c r="S28" i="129"/>
  <c r="T28" i="129"/>
  <c r="U28" i="129"/>
  <c r="V28" i="129"/>
  <c r="K27" i="129" a="1"/>
  <c r="Q27" i="129"/>
  <c r="L27" i="129" a="1"/>
  <c r="R27" i="129"/>
  <c r="S27" i="129"/>
  <c r="T27" i="129"/>
  <c r="U27" i="129"/>
  <c r="V27" i="129"/>
  <c r="K26" i="129" a="1"/>
  <c r="Q26" i="129"/>
  <c r="L26" i="129" a="1"/>
  <c r="R26" i="129"/>
  <c r="T26" i="129"/>
  <c r="U26" i="129"/>
  <c r="V26" i="129"/>
  <c r="K25" i="129" a="1"/>
  <c r="Q25" i="129"/>
  <c r="L25" i="129" a="1"/>
  <c r="R25" i="129"/>
  <c r="T25" i="129"/>
  <c r="U25" i="129"/>
  <c r="V25" i="129"/>
  <c r="K24" i="129" a="1"/>
  <c r="Q24" i="129"/>
  <c r="L24" i="129" a="1"/>
  <c r="R24" i="129"/>
  <c r="T24" i="129"/>
  <c r="U24" i="129"/>
  <c r="V24" i="129"/>
  <c r="K23" i="129" a="1"/>
  <c r="Q23" i="129"/>
  <c r="L23" i="129" a="1"/>
  <c r="R23" i="129"/>
  <c r="S23" i="129"/>
  <c r="T23" i="129"/>
  <c r="U23" i="129"/>
  <c r="V23" i="129"/>
  <c r="K22" i="129" a="1"/>
  <c r="Q22" i="129"/>
  <c r="L22" i="129" a="1"/>
  <c r="R22" i="129"/>
  <c r="S22" i="129"/>
  <c r="T22" i="129"/>
  <c r="U22" i="129"/>
  <c r="V22" i="129"/>
  <c r="K21" i="129" a="1"/>
  <c r="Q21" i="129"/>
  <c r="L21" i="129" a="1"/>
  <c r="R21" i="129"/>
  <c r="S21" i="129"/>
  <c r="T21" i="129"/>
  <c r="U21" i="129"/>
  <c r="V21" i="129"/>
  <c r="K20" i="129" a="1"/>
  <c r="Q20" i="129"/>
  <c r="L20" i="129" a="1"/>
  <c r="R20" i="129"/>
  <c r="S20" i="129"/>
  <c r="T20" i="129"/>
  <c r="U20" i="129"/>
  <c r="V20" i="129"/>
  <c r="K19" i="129" a="1"/>
  <c r="Q19" i="129"/>
  <c r="L19" i="129" a="1"/>
  <c r="R19" i="129"/>
  <c r="S19" i="129"/>
  <c r="T19" i="129"/>
  <c r="U19" i="129"/>
  <c r="V19" i="129"/>
  <c r="V46" i="129"/>
  <c r="V48" i="129"/>
  <c r="T48" i="129"/>
  <c r="I48" i="129"/>
  <c r="T46" i="129"/>
  <c r="I46" i="129"/>
  <c r="X34" i="129"/>
  <c r="W34" i="129"/>
  <c r="O34" i="129" a="1"/>
  <c r="N34" i="129" a="1"/>
  <c r="G34" i="129"/>
  <c r="A16" i="129"/>
  <c r="A17" i="129"/>
  <c r="A18" i="129"/>
  <c r="A19" i="129"/>
  <c r="A20" i="129"/>
  <c r="A21" i="129"/>
  <c r="A22" i="129"/>
  <c r="A23" i="129"/>
  <c r="A24" i="129"/>
  <c r="A25" i="129"/>
  <c r="A26" i="129"/>
  <c r="A27" i="129"/>
  <c r="A28" i="129"/>
  <c r="A29" i="129"/>
  <c r="A30" i="129"/>
  <c r="A31" i="129"/>
  <c r="A32" i="129"/>
  <c r="A33" i="129"/>
  <c r="A34" i="129"/>
  <c r="X33" i="129"/>
  <c r="W33" i="129"/>
  <c r="O33" i="129" a="1"/>
  <c r="N33" i="129" a="1"/>
  <c r="G33" i="129"/>
  <c r="X32" i="129"/>
  <c r="W32" i="129"/>
  <c r="O32" i="129" a="1"/>
  <c r="N32" i="129" a="1"/>
  <c r="G32" i="129"/>
  <c r="X31" i="129"/>
  <c r="W31" i="129"/>
  <c r="O31" i="129" a="1"/>
  <c r="N31" i="129" a="1"/>
  <c r="G31" i="129"/>
  <c r="X30" i="129"/>
  <c r="W30" i="129"/>
  <c r="O30" i="129" a="1"/>
  <c r="N30" i="129" a="1"/>
  <c r="G30" i="129"/>
  <c r="X29" i="129"/>
  <c r="W29" i="129"/>
  <c r="O29" i="129" a="1"/>
  <c r="N29" i="129" a="1"/>
  <c r="G29" i="129"/>
  <c r="X28" i="129"/>
  <c r="W28" i="129"/>
  <c r="O28" i="129" a="1"/>
  <c r="N28" i="129" a="1"/>
  <c r="G28" i="129"/>
  <c r="X27" i="129"/>
  <c r="W27" i="129"/>
  <c r="O27" i="129" a="1"/>
  <c r="N27" i="129" a="1"/>
  <c r="G27" i="129"/>
  <c r="X26" i="129"/>
  <c r="W26" i="129"/>
  <c r="O26" i="129" a="1"/>
  <c r="N26" i="129" a="1"/>
  <c r="G26" i="129"/>
  <c r="X25" i="129"/>
  <c r="W25" i="129"/>
  <c r="O25" i="129" a="1"/>
  <c r="G25" i="129"/>
  <c r="X24" i="129"/>
  <c r="W24" i="129"/>
  <c r="O24" i="129" a="1"/>
  <c r="N24" i="129" a="1"/>
  <c r="G24" i="129"/>
  <c r="X23" i="129"/>
  <c r="W23" i="129"/>
  <c r="O23" i="129" a="1"/>
  <c r="N23" i="129" a="1"/>
  <c r="G23" i="129"/>
  <c r="X22" i="129"/>
  <c r="W22" i="129"/>
  <c r="O22" i="129" a="1"/>
  <c r="N22" i="129" a="1"/>
  <c r="G22" i="129"/>
  <c r="X21" i="129"/>
  <c r="W21" i="129"/>
  <c r="O21" i="129" a="1"/>
  <c r="N21" i="129" a="1"/>
  <c r="G21" i="129"/>
  <c r="X20" i="129"/>
  <c r="W20" i="129"/>
  <c r="O20" i="129" a="1"/>
  <c r="N20" i="129" a="1"/>
  <c r="G20" i="129"/>
  <c r="X19" i="129"/>
  <c r="W19" i="129"/>
  <c r="O19" i="129" a="1"/>
  <c r="N19" i="129" a="1"/>
  <c r="G19" i="129"/>
  <c r="X18" i="129"/>
  <c r="W18" i="129"/>
  <c r="O18" i="129" a="1"/>
  <c r="N18" i="129" a="1"/>
  <c r="G18" i="129"/>
  <c r="X17" i="129"/>
  <c r="W17" i="129"/>
  <c r="O17" i="129" a="1"/>
  <c r="N17" i="129" a="1"/>
  <c r="G17" i="129"/>
  <c r="X16" i="129"/>
  <c r="W16" i="129"/>
  <c r="O16" i="129" a="1"/>
  <c r="N16" i="129" a="1"/>
  <c r="G16" i="129"/>
  <c r="X15" i="129"/>
  <c r="W15" i="129"/>
  <c r="O15" i="129" a="1"/>
  <c r="N15" i="129" a="1"/>
  <c r="I46" i="126"/>
  <c r="G21" i="126"/>
  <c r="S17" i="128"/>
  <c r="T17" i="128"/>
  <c r="U17" i="128"/>
  <c r="V17" i="128"/>
  <c r="W17" i="128"/>
  <c r="S18" i="128"/>
  <c r="T18" i="128"/>
  <c r="U18" i="128"/>
  <c r="V18" i="128"/>
  <c r="W18" i="128"/>
  <c r="S19" i="128"/>
  <c r="T19" i="128"/>
  <c r="U19" i="128"/>
  <c r="V19" i="128"/>
  <c r="W19" i="128"/>
  <c r="S20" i="128"/>
  <c r="T20" i="128"/>
  <c r="U20" i="128"/>
  <c r="V20" i="128"/>
  <c r="W20" i="128"/>
  <c r="S26" i="128"/>
  <c r="T26" i="128"/>
  <c r="U26" i="128"/>
  <c r="V26" i="128"/>
  <c r="W26" i="128"/>
  <c r="S25" i="128"/>
  <c r="T25" i="128"/>
  <c r="U25" i="128"/>
  <c r="V25" i="128"/>
  <c r="W25" i="128"/>
  <c r="S24" i="128"/>
  <c r="T24" i="128"/>
  <c r="U24" i="128"/>
  <c r="V24" i="128"/>
  <c r="W24" i="128"/>
  <c r="S23" i="128"/>
  <c r="T23" i="128"/>
  <c r="U23" i="128"/>
  <c r="V23" i="128"/>
  <c r="W23" i="128"/>
  <c r="S22" i="128"/>
  <c r="T22" i="128"/>
  <c r="U22" i="128"/>
  <c r="V22" i="128"/>
  <c r="W22" i="128"/>
  <c r="S21" i="128"/>
  <c r="T21" i="128"/>
  <c r="U21" i="128"/>
  <c r="V21" i="128"/>
  <c r="W21" i="128"/>
  <c r="W50" i="128"/>
  <c r="W52" i="128"/>
  <c r="U50" i="128"/>
  <c r="U52" i="128"/>
  <c r="J50" i="128"/>
  <c r="J52" i="128"/>
  <c r="D52" i="128" a="1"/>
  <c r="D51" i="128" a="1"/>
  <c r="D50" i="128" a="1"/>
  <c r="Y49" i="128"/>
  <c r="X49" i="128"/>
  <c r="R49" i="128"/>
  <c r="P49" i="128" a="1"/>
  <c r="L49" i="128" a="1"/>
  <c r="D49" i="128" a="1"/>
  <c r="Y48" i="128"/>
  <c r="X48" i="128"/>
  <c r="R48" i="128"/>
  <c r="P48" i="128" a="1"/>
  <c r="L48" i="128" a="1"/>
  <c r="D48" i="128" a="1"/>
  <c r="Y47" i="128"/>
  <c r="X47" i="128"/>
  <c r="R47" i="128"/>
  <c r="P47" i="128" a="1"/>
  <c r="L47" i="128" a="1"/>
  <c r="D47" i="128" a="1"/>
  <c r="Y46" i="128"/>
  <c r="X46" i="128"/>
  <c r="R46" i="128"/>
  <c r="P46" i="128" a="1"/>
  <c r="L46" i="128" a="1"/>
  <c r="D46" i="128" a="1"/>
  <c r="Y45" i="128"/>
  <c r="X45" i="128"/>
  <c r="R45" i="128"/>
  <c r="P45" i="128" a="1"/>
  <c r="L45" i="128" a="1"/>
  <c r="D45" i="128" a="1"/>
  <c r="Y44" i="128"/>
  <c r="X44" i="128"/>
  <c r="R44" i="128"/>
  <c r="P44" i="128" a="1"/>
  <c r="L44" i="128" a="1"/>
  <c r="D44" i="128" a="1"/>
  <c r="Y43" i="128"/>
  <c r="X43" i="128"/>
  <c r="R43" i="128"/>
  <c r="P43" i="128" a="1"/>
  <c r="L43" i="128" a="1"/>
  <c r="D43" i="128" a="1"/>
  <c r="Y42" i="128"/>
  <c r="X42" i="128"/>
  <c r="R42" i="128"/>
  <c r="P42" i="128" a="1"/>
  <c r="L42" i="128" a="1"/>
  <c r="D42" i="128" a="1"/>
  <c r="Y41" i="128"/>
  <c r="X41" i="128"/>
  <c r="D41" i="128" a="1"/>
  <c r="Y40" i="128"/>
  <c r="X40" i="128"/>
  <c r="D40" i="128" a="1"/>
  <c r="Y39" i="128"/>
  <c r="X39" i="128"/>
  <c r="D39" i="128" a="1"/>
  <c r="Y38" i="128"/>
  <c r="X38" i="128"/>
  <c r="D38" i="128" a="1"/>
  <c r="Y37" i="128"/>
  <c r="X37" i="128"/>
  <c r="D37" i="128" a="1"/>
  <c r="Y36" i="128"/>
  <c r="X36" i="128"/>
  <c r="D36" i="128" a="1"/>
  <c r="Y35" i="128"/>
  <c r="X35" i="128"/>
  <c r="D35" i="128" a="1"/>
  <c r="Y34" i="128"/>
  <c r="X34" i="128"/>
  <c r="D34" i="128" a="1"/>
  <c r="Y33" i="128"/>
  <c r="X33" i="128"/>
  <c r="D33" i="128" a="1"/>
  <c r="Y32" i="128"/>
  <c r="X32" i="128"/>
  <c r="D32" i="128" a="1"/>
  <c r="Y31" i="128"/>
  <c r="X31" i="128"/>
  <c r="D31" i="128" a="1"/>
  <c r="Y30" i="128"/>
  <c r="X30" i="128"/>
  <c r="D30" i="128" a="1"/>
  <c r="Y29" i="128"/>
  <c r="X29" i="128"/>
  <c r="D29" i="128" a="1"/>
  <c r="Y28" i="128"/>
  <c r="X28" i="128"/>
  <c r="D28" i="128" a="1"/>
  <c r="Y27" i="128"/>
  <c r="X27" i="128"/>
  <c r="D27" i="128" a="1"/>
  <c r="Y26" i="128"/>
  <c r="X26" i="128"/>
  <c r="P26" i="128" a="1"/>
  <c r="H26" i="128"/>
  <c r="D26" i="128" a="1"/>
  <c r="B26" i="128" a="1"/>
  <c r="A18" i="128"/>
  <c r="A19" i="128"/>
  <c r="A20" i="128"/>
  <c r="A21" i="128"/>
  <c r="A22" i="128"/>
  <c r="A23" i="128"/>
  <c r="A24" i="128"/>
  <c r="A25" i="128"/>
  <c r="A26" i="128"/>
  <c r="Y25" i="128"/>
  <c r="X25" i="128"/>
  <c r="P25" i="128" a="1"/>
  <c r="H25" i="128"/>
  <c r="D25" i="128" a="1"/>
  <c r="B25" i="128" a="1"/>
  <c r="Y24" i="128"/>
  <c r="X24" i="128"/>
  <c r="P24" i="128" a="1"/>
  <c r="H24" i="128"/>
  <c r="D24" i="128" a="1"/>
  <c r="B24" i="128" a="1"/>
  <c r="Y23" i="128"/>
  <c r="X23" i="128"/>
  <c r="P23" i="128" a="1"/>
  <c r="H23" i="128"/>
  <c r="D23" i="128" a="1"/>
  <c r="B23" i="128" a="1"/>
  <c r="Y22" i="128"/>
  <c r="X22" i="128"/>
  <c r="P22" i="128" a="1"/>
  <c r="H22" i="128"/>
  <c r="D22" i="128" a="1"/>
  <c r="B22" i="128" a="1"/>
  <c r="Y21" i="128"/>
  <c r="X21" i="128"/>
  <c r="P21" i="128" a="1"/>
  <c r="H21" i="128"/>
  <c r="D21" i="128" a="1"/>
  <c r="B21" i="128" a="1"/>
  <c r="Y20" i="128"/>
  <c r="X20" i="128"/>
  <c r="P20" i="128" a="1"/>
  <c r="H20" i="128"/>
  <c r="D20" i="128" a="1"/>
  <c r="B20" i="128" a="1"/>
  <c r="Y19" i="128"/>
  <c r="X19" i="128"/>
  <c r="P19" i="128" a="1"/>
  <c r="H19" i="128"/>
  <c r="D19" i="128" a="1"/>
  <c r="B19" i="128" a="1"/>
  <c r="Y18" i="128"/>
  <c r="X18" i="128"/>
  <c r="P18" i="128" a="1"/>
  <c r="H18" i="128"/>
  <c r="D18" i="128" a="1"/>
  <c r="B18" i="128" a="1"/>
  <c r="Y17" i="128"/>
  <c r="X17" i="128"/>
  <c r="P17" i="128" a="1"/>
  <c r="H17" i="128"/>
  <c r="D17" i="128" a="1"/>
  <c r="B17" i="128" a="1"/>
  <c r="T35" i="116"/>
  <c r="U35" i="116"/>
  <c r="V35" i="116"/>
  <c r="A35" i="116"/>
  <c r="T34" i="122"/>
  <c r="U34" i="122"/>
  <c r="V34" i="122"/>
  <c r="A34" i="122"/>
  <c r="U37" i="123"/>
  <c r="V37" i="123"/>
  <c r="T37" i="123"/>
  <c r="A37" i="123"/>
  <c r="L15" i="127" a="1"/>
  <c r="R15" i="127"/>
  <c r="K15" i="127" a="1"/>
  <c r="Q15" i="127"/>
  <c r="U15" i="127"/>
  <c r="S15" i="127"/>
  <c r="T15" i="127"/>
  <c r="V15" i="127"/>
  <c r="K16" i="127" a="1"/>
  <c r="Q16" i="127"/>
  <c r="L16" i="127" a="1"/>
  <c r="R16" i="127"/>
  <c r="S16" i="127"/>
  <c r="T16" i="127"/>
  <c r="U16" i="127"/>
  <c r="V16" i="127"/>
  <c r="K17" i="127" a="1"/>
  <c r="Q17" i="127"/>
  <c r="L17" i="127" a="1"/>
  <c r="R17" i="127"/>
  <c r="S17" i="127"/>
  <c r="T17" i="127"/>
  <c r="U17" i="127"/>
  <c r="V17" i="127"/>
  <c r="K18" i="127" a="1"/>
  <c r="Q18" i="127"/>
  <c r="L18" i="127" a="1"/>
  <c r="R18" i="127"/>
  <c r="S18" i="127"/>
  <c r="T18" i="127"/>
  <c r="U18" i="127"/>
  <c r="V18" i="127"/>
  <c r="K24" i="127" a="1"/>
  <c r="Q24" i="127"/>
  <c r="L24" i="127" a="1"/>
  <c r="R24" i="127"/>
  <c r="S24" i="127"/>
  <c r="T24" i="127"/>
  <c r="U24" i="127"/>
  <c r="V24" i="127"/>
  <c r="K23" i="127" a="1"/>
  <c r="Q23" i="127"/>
  <c r="L23" i="127" a="1"/>
  <c r="R23" i="127"/>
  <c r="S23" i="127"/>
  <c r="T23" i="127"/>
  <c r="U23" i="127"/>
  <c r="V23" i="127"/>
  <c r="K22" i="127" a="1"/>
  <c r="Q22" i="127"/>
  <c r="L22" i="127" a="1"/>
  <c r="R22" i="127"/>
  <c r="S22" i="127"/>
  <c r="T22" i="127"/>
  <c r="U22" i="127"/>
  <c r="V22" i="127"/>
  <c r="K21" i="127" a="1"/>
  <c r="Q21" i="127"/>
  <c r="L21" i="127" a="1"/>
  <c r="R21" i="127"/>
  <c r="S21" i="127"/>
  <c r="T21" i="127"/>
  <c r="U21" i="127"/>
  <c r="V21" i="127"/>
  <c r="K20" i="127" a="1"/>
  <c r="Q20" i="127"/>
  <c r="L20" i="127" a="1"/>
  <c r="R20" i="127"/>
  <c r="S20" i="127"/>
  <c r="T20" i="127"/>
  <c r="U20" i="127"/>
  <c r="V20" i="127"/>
  <c r="K19" i="127" a="1"/>
  <c r="Q19" i="127"/>
  <c r="L19" i="127" a="1"/>
  <c r="R19" i="127"/>
  <c r="S19" i="127"/>
  <c r="T19" i="127"/>
  <c r="U19" i="127"/>
  <c r="V19" i="127"/>
  <c r="V46" i="127"/>
  <c r="V48" i="127"/>
  <c r="T48" i="127"/>
  <c r="I48" i="127"/>
  <c r="T46" i="127"/>
  <c r="I46" i="127"/>
  <c r="X36" i="127"/>
  <c r="A16" i="127"/>
  <c r="A17" i="127"/>
  <c r="A18" i="127"/>
  <c r="A19" i="127"/>
  <c r="A20" i="127"/>
  <c r="A21" i="127"/>
  <c r="A22" i="127"/>
  <c r="A23" i="127"/>
  <c r="A24" i="127"/>
  <c r="A25" i="127"/>
  <c r="A26" i="127"/>
  <c r="A27" i="127"/>
  <c r="A28" i="127"/>
  <c r="A29" i="127"/>
  <c r="A30" i="127"/>
  <c r="A31" i="127"/>
  <c r="A32" i="127"/>
  <c r="A33" i="127"/>
  <c r="A34" i="127"/>
  <c r="A35" i="127"/>
  <c r="A36" i="127"/>
  <c r="X35" i="127"/>
  <c r="X34" i="127"/>
  <c r="X33" i="127"/>
  <c r="X32" i="127"/>
  <c r="X31" i="127"/>
  <c r="X30" i="127"/>
  <c r="X29" i="127"/>
  <c r="X28" i="127"/>
  <c r="X27" i="127"/>
  <c r="X26" i="127"/>
  <c r="X25" i="127"/>
  <c r="X24" i="127"/>
  <c r="W24" i="127"/>
  <c r="O24" i="127" a="1"/>
  <c r="N24" i="127" a="1"/>
  <c r="G24" i="127"/>
  <c r="X23" i="127"/>
  <c r="W23" i="127"/>
  <c r="O23" i="127" a="1"/>
  <c r="N23" i="127" a="1"/>
  <c r="G23" i="127"/>
  <c r="X22" i="127"/>
  <c r="W22" i="127"/>
  <c r="O22" i="127" a="1"/>
  <c r="N22" i="127" a="1"/>
  <c r="G22" i="127"/>
  <c r="X21" i="127"/>
  <c r="W21" i="127"/>
  <c r="O21" i="127" a="1"/>
  <c r="N21" i="127" a="1"/>
  <c r="G21" i="127"/>
  <c r="X20" i="127"/>
  <c r="W20" i="127"/>
  <c r="O20" i="127" a="1"/>
  <c r="N20" i="127" a="1"/>
  <c r="G20" i="127"/>
  <c r="X19" i="127"/>
  <c r="W19" i="127"/>
  <c r="O19" i="127" a="1"/>
  <c r="N19" i="127" a="1"/>
  <c r="G19" i="127"/>
  <c r="X18" i="127"/>
  <c r="W18" i="127"/>
  <c r="O18" i="127" a="1"/>
  <c r="N18" i="127" a="1"/>
  <c r="G18" i="127"/>
  <c r="X17" i="127"/>
  <c r="W17" i="127"/>
  <c r="O17" i="127" a="1"/>
  <c r="N17" i="127" a="1"/>
  <c r="G17" i="127"/>
  <c r="X16" i="127"/>
  <c r="W16" i="127"/>
  <c r="O16" i="127" a="1"/>
  <c r="N16" i="127" a="1"/>
  <c r="G16" i="127"/>
  <c r="X15" i="127"/>
  <c r="W15" i="127"/>
  <c r="O15" i="127" a="1"/>
  <c r="N15" i="127" a="1"/>
  <c r="G15" i="127"/>
  <c r="U15" i="124"/>
  <c r="X16" i="124"/>
  <c r="X17" i="124"/>
  <c r="X18" i="124"/>
  <c r="X19" i="124"/>
  <c r="X20" i="124"/>
  <c r="X21" i="124"/>
  <c r="X22" i="124"/>
  <c r="X23" i="124"/>
  <c r="X24" i="124"/>
  <c r="X15" i="124"/>
  <c r="B15" i="125" a="1"/>
  <c r="D15" i="125"/>
  <c r="B16" i="125" a="1"/>
  <c r="D16" i="125"/>
  <c r="B17" i="125" a="1"/>
  <c r="D17" i="125"/>
  <c r="B18" i="125" a="1"/>
  <c r="D18" i="125"/>
  <c r="B19" i="125" a="1"/>
  <c r="D19" i="125"/>
  <c r="B20" i="125" a="1"/>
  <c r="D20" i="125"/>
  <c r="B21" i="125" a="1"/>
  <c r="D21" i="125"/>
  <c r="B22" i="125" a="1"/>
  <c r="D22" i="125"/>
  <c r="B23" i="125" a="1"/>
  <c r="D23" i="125"/>
  <c r="B24" i="125" a="1"/>
  <c r="D24" i="125"/>
  <c r="X22" i="125" a="1"/>
  <c r="X22" i="125" s="1"/>
  <c r="X29" i="125" s="1"/>
  <c r="X31" i="125" s="1"/>
  <c r="S15" i="126"/>
  <c r="S16" i="126"/>
  <c r="S17" i="126"/>
  <c r="S18" i="126"/>
  <c r="S34" i="126"/>
  <c r="S33" i="126"/>
  <c r="S32" i="126"/>
  <c r="S30" i="126"/>
  <c r="S29" i="126"/>
  <c r="S28" i="126"/>
  <c r="S27" i="126"/>
  <c r="S26" i="126"/>
  <c r="S25" i="126"/>
  <c r="S24" i="126"/>
  <c r="S23" i="126"/>
  <c r="S22" i="126"/>
  <c r="S21" i="126"/>
  <c r="S20" i="126"/>
  <c r="S19" i="126"/>
  <c r="V48" i="126"/>
  <c r="T48" i="126"/>
  <c r="I48" i="126"/>
  <c r="T46" i="126"/>
  <c r="A16" i="126"/>
  <c r="A17" i="126"/>
  <c r="A18" i="126"/>
  <c r="A19" i="126"/>
  <c r="A20" i="126"/>
  <c r="A21" i="126"/>
  <c r="A22" i="126"/>
  <c r="A23" i="126"/>
  <c r="A24" i="126"/>
  <c r="A25" i="126"/>
  <c r="A26" i="126"/>
  <c r="A27" i="126"/>
  <c r="A28" i="126"/>
  <c r="A29" i="126"/>
  <c r="A30" i="126"/>
  <c r="A31" i="126"/>
  <c r="A32" i="126"/>
  <c r="A33" i="126"/>
  <c r="A34" i="126"/>
  <c r="X34" i="126"/>
  <c r="W34" i="126"/>
  <c r="O34" i="126" a="1"/>
  <c r="N34" i="126" a="1"/>
  <c r="G34" i="126"/>
  <c r="X33" i="126"/>
  <c r="W33" i="126"/>
  <c r="O33" i="126" a="1"/>
  <c r="N33" i="126" a="1"/>
  <c r="G33" i="126"/>
  <c r="X32" i="126"/>
  <c r="W32" i="126"/>
  <c r="O32" i="126" a="1"/>
  <c r="N32" i="126" a="1"/>
  <c r="G32" i="126"/>
  <c r="X31" i="126"/>
  <c r="W31" i="126"/>
  <c r="O31" i="126" a="1"/>
  <c r="N31" i="126" a="1"/>
  <c r="G31" i="126"/>
  <c r="X30" i="126"/>
  <c r="W30" i="126"/>
  <c r="O30" i="126" a="1"/>
  <c r="N30" i="126" a="1"/>
  <c r="G30" i="126"/>
  <c r="X29" i="126"/>
  <c r="W29" i="126"/>
  <c r="O29" i="126" a="1"/>
  <c r="N29" i="126" a="1"/>
  <c r="G29" i="126"/>
  <c r="X28" i="126"/>
  <c r="W28" i="126"/>
  <c r="O28" i="126" a="1"/>
  <c r="N28" i="126" a="1"/>
  <c r="G28" i="126"/>
  <c r="X27" i="126"/>
  <c r="W27" i="126"/>
  <c r="O27" i="126" a="1"/>
  <c r="N27" i="126" a="1"/>
  <c r="G27" i="126"/>
  <c r="X26" i="126"/>
  <c r="W26" i="126"/>
  <c r="O26" i="126" a="1"/>
  <c r="N26" i="126" a="1"/>
  <c r="G26" i="126"/>
  <c r="X25" i="126"/>
  <c r="W25" i="126"/>
  <c r="O25" i="126" a="1"/>
  <c r="G25" i="126"/>
  <c r="X24" i="126"/>
  <c r="W24" i="126"/>
  <c r="O24" i="126" a="1"/>
  <c r="N24" i="126" a="1"/>
  <c r="G24" i="126"/>
  <c r="X23" i="126"/>
  <c r="W23" i="126"/>
  <c r="O23" i="126" a="1"/>
  <c r="N23" i="126" a="1"/>
  <c r="G23" i="126"/>
  <c r="X22" i="126"/>
  <c r="W22" i="126"/>
  <c r="O22" i="126" a="1"/>
  <c r="N22" i="126" a="1"/>
  <c r="G22" i="126"/>
  <c r="X21" i="126"/>
  <c r="W21" i="126"/>
  <c r="O21" i="126" a="1"/>
  <c r="N21" i="126" a="1"/>
  <c r="X20" i="126"/>
  <c r="W20" i="126"/>
  <c r="O20" i="126" a="1"/>
  <c r="N20" i="126" a="1"/>
  <c r="G20" i="126"/>
  <c r="X19" i="126"/>
  <c r="W19" i="126"/>
  <c r="O19" i="126" a="1"/>
  <c r="N19" i="126" a="1"/>
  <c r="G19" i="126"/>
  <c r="X18" i="126"/>
  <c r="W18" i="126"/>
  <c r="O18" i="126" a="1"/>
  <c r="N18" i="126" a="1"/>
  <c r="G18" i="126"/>
  <c r="X17" i="126"/>
  <c r="W17" i="126"/>
  <c r="O17" i="126" a="1"/>
  <c r="N17" i="126" a="1"/>
  <c r="G17" i="126"/>
  <c r="X16" i="126"/>
  <c r="W16" i="126"/>
  <c r="O16" i="126" a="1"/>
  <c r="N16" i="126" a="1"/>
  <c r="G16" i="126"/>
  <c r="X15" i="126"/>
  <c r="W15" i="126"/>
  <c r="O15" i="126" a="1"/>
  <c r="N15" i="126" a="1"/>
  <c r="G15" i="126"/>
  <c r="K15" i="125" a="1"/>
  <c r="Q15" i="125"/>
  <c r="L15" i="125" a="1"/>
  <c r="R15" i="125"/>
  <c r="S15" i="125"/>
  <c r="T15" i="125"/>
  <c r="U15" i="125"/>
  <c r="V15" i="125"/>
  <c r="K16" i="125" a="1"/>
  <c r="Q16" i="125"/>
  <c r="L16" i="125" a="1"/>
  <c r="R16" i="125"/>
  <c r="S16" i="125"/>
  <c r="T16" i="125"/>
  <c r="U16" i="125"/>
  <c r="V16" i="125"/>
  <c r="K17" i="125" a="1"/>
  <c r="Q17" i="125"/>
  <c r="L17" i="125" a="1"/>
  <c r="R17" i="125"/>
  <c r="S17" i="125"/>
  <c r="T17" i="125"/>
  <c r="U17" i="125"/>
  <c r="V17" i="125"/>
  <c r="K18" i="125" a="1"/>
  <c r="Q18" i="125"/>
  <c r="L18" i="125" a="1"/>
  <c r="R18" i="125"/>
  <c r="S18" i="125"/>
  <c r="T18" i="125"/>
  <c r="U18" i="125"/>
  <c r="V18" i="125"/>
  <c r="K19" i="125" a="1"/>
  <c r="Q19" i="125"/>
  <c r="L19" i="125" a="1"/>
  <c r="R19" i="125"/>
  <c r="S19" i="125"/>
  <c r="T19" i="125"/>
  <c r="K20" i="125" a="1"/>
  <c r="Q20" i="125"/>
  <c r="L20" i="125" a="1"/>
  <c r="R20" i="125"/>
  <c r="S20" i="125"/>
  <c r="T20" i="125"/>
  <c r="K21" i="125" a="1"/>
  <c r="Q21" i="125"/>
  <c r="L21" i="125" a="1"/>
  <c r="R21" i="125"/>
  <c r="S21" i="125"/>
  <c r="T21" i="125"/>
  <c r="K22" i="125" a="1"/>
  <c r="Q22" i="125"/>
  <c r="L22" i="125" a="1"/>
  <c r="R22" i="125"/>
  <c r="S22" i="125"/>
  <c r="T22" i="125"/>
  <c r="K24" i="125" a="1"/>
  <c r="Q24" i="125"/>
  <c r="L24" i="125" a="1"/>
  <c r="R24" i="125"/>
  <c r="S24" i="125"/>
  <c r="T24" i="125"/>
  <c r="K23" i="125" a="1"/>
  <c r="Q23" i="125"/>
  <c r="L23" i="125" a="1"/>
  <c r="R23" i="125"/>
  <c r="S23" i="125"/>
  <c r="T23" i="125"/>
  <c r="T29" i="125"/>
  <c r="W29" i="125"/>
  <c r="W31" i="125"/>
  <c r="T31" i="125"/>
  <c r="I29" i="125"/>
  <c r="I31" i="125"/>
  <c r="A16" i="125"/>
  <c r="A17" i="125"/>
  <c r="A18" i="125"/>
  <c r="A19" i="125"/>
  <c r="A20" i="125"/>
  <c r="A21" i="125"/>
  <c r="A22" i="125"/>
  <c r="A23" i="125"/>
  <c r="A24" i="125"/>
  <c r="A25" i="125"/>
  <c r="A26" i="125"/>
  <c r="A27" i="125"/>
  <c r="X24" i="125"/>
  <c r="W24" i="125"/>
  <c r="U24" i="125"/>
  <c r="O24" i="125" a="1"/>
  <c r="N24" i="125" a="1"/>
  <c r="G24" i="125"/>
  <c r="X23" i="125"/>
  <c r="W23" i="125"/>
  <c r="U23" i="125"/>
  <c r="O23" i="125" a="1"/>
  <c r="N23" i="125" a="1"/>
  <c r="G23" i="125"/>
  <c r="W22" i="125"/>
  <c r="U22" i="125"/>
  <c r="O22" i="125" a="1"/>
  <c r="N22" i="125" a="1"/>
  <c r="G22" i="125"/>
  <c r="X21" i="125"/>
  <c r="W21" i="125"/>
  <c r="U21" i="125"/>
  <c r="O21" i="125" a="1"/>
  <c r="N21" i="125" a="1"/>
  <c r="G21" i="125"/>
  <c r="X20" i="125"/>
  <c r="W20" i="125"/>
  <c r="U20" i="125"/>
  <c r="O20" i="125" a="1"/>
  <c r="N20" i="125" a="1"/>
  <c r="G20" i="125"/>
  <c r="X19" i="125"/>
  <c r="W19" i="125"/>
  <c r="U19" i="125"/>
  <c r="O19" i="125" a="1"/>
  <c r="N19" i="125" a="1"/>
  <c r="G19" i="125"/>
  <c r="X18" i="125"/>
  <c r="W18" i="125"/>
  <c r="O18" i="125" a="1"/>
  <c r="N18" i="125" a="1"/>
  <c r="G18" i="125"/>
  <c r="X17" i="125"/>
  <c r="W17" i="125"/>
  <c r="O17" i="125" a="1"/>
  <c r="N17" i="125" a="1"/>
  <c r="G17" i="125"/>
  <c r="X16" i="125"/>
  <c r="W16" i="125"/>
  <c r="O16" i="125" a="1"/>
  <c r="N16" i="125" a="1"/>
  <c r="G16" i="125"/>
  <c r="W15" i="125"/>
  <c r="O15" i="125" a="1"/>
  <c r="N15" i="125" a="1"/>
  <c r="G15" i="125"/>
  <c r="U44" i="124"/>
  <c r="W44" i="124"/>
  <c r="U18" i="124"/>
  <c r="H16" i="124"/>
  <c r="H17" i="124"/>
  <c r="H18" i="124"/>
  <c r="H19" i="124"/>
  <c r="H20" i="124"/>
  <c r="H21" i="124"/>
  <c r="H22" i="124"/>
  <c r="H23" i="124"/>
  <c r="H24" i="124"/>
  <c r="U20" i="124"/>
  <c r="U21" i="124"/>
  <c r="U22" i="124"/>
  <c r="U23" i="124"/>
  <c r="U24" i="124"/>
  <c r="A20" i="124"/>
  <c r="A21" i="124"/>
  <c r="A22" i="124"/>
  <c r="A23" i="124"/>
  <c r="A24" i="124"/>
  <c r="U16" i="124"/>
  <c r="U17" i="124"/>
  <c r="U19" i="124"/>
  <c r="U46" i="124"/>
  <c r="J44" i="124"/>
  <c r="J46" i="124"/>
  <c r="D46" i="124" a="1"/>
  <c r="D45" i="124" a="1"/>
  <c r="D44" i="124" a="1"/>
  <c r="Y43" i="124"/>
  <c r="X43" i="124"/>
  <c r="O43" i="124" a="1"/>
  <c r="R43" i="124"/>
  <c r="P43" i="124" a="1"/>
  <c r="L43" i="124" a="1"/>
  <c r="D43" i="124" a="1"/>
  <c r="Y42" i="124"/>
  <c r="X42" i="124"/>
  <c r="O42" i="124" a="1"/>
  <c r="R42" i="124"/>
  <c r="P42" i="124" a="1"/>
  <c r="L42" i="124" a="1"/>
  <c r="D42" i="124" a="1"/>
  <c r="Y41" i="124"/>
  <c r="X41" i="124"/>
  <c r="O41" i="124" a="1"/>
  <c r="R41" i="124"/>
  <c r="P41" i="124" a="1"/>
  <c r="L41" i="124" a="1"/>
  <c r="D41" i="124" a="1"/>
  <c r="Y40" i="124"/>
  <c r="X40" i="124"/>
  <c r="O40" i="124" a="1"/>
  <c r="R40" i="124"/>
  <c r="P40" i="124" a="1"/>
  <c r="L40" i="124" a="1"/>
  <c r="D40" i="124" a="1"/>
  <c r="Y39" i="124"/>
  <c r="X39" i="124"/>
  <c r="O39" i="124" a="1"/>
  <c r="R39" i="124"/>
  <c r="P39" i="124" a="1"/>
  <c r="L39" i="124" a="1"/>
  <c r="D39" i="124" a="1"/>
  <c r="Y38" i="124"/>
  <c r="X38" i="124"/>
  <c r="O38" i="124" a="1"/>
  <c r="R38" i="124"/>
  <c r="P38" i="124" a="1"/>
  <c r="L38" i="124" a="1"/>
  <c r="D38" i="124" a="1"/>
  <c r="Y37" i="124"/>
  <c r="X37" i="124"/>
  <c r="O37" i="124" a="1"/>
  <c r="R37" i="124"/>
  <c r="P37" i="124" a="1"/>
  <c r="L37" i="124" a="1"/>
  <c r="D37" i="124" a="1"/>
  <c r="Y36" i="124"/>
  <c r="X36" i="124"/>
  <c r="O36" i="124" a="1"/>
  <c r="R36" i="124"/>
  <c r="P36" i="124" a="1"/>
  <c r="L36" i="124" a="1"/>
  <c r="D36" i="124" a="1"/>
  <c r="Y35" i="124"/>
  <c r="X35" i="124"/>
  <c r="D35" i="124" a="1"/>
  <c r="Y34" i="124"/>
  <c r="X34" i="124"/>
  <c r="D34" i="124" a="1"/>
  <c r="Y33" i="124"/>
  <c r="X33" i="124"/>
  <c r="D33" i="124" a="1"/>
  <c r="Y32" i="124"/>
  <c r="X32" i="124"/>
  <c r="D32" i="124" a="1"/>
  <c r="Y31" i="124"/>
  <c r="X31" i="124"/>
  <c r="D31" i="124" a="1"/>
  <c r="Y30" i="124"/>
  <c r="X30" i="124"/>
  <c r="D30" i="124" a="1"/>
  <c r="Y29" i="124"/>
  <c r="X29" i="124"/>
  <c r="D29" i="124" a="1"/>
  <c r="Y28" i="124"/>
  <c r="X28" i="124"/>
  <c r="D28" i="124" a="1"/>
  <c r="Y27" i="124"/>
  <c r="X27" i="124"/>
  <c r="D27" i="124" a="1"/>
  <c r="Y26" i="124"/>
  <c r="X26" i="124"/>
  <c r="D26" i="124" a="1"/>
  <c r="Y25" i="124"/>
  <c r="X25" i="124"/>
  <c r="D25" i="124" a="1"/>
  <c r="A16" i="124"/>
  <c r="A17" i="124"/>
  <c r="A18" i="124"/>
  <c r="A19" i="124"/>
  <c r="Y19" i="124"/>
  <c r="B19" i="124" a="1"/>
  <c r="Y18" i="124"/>
  <c r="B18" i="124" a="1"/>
  <c r="Y17" i="124"/>
  <c r="B17" i="124" a="1"/>
  <c r="Y16" i="124"/>
  <c r="B16" i="124" a="1"/>
  <c r="H15" i="124"/>
  <c r="B15" i="124" a="1"/>
  <c r="T40" i="3"/>
  <c r="T56" i="3"/>
  <c r="T57" i="3"/>
  <c r="X57" i="3"/>
  <c r="X56" i="3"/>
  <c r="T58" i="3"/>
  <c r="X58" i="3"/>
  <c r="T30" i="3"/>
  <c r="T31" i="3"/>
  <c r="T32" i="3"/>
  <c r="W16" i="123"/>
  <c r="X16" i="123"/>
  <c r="W17" i="123"/>
  <c r="X17" i="123"/>
  <c r="W18" i="123"/>
  <c r="X18" i="123"/>
  <c r="W19" i="123"/>
  <c r="X19" i="123"/>
  <c r="W20" i="123"/>
  <c r="X20" i="123"/>
  <c r="W21" i="123"/>
  <c r="X21" i="123"/>
  <c r="W22" i="123"/>
  <c r="X22" i="123"/>
  <c r="W23" i="123"/>
  <c r="X23" i="123"/>
  <c r="W24" i="123"/>
  <c r="X24" i="123"/>
  <c r="W25" i="123"/>
  <c r="X25" i="123"/>
  <c r="W26" i="123"/>
  <c r="X26" i="123"/>
  <c r="W27" i="123"/>
  <c r="X27" i="123"/>
  <c r="W28" i="123"/>
  <c r="X28" i="123"/>
  <c r="W29" i="123"/>
  <c r="X29" i="123"/>
  <c r="W30" i="123"/>
  <c r="X30" i="123"/>
  <c r="W31" i="123"/>
  <c r="X31" i="123"/>
  <c r="W32" i="123"/>
  <c r="X32" i="123"/>
  <c r="W33" i="123"/>
  <c r="X33" i="123"/>
  <c r="W34" i="123"/>
  <c r="X34" i="123"/>
  <c r="K35" i="123" a="1"/>
  <c r="Q35" i="123"/>
  <c r="L35" i="123" a="1"/>
  <c r="R35" i="123"/>
  <c r="T35" i="123"/>
  <c r="K36" i="123" a="1"/>
  <c r="Q36" i="123"/>
  <c r="L36" i="123" a="1"/>
  <c r="R36" i="123"/>
  <c r="S36" i="123"/>
  <c r="T36" i="123"/>
  <c r="W35" i="123"/>
  <c r="U35" i="123"/>
  <c r="V35" i="123"/>
  <c r="U36" i="123"/>
  <c r="V36" i="123"/>
  <c r="X35" i="123"/>
  <c r="W36" i="123"/>
  <c r="X36" i="123"/>
  <c r="U16" i="121"/>
  <c r="U17" i="121"/>
  <c r="U18" i="121"/>
  <c r="U19" i="121"/>
  <c r="U20" i="121"/>
  <c r="U21" i="121"/>
  <c r="U22" i="121"/>
  <c r="U23" i="121"/>
  <c r="U24" i="121"/>
  <c r="U15" i="121"/>
  <c r="U15" i="122"/>
  <c r="A26" i="122"/>
  <c r="A27" i="122"/>
  <c r="A28" i="122"/>
  <c r="A29" i="122"/>
  <c r="A30" i="122"/>
  <c r="A31" i="122"/>
  <c r="A32" i="122"/>
  <c r="A33" i="122"/>
  <c r="L25" i="122" a="1"/>
  <c r="R25" i="122"/>
  <c r="K25" i="122" a="1"/>
  <c r="Q25" i="122"/>
  <c r="G35" i="123"/>
  <c r="N35" i="123" a="1"/>
  <c r="O35" i="123" a="1"/>
  <c r="S35" i="123"/>
  <c r="G36" i="123"/>
  <c r="N36" i="123" a="1"/>
  <c r="O36" i="123" a="1"/>
  <c r="A35" i="123"/>
  <c r="A36" i="123"/>
  <c r="S15" i="123"/>
  <c r="T15" i="123"/>
  <c r="U15" i="123"/>
  <c r="V15" i="123"/>
  <c r="K16" i="123" a="1"/>
  <c r="Q16" i="123"/>
  <c r="L16" i="123" a="1"/>
  <c r="R16" i="123"/>
  <c r="S16" i="123"/>
  <c r="T16" i="123"/>
  <c r="U16" i="123"/>
  <c r="V16" i="123"/>
  <c r="K17" i="123" a="1"/>
  <c r="Q17" i="123"/>
  <c r="L17" i="123" a="1"/>
  <c r="R17" i="123"/>
  <c r="S17" i="123"/>
  <c r="T17" i="123"/>
  <c r="U17" i="123"/>
  <c r="V17" i="123"/>
  <c r="K18" i="123" a="1"/>
  <c r="Q18" i="123"/>
  <c r="L18" i="123" a="1"/>
  <c r="R18" i="123"/>
  <c r="S18" i="123"/>
  <c r="T18" i="123"/>
  <c r="U18" i="123"/>
  <c r="V18" i="123"/>
  <c r="K34" i="123" a="1"/>
  <c r="Q34" i="123"/>
  <c r="L34" i="123" a="1"/>
  <c r="R34" i="123"/>
  <c r="S34" i="123"/>
  <c r="T34" i="123"/>
  <c r="U34" i="123"/>
  <c r="V34" i="123"/>
  <c r="K33" i="123" a="1"/>
  <c r="Q33" i="123"/>
  <c r="L33" i="123" a="1"/>
  <c r="R33" i="123"/>
  <c r="S33" i="123"/>
  <c r="T33" i="123"/>
  <c r="U33" i="123"/>
  <c r="V33" i="123"/>
  <c r="K32" i="123" a="1"/>
  <c r="Q32" i="123"/>
  <c r="L32" i="123" a="1"/>
  <c r="R32" i="123"/>
  <c r="S32" i="123"/>
  <c r="T32" i="123"/>
  <c r="U32" i="123"/>
  <c r="V32" i="123"/>
  <c r="K31" i="123" a="1"/>
  <c r="Q31" i="123"/>
  <c r="L31" i="123" a="1"/>
  <c r="R31" i="123"/>
  <c r="S31" i="123"/>
  <c r="T31" i="123"/>
  <c r="U31" i="123"/>
  <c r="V31" i="123"/>
  <c r="K30" i="123" a="1"/>
  <c r="Q30" i="123"/>
  <c r="L30" i="123" a="1"/>
  <c r="R30" i="123"/>
  <c r="S30" i="123"/>
  <c r="T30" i="123"/>
  <c r="U30" i="123"/>
  <c r="V30" i="123"/>
  <c r="K29" i="123" a="1"/>
  <c r="Q29" i="123"/>
  <c r="L29" i="123" a="1"/>
  <c r="R29" i="123"/>
  <c r="S29" i="123"/>
  <c r="T29" i="123"/>
  <c r="U29" i="123"/>
  <c r="V29" i="123"/>
  <c r="K28" i="123" a="1"/>
  <c r="Q28" i="123"/>
  <c r="L28" i="123" a="1"/>
  <c r="R28" i="123"/>
  <c r="S28" i="123"/>
  <c r="T28" i="123"/>
  <c r="U28" i="123"/>
  <c r="V28" i="123"/>
  <c r="K27" i="123" a="1"/>
  <c r="Q27" i="123"/>
  <c r="L27" i="123" a="1"/>
  <c r="R27" i="123"/>
  <c r="S27" i="123"/>
  <c r="T27" i="123"/>
  <c r="U27" i="123"/>
  <c r="V27" i="123"/>
  <c r="K26" i="123" a="1"/>
  <c r="Q26" i="123"/>
  <c r="L26" i="123" a="1"/>
  <c r="R26" i="123"/>
  <c r="S26" i="123"/>
  <c r="T26" i="123"/>
  <c r="U26" i="123"/>
  <c r="V26" i="123"/>
  <c r="K25" i="123" a="1"/>
  <c r="Q25" i="123"/>
  <c r="L25" i="123" a="1"/>
  <c r="R25" i="123"/>
  <c r="S25" i="123"/>
  <c r="T25" i="123"/>
  <c r="U25" i="123"/>
  <c r="V25" i="123"/>
  <c r="K24" i="123" a="1"/>
  <c r="Q24" i="123"/>
  <c r="L24" i="123" a="1"/>
  <c r="R24" i="123"/>
  <c r="S24" i="123"/>
  <c r="T24" i="123"/>
  <c r="U24" i="123"/>
  <c r="V24" i="123"/>
  <c r="K23" i="123" a="1"/>
  <c r="Q23" i="123"/>
  <c r="L23" i="123" a="1"/>
  <c r="R23" i="123"/>
  <c r="S23" i="123"/>
  <c r="T23" i="123"/>
  <c r="U23" i="123"/>
  <c r="V23" i="123"/>
  <c r="K22" i="123" a="1"/>
  <c r="Q22" i="123"/>
  <c r="L22" i="123" a="1"/>
  <c r="R22" i="123"/>
  <c r="S22" i="123"/>
  <c r="T22" i="123"/>
  <c r="U22" i="123"/>
  <c r="V22" i="123"/>
  <c r="K21" i="123" a="1"/>
  <c r="Q21" i="123"/>
  <c r="L21" i="123" a="1"/>
  <c r="R21" i="123"/>
  <c r="S21" i="123"/>
  <c r="T21" i="123"/>
  <c r="U21" i="123"/>
  <c r="V21" i="123"/>
  <c r="K20" i="123" a="1"/>
  <c r="Q20" i="123"/>
  <c r="L20" i="123" a="1"/>
  <c r="R20" i="123"/>
  <c r="S20" i="123"/>
  <c r="T20" i="123"/>
  <c r="U20" i="123"/>
  <c r="V20" i="123"/>
  <c r="K19" i="123" a="1"/>
  <c r="Q19" i="123"/>
  <c r="L19" i="123" a="1"/>
  <c r="R19" i="123"/>
  <c r="S19" i="123"/>
  <c r="T19" i="123"/>
  <c r="U19" i="123"/>
  <c r="V19" i="123"/>
  <c r="V46" i="123"/>
  <c r="V48" i="123"/>
  <c r="T48" i="123"/>
  <c r="I48" i="123"/>
  <c r="T46" i="123"/>
  <c r="I46" i="123"/>
  <c r="O34" i="123" a="1"/>
  <c r="N34" i="123" a="1"/>
  <c r="G34" i="123"/>
  <c r="A16" i="123"/>
  <c r="A17" i="123"/>
  <c r="A18" i="123"/>
  <c r="A19" i="123"/>
  <c r="A20" i="123"/>
  <c r="A21" i="123"/>
  <c r="A22" i="123"/>
  <c r="A23" i="123"/>
  <c r="A24" i="123"/>
  <c r="A25" i="123"/>
  <c r="A26" i="123"/>
  <c r="A27" i="123"/>
  <c r="A28" i="123"/>
  <c r="A29" i="123"/>
  <c r="A30" i="123"/>
  <c r="A31" i="123"/>
  <c r="A32" i="123"/>
  <c r="A33" i="123"/>
  <c r="A34" i="123"/>
  <c r="O33" i="123" a="1"/>
  <c r="N33" i="123" a="1"/>
  <c r="G33" i="123"/>
  <c r="O32" i="123" a="1"/>
  <c r="N32" i="123" a="1"/>
  <c r="G32" i="123"/>
  <c r="O31" i="123" a="1"/>
  <c r="N31" i="123" a="1"/>
  <c r="G31" i="123"/>
  <c r="O30" i="123" a="1"/>
  <c r="N30" i="123" a="1"/>
  <c r="G30" i="123"/>
  <c r="O29" i="123" a="1"/>
  <c r="N29" i="123" a="1"/>
  <c r="G29" i="123"/>
  <c r="O28" i="123" a="1"/>
  <c r="N28" i="123" a="1"/>
  <c r="G28" i="123"/>
  <c r="O27" i="123" a="1"/>
  <c r="N27" i="123" a="1"/>
  <c r="G27" i="123"/>
  <c r="O26" i="123" a="1"/>
  <c r="N26" i="123" a="1"/>
  <c r="G26" i="123"/>
  <c r="O25" i="123" a="1"/>
  <c r="G25" i="123"/>
  <c r="O24" i="123" a="1"/>
  <c r="N24" i="123" a="1"/>
  <c r="G24" i="123"/>
  <c r="O23" i="123" a="1"/>
  <c r="N23" i="123" a="1"/>
  <c r="G23" i="123"/>
  <c r="O22" i="123" a="1"/>
  <c r="N22" i="123" a="1"/>
  <c r="G22" i="123"/>
  <c r="O21" i="123" a="1"/>
  <c r="N21" i="123" a="1"/>
  <c r="G21" i="123"/>
  <c r="O20" i="123" a="1"/>
  <c r="N20" i="123" a="1"/>
  <c r="G20" i="123"/>
  <c r="O19" i="123" a="1"/>
  <c r="N19" i="123" a="1"/>
  <c r="G19" i="123"/>
  <c r="O18" i="123" a="1"/>
  <c r="N18" i="123" a="1"/>
  <c r="G18" i="123"/>
  <c r="O17" i="123" a="1"/>
  <c r="N17" i="123" a="1"/>
  <c r="G17" i="123"/>
  <c r="O16" i="123" a="1"/>
  <c r="N16" i="123" a="1"/>
  <c r="G16" i="123"/>
  <c r="X15" i="123"/>
  <c r="W15" i="123"/>
  <c r="O15" i="123" a="1"/>
  <c r="N15" i="123" a="1"/>
  <c r="L15" i="123" a="1"/>
  <c r="K15" i="123" a="1"/>
  <c r="G15" i="123"/>
  <c r="S15" i="122"/>
  <c r="T15" i="122"/>
  <c r="V15" i="122"/>
  <c r="K16" i="122" a="1"/>
  <c r="Q16" i="122"/>
  <c r="L16" i="122" a="1"/>
  <c r="R16" i="122"/>
  <c r="S16" i="122"/>
  <c r="T16" i="122"/>
  <c r="U16" i="122"/>
  <c r="V16" i="122"/>
  <c r="K17" i="122" a="1"/>
  <c r="Q17" i="122"/>
  <c r="L17" i="122" a="1"/>
  <c r="R17" i="122"/>
  <c r="S17" i="122"/>
  <c r="T17" i="122"/>
  <c r="U17" i="122"/>
  <c r="V17" i="122"/>
  <c r="K18" i="122" a="1"/>
  <c r="Q18" i="122"/>
  <c r="L18" i="122" a="1"/>
  <c r="R18" i="122"/>
  <c r="S18" i="122"/>
  <c r="T18" i="122"/>
  <c r="U18" i="122"/>
  <c r="V18" i="122"/>
  <c r="K33" i="122" a="1"/>
  <c r="Q33" i="122"/>
  <c r="L33" i="122" a="1"/>
  <c r="R33" i="122"/>
  <c r="S33" i="122"/>
  <c r="T33" i="122"/>
  <c r="U33" i="122"/>
  <c r="V33" i="122"/>
  <c r="K32" i="122" a="1"/>
  <c r="Q32" i="122"/>
  <c r="L32" i="122" a="1"/>
  <c r="R32" i="122"/>
  <c r="S32" i="122"/>
  <c r="T32" i="122"/>
  <c r="U32" i="122"/>
  <c r="V32" i="122"/>
  <c r="K31" i="122" a="1"/>
  <c r="Q31" i="122"/>
  <c r="L31" i="122" a="1"/>
  <c r="R31" i="122"/>
  <c r="S31" i="122"/>
  <c r="T31" i="122"/>
  <c r="U31" i="122"/>
  <c r="V31" i="122"/>
  <c r="K30" i="122" a="1"/>
  <c r="Q30" i="122"/>
  <c r="L30" i="122" a="1"/>
  <c r="R30" i="122"/>
  <c r="S30" i="122"/>
  <c r="T30" i="122"/>
  <c r="U30" i="122"/>
  <c r="V30" i="122"/>
  <c r="K29" i="122" a="1"/>
  <c r="Q29" i="122"/>
  <c r="L29" i="122" a="1"/>
  <c r="R29" i="122"/>
  <c r="S29" i="122"/>
  <c r="T29" i="122"/>
  <c r="U29" i="122"/>
  <c r="V29" i="122"/>
  <c r="K28" i="122" a="1"/>
  <c r="Q28" i="122"/>
  <c r="L28" i="122" a="1"/>
  <c r="R28" i="122"/>
  <c r="S28" i="122"/>
  <c r="T28" i="122"/>
  <c r="U28" i="122"/>
  <c r="V28" i="122"/>
  <c r="K27" i="122" a="1"/>
  <c r="Q27" i="122"/>
  <c r="L27" i="122" a="1"/>
  <c r="R27" i="122"/>
  <c r="S27" i="122"/>
  <c r="T27" i="122"/>
  <c r="U27" i="122"/>
  <c r="V27" i="122"/>
  <c r="K26" i="122" a="1"/>
  <c r="Q26" i="122"/>
  <c r="L26" i="122" a="1"/>
  <c r="R26" i="122"/>
  <c r="S26" i="122"/>
  <c r="T26" i="122"/>
  <c r="U26" i="122"/>
  <c r="V26" i="122"/>
  <c r="S25" i="122"/>
  <c r="T25" i="122"/>
  <c r="U25" i="122"/>
  <c r="V25" i="122"/>
  <c r="K24" i="122" a="1"/>
  <c r="Q24" i="122"/>
  <c r="L24" i="122" a="1"/>
  <c r="R24" i="122"/>
  <c r="S24" i="122"/>
  <c r="T24" i="122"/>
  <c r="U24" i="122"/>
  <c r="V24" i="122"/>
  <c r="K23" i="122" a="1"/>
  <c r="Q23" i="122"/>
  <c r="L23" i="122" a="1"/>
  <c r="R23" i="122"/>
  <c r="S23" i="122"/>
  <c r="T23" i="122"/>
  <c r="U23" i="122"/>
  <c r="V23" i="122"/>
  <c r="K22" i="122" a="1"/>
  <c r="Q22" i="122"/>
  <c r="L22" i="122" a="1"/>
  <c r="R22" i="122"/>
  <c r="S22" i="122"/>
  <c r="T22" i="122"/>
  <c r="U22" i="122"/>
  <c r="V22" i="122"/>
  <c r="K21" i="122" a="1"/>
  <c r="Q21" i="122"/>
  <c r="L21" i="122" a="1"/>
  <c r="R21" i="122"/>
  <c r="S21" i="122"/>
  <c r="T21" i="122"/>
  <c r="U21" i="122"/>
  <c r="V21" i="122"/>
  <c r="K20" i="122" a="1"/>
  <c r="Q20" i="122"/>
  <c r="L20" i="122" a="1"/>
  <c r="R20" i="122"/>
  <c r="S20" i="122"/>
  <c r="T20" i="122"/>
  <c r="U20" i="122"/>
  <c r="V20" i="122"/>
  <c r="K19" i="122" a="1"/>
  <c r="Q19" i="122"/>
  <c r="L19" i="122" a="1"/>
  <c r="R19" i="122"/>
  <c r="S19" i="122"/>
  <c r="T19" i="122"/>
  <c r="U19" i="122"/>
  <c r="V19" i="122"/>
  <c r="V45" i="122"/>
  <c r="V47" i="122"/>
  <c r="T47" i="122"/>
  <c r="I47" i="122"/>
  <c r="T45" i="122"/>
  <c r="I45" i="122"/>
  <c r="W33" i="122"/>
  <c r="O33" i="122" a="1"/>
  <c r="N33" i="122" a="1"/>
  <c r="G33" i="122"/>
  <c r="A16" i="122"/>
  <c r="A17" i="122"/>
  <c r="A18" i="122"/>
  <c r="A19" i="122"/>
  <c r="A20" i="122"/>
  <c r="A21" i="122"/>
  <c r="A22" i="122"/>
  <c r="A23" i="122"/>
  <c r="A24" i="122"/>
  <c r="A25" i="122"/>
  <c r="W32" i="122"/>
  <c r="O32" i="122" a="1"/>
  <c r="N32" i="122" a="1"/>
  <c r="G32" i="122"/>
  <c r="W31" i="122"/>
  <c r="O31" i="122" a="1"/>
  <c r="N31" i="122" a="1"/>
  <c r="G31" i="122"/>
  <c r="W30" i="122"/>
  <c r="O30" i="122" a="1"/>
  <c r="N30" i="122" a="1"/>
  <c r="G30" i="122"/>
  <c r="W29" i="122"/>
  <c r="O29" i="122" a="1"/>
  <c r="N29" i="122" a="1"/>
  <c r="G29" i="122"/>
  <c r="W28" i="122"/>
  <c r="O28" i="122" a="1"/>
  <c r="N28" i="122" a="1"/>
  <c r="G28" i="122"/>
  <c r="X27" i="122"/>
  <c r="W27" i="122"/>
  <c r="O27" i="122" a="1"/>
  <c r="N27" i="122" a="1"/>
  <c r="G27" i="122"/>
  <c r="X26" i="122"/>
  <c r="W26" i="122"/>
  <c r="O26" i="122" a="1"/>
  <c r="N26" i="122" a="1"/>
  <c r="G26" i="122"/>
  <c r="X25" i="122"/>
  <c r="W25" i="122"/>
  <c r="O25" i="122" a="1"/>
  <c r="G25" i="122"/>
  <c r="X24" i="122"/>
  <c r="W24" i="122"/>
  <c r="O24" i="122" a="1"/>
  <c r="N24" i="122" a="1"/>
  <c r="G24" i="122"/>
  <c r="X23" i="122"/>
  <c r="W23" i="122"/>
  <c r="O23" i="122" a="1"/>
  <c r="N23" i="122" a="1"/>
  <c r="G23" i="122"/>
  <c r="X22" i="122"/>
  <c r="W22" i="122"/>
  <c r="O22" i="122" a="1"/>
  <c r="N22" i="122" a="1"/>
  <c r="G22" i="122"/>
  <c r="X21" i="122"/>
  <c r="W21" i="122"/>
  <c r="O21" i="122" a="1"/>
  <c r="N21" i="122" a="1"/>
  <c r="G21" i="122"/>
  <c r="X20" i="122"/>
  <c r="W20" i="122"/>
  <c r="O20" i="122" a="1"/>
  <c r="N20" i="122" a="1"/>
  <c r="G20" i="122"/>
  <c r="X19" i="122"/>
  <c r="W19" i="122"/>
  <c r="O19" i="122" a="1"/>
  <c r="N19" i="122" a="1"/>
  <c r="G19" i="122"/>
  <c r="X18" i="122"/>
  <c r="W18" i="122"/>
  <c r="O18" i="122" a="1"/>
  <c r="N18" i="122" a="1"/>
  <c r="G18" i="122"/>
  <c r="X17" i="122"/>
  <c r="W17" i="122"/>
  <c r="O17" i="122" a="1"/>
  <c r="N17" i="122" a="1"/>
  <c r="G17" i="122"/>
  <c r="X16" i="122"/>
  <c r="W16" i="122"/>
  <c r="O16" i="122" a="1"/>
  <c r="N16" i="122" a="1"/>
  <c r="G16" i="122"/>
  <c r="X15" i="122"/>
  <c r="W15" i="122"/>
  <c r="O15" i="122" a="1"/>
  <c r="N15" i="122" a="1"/>
  <c r="L15" i="122" a="1"/>
  <c r="K15" i="122" a="1"/>
  <c r="G15" i="122"/>
  <c r="K15" i="121" a="1"/>
  <c r="Q15" i="121"/>
  <c r="L15" i="121" a="1"/>
  <c r="R15" i="121"/>
  <c r="T15" i="121"/>
  <c r="K16" i="121" a="1"/>
  <c r="Q16" i="121"/>
  <c r="L16" i="121" a="1"/>
  <c r="R16" i="121"/>
  <c r="T16" i="121"/>
  <c r="K17" i="121" a="1"/>
  <c r="Q17" i="121"/>
  <c r="L17" i="121" a="1"/>
  <c r="R17" i="121"/>
  <c r="T17" i="121"/>
  <c r="K18" i="121" a="1"/>
  <c r="Q18" i="121"/>
  <c r="L18" i="121" a="1"/>
  <c r="R18" i="121"/>
  <c r="T18" i="121"/>
  <c r="K24" i="121" a="1"/>
  <c r="Q24" i="121"/>
  <c r="L24" i="121" a="1"/>
  <c r="R24" i="121"/>
  <c r="S24" i="121"/>
  <c r="T24" i="121"/>
  <c r="K23" i="121" a="1"/>
  <c r="Q23" i="121"/>
  <c r="L23" i="121" a="1"/>
  <c r="R23" i="121"/>
  <c r="T23" i="121"/>
  <c r="K22" i="121" a="1"/>
  <c r="Q22" i="121"/>
  <c r="L22" i="121" a="1"/>
  <c r="R22" i="121"/>
  <c r="T22" i="121"/>
  <c r="K21" i="121" a="1"/>
  <c r="Q21" i="121"/>
  <c r="L21" i="121" a="1"/>
  <c r="R21" i="121"/>
  <c r="T21" i="121"/>
  <c r="K20" i="121" a="1"/>
  <c r="Q20" i="121"/>
  <c r="L20" i="121" a="1"/>
  <c r="R20" i="121"/>
  <c r="T20" i="121"/>
  <c r="K19" i="121" a="1"/>
  <c r="Q19" i="121"/>
  <c r="L19" i="121" a="1"/>
  <c r="R19" i="121"/>
  <c r="T19" i="121"/>
  <c r="T29" i="121"/>
  <c r="A25" i="121"/>
  <c r="A26" i="121"/>
  <c r="A27" i="121"/>
  <c r="G16" i="121"/>
  <c r="G17" i="121"/>
  <c r="G18" i="121"/>
  <c r="G19" i="121"/>
  <c r="G20" i="121"/>
  <c r="G21" i="121"/>
  <c r="G22" i="121"/>
  <c r="G23" i="121"/>
  <c r="G24" i="121"/>
  <c r="W16" i="121"/>
  <c r="X16" i="121"/>
  <c r="W17" i="121"/>
  <c r="X17" i="121"/>
  <c r="W18" i="121"/>
  <c r="X18" i="121"/>
  <c r="W19" i="121"/>
  <c r="X19" i="121"/>
  <c r="W20" i="121"/>
  <c r="X20" i="121"/>
  <c r="W21" i="121"/>
  <c r="X21" i="121"/>
  <c r="W22" i="121"/>
  <c r="X22" i="121"/>
  <c r="W23" i="121"/>
  <c r="X23" i="121"/>
  <c r="W24" i="121"/>
  <c r="X24" i="121"/>
  <c r="S15" i="121"/>
  <c r="V15" i="121"/>
  <c r="S16" i="121"/>
  <c r="V16" i="121"/>
  <c r="S17" i="121"/>
  <c r="V17" i="121"/>
  <c r="S18" i="121"/>
  <c r="V18" i="121"/>
  <c r="S19" i="121"/>
  <c r="S20" i="121"/>
  <c r="S21" i="121"/>
  <c r="S22" i="121"/>
  <c r="S23" i="121"/>
  <c r="W29" i="121"/>
  <c r="W31" i="121"/>
  <c r="T31" i="121"/>
  <c r="I29" i="121"/>
  <c r="I31" i="121"/>
  <c r="O24" i="121" a="1"/>
  <c r="N24" i="121" a="1"/>
  <c r="B24" i="121" a="1"/>
  <c r="D24" i="121"/>
  <c r="A16" i="121"/>
  <c r="A17" i="121"/>
  <c r="A18" i="121"/>
  <c r="A19" i="121"/>
  <c r="A20" i="121"/>
  <c r="A21" i="121"/>
  <c r="A22" i="121"/>
  <c r="A23" i="121"/>
  <c r="A24" i="121"/>
  <c r="O23" i="121" a="1"/>
  <c r="N23" i="121" a="1"/>
  <c r="B23" i="121" a="1"/>
  <c r="D23" i="121"/>
  <c r="O22" i="121" a="1"/>
  <c r="N22" i="121" a="1"/>
  <c r="B22" i="121" a="1"/>
  <c r="D22" i="121"/>
  <c r="O21" i="121" a="1"/>
  <c r="N21" i="121" a="1"/>
  <c r="B21" i="121" a="1"/>
  <c r="D21" i="121"/>
  <c r="O20" i="121" a="1"/>
  <c r="N20" i="121" a="1"/>
  <c r="B20" i="121" a="1"/>
  <c r="D20" i="121"/>
  <c r="O19" i="121" a="1"/>
  <c r="N19" i="121" a="1"/>
  <c r="B19" i="121" a="1"/>
  <c r="D19" i="121"/>
  <c r="O18" i="121" a="1"/>
  <c r="N18" i="121" a="1"/>
  <c r="B18" i="121" a="1"/>
  <c r="D18" i="121"/>
  <c r="O17" i="121" a="1"/>
  <c r="N17" i="121" a="1"/>
  <c r="B17" i="121" a="1"/>
  <c r="D17" i="121"/>
  <c r="O16" i="121" a="1"/>
  <c r="N16" i="121" a="1"/>
  <c r="B16" i="121" a="1"/>
  <c r="D16" i="121"/>
  <c r="W15" i="121"/>
  <c r="O15" i="121" a="1"/>
  <c r="N15" i="121" a="1"/>
  <c r="G15" i="121"/>
  <c r="B15" i="121" a="1"/>
  <c r="D15" i="121"/>
  <c r="N20" i="115" a="1"/>
  <c r="K15" i="118" a="1"/>
  <c r="Q15" i="118"/>
  <c r="L15" i="118" a="1"/>
  <c r="R15" i="118"/>
  <c r="S15" i="118"/>
  <c r="T15" i="118"/>
  <c r="V15" i="118"/>
  <c r="K16" i="118" a="1"/>
  <c r="Q16" i="118"/>
  <c r="L16" i="118" a="1"/>
  <c r="R16" i="118"/>
  <c r="S16" i="118"/>
  <c r="T16" i="118"/>
  <c r="V16" i="118"/>
  <c r="K17" i="118" a="1"/>
  <c r="Q17" i="118"/>
  <c r="L17" i="118" a="1"/>
  <c r="R17" i="118"/>
  <c r="S17" i="118"/>
  <c r="T17" i="118"/>
  <c r="V17" i="118"/>
  <c r="K18" i="118" a="1"/>
  <c r="Q18" i="118"/>
  <c r="L18" i="118" a="1"/>
  <c r="R18" i="118"/>
  <c r="S18" i="118"/>
  <c r="T18" i="118"/>
  <c r="V18" i="118"/>
  <c r="K19" i="118" a="1"/>
  <c r="Q19" i="118"/>
  <c r="L19" i="118" a="1"/>
  <c r="R19" i="118"/>
  <c r="S19" i="118"/>
  <c r="T19" i="118"/>
  <c r="K20" i="118" a="1"/>
  <c r="Q20" i="118"/>
  <c r="L20" i="118" a="1"/>
  <c r="R20" i="118"/>
  <c r="S20" i="118"/>
  <c r="T20" i="118"/>
  <c r="K21" i="118" a="1"/>
  <c r="Q21" i="118"/>
  <c r="L21" i="118" a="1"/>
  <c r="R21" i="118"/>
  <c r="S21" i="118"/>
  <c r="T21" i="118"/>
  <c r="N49" i="118" a="1"/>
  <c r="Q49" i="118"/>
  <c r="T49" i="118"/>
  <c r="N48" i="118" a="1"/>
  <c r="Q48" i="118"/>
  <c r="T48" i="118"/>
  <c r="N47" i="118" a="1"/>
  <c r="Q47" i="118"/>
  <c r="T47" i="118"/>
  <c r="N46" i="118" a="1"/>
  <c r="Q46" i="118"/>
  <c r="T46" i="118"/>
  <c r="N45" i="118" a="1"/>
  <c r="Q45" i="118"/>
  <c r="T45" i="118"/>
  <c r="N44" i="118" a="1"/>
  <c r="Q44" i="118"/>
  <c r="T44" i="118"/>
  <c r="N43" i="118" a="1"/>
  <c r="Q43" i="118"/>
  <c r="T43" i="118"/>
  <c r="N42" i="118" a="1"/>
  <c r="Q42" i="118"/>
  <c r="T42" i="118"/>
  <c r="N41" i="118" a="1"/>
  <c r="Q41" i="118"/>
  <c r="O41" i="118" a="1"/>
  <c r="R41" i="118"/>
  <c r="T41" i="118"/>
  <c r="T50" i="118"/>
  <c r="W50" i="118"/>
  <c r="W52" i="118"/>
  <c r="T52" i="118"/>
  <c r="I50" i="118"/>
  <c r="I52" i="118"/>
  <c r="X49" i="118"/>
  <c r="O49" i="118" a="1"/>
  <c r="K49" i="118" a="1"/>
  <c r="X48" i="118"/>
  <c r="O48" i="118" a="1"/>
  <c r="K48" i="118" a="1"/>
  <c r="X47" i="118"/>
  <c r="O47" i="118" a="1"/>
  <c r="K47" i="118" a="1"/>
  <c r="X46" i="118"/>
  <c r="O46" i="118" a="1"/>
  <c r="K46" i="118" a="1"/>
  <c r="X45" i="118"/>
  <c r="O45" i="118" a="1"/>
  <c r="K45" i="118" a="1"/>
  <c r="X44" i="118"/>
  <c r="O44" i="118" a="1"/>
  <c r="K44" i="118" a="1"/>
  <c r="X43" i="118"/>
  <c r="O43" i="118" a="1"/>
  <c r="K43" i="118" a="1"/>
  <c r="X42" i="118"/>
  <c r="O42" i="118" a="1"/>
  <c r="K42" i="118" a="1"/>
  <c r="X41" i="118"/>
  <c r="X40" i="118"/>
  <c r="X39" i="118"/>
  <c r="X38" i="118"/>
  <c r="X37" i="118"/>
  <c r="X36" i="118"/>
  <c r="X35" i="118"/>
  <c r="X34" i="118"/>
  <c r="X33" i="118"/>
  <c r="A16" i="118"/>
  <c r="A17" i="118"/>
  <c r="A18" i="118"/>
  <c r="A19" i="118"/>
  <c r="A20" i="118"/>
  <c r="A21" i="118"/>
  <c r="X21" i="118"/>
  <c r="W21" i="118"/>
  <c r="O21" i="118" a="1"/>
  <c r="N21" i="118" a="1"/>
  <c r="G21" i="118"/>
  <c r="B21" i="118" a="1"/>
  <c r="D21" i="118"/>
  <c r="X20" i="118"/>
  <c r="W20" i="118"/>
  <c r="O20" i="118" a="1"/>
  <c r="N20" i="118" a="1"/>
  <c r="G20" i="118"/>
  <c r="B20" i="118" a="1"/>
  <c r="D20" i="118"/>
  <c r="X19" i="118"/>
  <c r="W19" i="118"/>
  <c r="O19" i="118" a="1"/>
  <c r="N19" i="118" a="1"/>
  <c r="G19" i="118"/>
  <c r="B19" i="118" a="1"/>
  <c r="D19" i="118"/>
  <c r="X18" i="118"/>
  <c r="W18" i="118"/>
  <c r="O18" i="118" a="1"/>
  <c r="N18" i="118" a="1"/>
  <c r="G18" i="118"/>
  <c r="B18" i="118" a="1"/>
  <c r="D18" i="118"/>
  <c r="X17" i="118"/>
  <c r="W17" i="118"/>
  <c r="O17" i="118" a="1"/>
  <c r="N17" i="118" a="1"/>
  <c r="G17" i="118"/>
  <c r="B17" i="118" a="1"/>
  <c r="D17" i="118"/>
  <c r="X16" i="118"/>
  <c r="W16" i="118"/>
  <c r="O16" i="118" a="1"/>
  <c r="N16" i="118" a="1"/>
  <c r="G16" i="118"/>
  <c r="B16" i="118" a="1"/>
  <c r="D16" i="118"/>
  <c r="W15" i="118"/>
  <c r="O15" i="118" a="1"/>
  <c r="N15" i="118" a="1"/>
  <c r="G15" i="118"/>
  <c r="B15" i="118" a="1"/>
  <c r="D15" i="118"/>
  <c r="W19" i="107"/>
  <c r="S17" i="117"/>
  <c r="T17" i="117"/>
  <c r="U17" i="117"/>
  <c r="F10" i="9"/>
  <c r="V17" i="117"/>
  <c r="W17" i="117"/>
  <c r="S18" i="117"/>
  <c r="T18" i="117"/>
  <c r="U18" i="117"/>
  <c r="V18" i="117"/>
  <c r="W18" i="117"/>
  <c r="S19" i="117"/>
  <c r="T19" i="117"/>
  <c r="U19" i="117"/>
  <c r="V19" i="117"/>
  <c r="W19" i="117"/>
  <c r="S20" i="117"/>
  <c r="T20" i="117"/>
  <c r="U20" i="117"/>
  <c r="V20" i="117"/>
  <c r="W20" i="117"/>
  <c r="S26" i="117"/>
  <c r="T26" i="117"/>
  <c r="U26" i="117"/>
  <c r="V26" i="117"/>
  <c r="W26" i="117"/>
  <c r="S25" i="117"/>
  <c r="T25" i="117"/>
  <c r="U25" i="117"/>
  <c r="V25" i="117"/>
  <c r="W25" i="117"/>
  <c r="S24" i="117"/>
  <c r="T24" i="117"/>
  <c r="U24" i="117"/>
  <c r="V24" i="117"/>
  <c r="W24" i="117"/>
  <c r="S23" i="117"/>
  <c r="T23" i="117"/>
  <c r="U23" i="117"/>
  <c r="V23" i="117"/>
  <c r="W23" i="117"/>
  <c r="S22" i="117"/>
  <c r="T22" i="117"/>
  <c r="U22" i="117"/>
  <c r="V22" i="117"/>
  <c r="W22" i="117"/>
  <c r="S21" i="117"/>
  <c r="T21" i="117"/>
  <c r="U21" i="117"/>
  <c r="V21" i="117"/>
  <c r="W21" i="117"/>
  <c r="W50" i="117"/>
  <c r="W52" i="117"/>
  <c r="U50" i="117"/>
  <c r="U52" i="117"/>
  <c r="J50" i="117"/>
  <c r="J52" i="117"/>
  <c r="D52" i="117" a="1"/>
  <c r="D51" i="117" a="1"/>
  <c r="D50" i="117" a="1"/>
  <c r="Y49" i="117"/>
  <c r="X49" i="117"/>
  <c r="R49" i="117"/>
  <c r="P49" i="117" a="1"/>
  <c r="L49" i="117" a="1"/>
  <c r="D49" i="117" a="1"/>
  <c r="Y48" i="117"/>
  <c r="X48" i="117"/>
  <c r="R48" i="117"/>
  <c r="P48" i="117" a="1"/>
  <c r="L48" i="117" a="1"/>
  <c r="D48" i="117" a="1"/>
  <c r="Y47" i="117"/>
  <c r="X47" i="117"/>
  <c r="R47" i="117"/>
  <c r="P47" i="117" a="1"/>
  <c r="L47" i="117" a="1"/>
  <c r="D47" i="117" a="1"/>
  <c r="Y46" i="117"/>
  <c r="X46" i="117"/>
  <c r="R46" i="117"/>
  <c r="P46" i="117" a="1"/>
  <c r="L46" i="117" a="1"/>
  <c r="D46" i="117" a="1"/>
  <c r="Y45" i="117"/>
  <c r="X45" i="117"/>
  <c r="R45" i="117"/>
  <c r="P45" i="117" a="1"/>
  <c r="L45" i="117" a="1"/>
  <c r="D45" i="117" a="1"/>
  <c r="Y44" i="117"/>
  <c r="X44" i="117"/>
  <c r="R44" i="117"/>
  <c r="P44" i="117" a="1"/>
  <c r="L44" i="117" a="1"/>
  <c r="D44" i="117" a="1"/>
  <c r="Y43" i="117"/>
  <c r="X43" i="117"/>
  <c r="R43" i="117"/>
  <c r="P43" i="117" a="1"/>
  <c r="L43" i="117" a="1"/>
  <c r="D43" i="117" a="1"/>
  <c r="Y42" i="117"/>
  <c r="X42" i="117"/>
  <c r="R42" i="117"/>
  <c r="P42" i="117" a="1"/>
  <c r="L42" i="117" a="1"/>
  <c r="D42" i="117" a="1"/>
  <c r="Y41" i="117"/>
  <c r="X41" i="117"/>
  <c r="D41" i="117" a="1"/>
  <c r="Y40" i="117"/>
  <c r="X40" i="117"/>
  <c r="D40" i="117" a="1"/>
  <c r="Y39" i="117"/>
  <c r="X39" i="117"/>
  <c r="D39" i="117" a="1"/>
  <c r="Y38" i="117"/>
  <c r="X38" i="117"/>
  <c r="D38" i="117" a="1"/>
  <c r="Y37" i="117"/>
  <c r="X37" i="117"/>
  <c r="D37" i="117" a="1"/>
  <c r="Y36" i="117"/>
  <c r="X36" i="117"/>
  <c r="D36" i="117" a="1"/>
  <c r="Y35" i="117"/>
  <c r="X35" i="117"/>
  <c r="D35" i="117" a="1"/>
  <c r="Y34" i="117"/>
  <c r="X34" i="117"/>
  <c r="D34" i="117" a="1"/>
  <c r="Y33" i="117"/>
  <c r="X33" i="117"/>
  <c r="D33" i="117" a="1"/>
  <c r="Y32" i="117"/>
  <c r="X32" i="117"/>
  <c r="D32" i="117" a="1"/>
  <c r="Y31" i="117"/>
  <c r="X31" i="117"/>
  <c r="D31" i="117" a="1"/>
  <c r="Y30" i="117"/>
  <c r="X30" i="117"/>
  <c r="D30" i="117" a="1"/>
  <c r="Y29" i="117"/>
  <c r="X29" i="117"/>
  <c r="D29" i="117" a="1"/>
  <c r="Y28" i="117"/>
  <c r="X28" i="117"/>
  <c r="D28" i="117" a="1"/>
  <c r="Y27" i="117"/>
  <c r="X27" i="117"/>
  <c r="D27" i="117" a="1"/>
  <c r="Y26" i="117"/>
  <c r="X26" i="117"/>
  <c r="P26" i="117" a="1"/>
  <c r="H26" i="117"/>
  <c r="D26" i="117" a="1"/>
  <c r="B26" i="117" a="1"/>
  <c r="A18" i="117"/>
  <c r="A19" i="117"/>
  <c r="A20" i="117"/>
  <c r="A21" i="117"/>
  <c r="A22" i="117"/>
  <c r="A23" i="117"/>
  <c r="A24" i="117"/>
  <c r="A25" i="117"/>
  <c r="A26" i="117"/>
  <c r="Y25" i="117"/>
  <c r="X25" i="117"/>
  <c r="P25" i="117" a="1"/>
  <c r="H25" i="117"/>
  <c r="D25" i="117" a="1"/>
  <c r="B25" i="117" a="1"/>
  <c r="Y24" i="117"/>
  <c r="X24" i="117"/>
  <c r="P24" i="117" a="1"/>
  <c r="H24" i="117"/>
  <c r="D24" i="117" a="1"/>
  <c r="B24" i="117" a="1"/>
  <c r="Y23" i="117"/>
  <c r="X23" i="117"/>
  <c r="P23" i="117" a="1"/>
  <c r="H23" i="117"/>
  <c r="D23" i="117" a="1"/>
  <c r="B23" i="117" a="1"/>
  <c r="Y22" i="117"/>
  <c r="X22" i="117"/>
  <c r="P22" i="117" a="1"/>
  <c r="H22" i="117"/>
  <c r="D22" i="117" a="1"/>
  <c r="B22" i="117" a="1"/>
  <c r="Y21" i="117"/>
  <c r="X21" i="117"/>
  <c r="P21" i="117" a="1"/>
  <c r="H21" i="117"/>
  <c r="D21" i="117" a="1"/>
  <c r="B21" i="117" a="1"/>
  <c r="Y20" i="117"/>
  <c r="X20" i="117"/>
  <c r="P20" i="117" a="1"/>
  <c r="H20" i="117"/>
  <c r="D20" i="117" a="1"/>
  <c r="B20" i="117" a="1"/>
  <c r="Y19" i="117"/>
  <c r="X19" i="117"/>
  <c r="P19" i="117" a="1"/>
  <c r="H19" i="117"/>
  <c r="D19" i="117" a="1"/>
  <c r="B19" i="117" a="1"/>
  <c r="Y18" i="117"/>
  <c r="X18" i="117"/>
  <c r="P18" i="117" a="1"/>
  <c r="H18" i="117"/>
  <c r="D18" i="117" a="1"/>
  <c r="B18" i="117" a="1"/>
  <c r="Y17" i="117"/>
  <c r="X17" i="117"/>
  <c r="P17" i="117" a="1"/>
  <c r="H17" i="117"/>
  <c r="D17" i="117" a="1"/>
  <c r="B17" i="117" a="1"/>
  <c r="A32" i="116"/>
  <c r="G32" i="116"/>
  <c r="K32" i="116" a="1"/>
  <c r="L32" i="116" a="1"/>
  <c r="N32" i="116" a="1"/>
  <c r="O32" i="116" a="1"/>
  <c r="Q32" i="116"/>
  <c r="R32" i="116"/>
  <c r="S32" i="116"/>
  <c r="T32" i="116"/>
  <c r="U32" i="116"/>
  <c r="V32" i="116"/>
  <c r="W32" i="116"/>
  <c r="A33" i="116"/>
  <c r="G33" i="116"/>
  <c r="K33" i="116" a="1"/>
  <c r="L33" i="116" a="1"/>
  <c r="N33" i="116" a="1"/>
  <c r="O33" i="116" a="1"/>
  <c r="Q33" i="116"/>
  <c r="R33" i="116"/>
  <c r="S33" i="116"/>
  <c r="T33" i="116"/>
  <c r="U33" i="116"/>
  <c r="V33" i="116"/>
  <c r="W33" i="116"/>
  <c r="A34" i="116"/>
  <c r="G34" i="116"/>
  <c r="K34" i="116" a="1"/>
  <c r="L34" i="116" a="1"/>
  <c r="N34" i="116" a="1"/>
  <c r="O34" i="116" a="1"/>
  <c r="Q34" i="116"/>
  <c r="R34" i="116"/>
  <c r="S34" i="116"/>
  <c r="T34" i="116"/>
  <c r="U34" i="116"/>
  <c r="V34" i="116"/>
  <c r="W34" i="116"/>
  <c r="S15" i="116"/>
  <c r="T15" i="116"/>
  <c r="U15" i="116"/>
  <c r="V15" i="116"/>
  <c r="K16" i="116" a="1"/>
  <c r="Q16" i="116"/>
  <c r="L16" i="116" a="1"/>
  <c r="R16" i="116"/>
  <c r="S16" i="116"/>
  <c r="T16" i="116"/>
  <c r="U16" i="116"/>
  <c r="V16" i="116"/>
  <c r="K17" i="116" a="1"/>
  <c r="Q17" i="116"/>
  <c r="L17" i="116" a="1"/>
  <c r="R17" i="116"/>
  <c r="S17" i="116"/>
  <c r="T17" i="116"/>
  <c r="U17" i="116"/>
  <c r="V17" i="116"/>
  <c r="K18" i="116" a="1"/>
  <c r="Q18" i="116"/>
  <c r="L18" i="116" a="1"/>
  <c r="R18" i="116"/>
  <c r="S18" i="116"/>
  <c r="T18" i="116"/>
  <c r="U18" i="116"/>
  <c r="V18" i="116"/>
  <c r="K31" i="116" a="1"/>
  <c r="Q31" i="116"/>
  <c r="L31" i="116" a="1"/>
  <c r="R31" i="116"/>
  <c r="S31" i="116"/>
  <c r="T31" i="116"/>
  <c r="U31" i="116"/>
  <c r="V31" i="116"/>
  <c r="K30" i="116" a="1"/>
  <c r="Q30" i="116"/>
  <c r="L30" i="116" a="1"/>
  <c r="R30" i="116"/>
  <c r="S30" i="116"/>
  <c r="T30" i="116"/>
  <c r="U30" i="116"/>
  <c r="V30" i="116"/>
  <c r="K29" i="116" a="1"/>
  <c r="Q29" i="116"/>
  <c r="L29" i="116" a="1"/>
  <c r="R29" i="116"/>
  <c r="S29" i="116"/>
  <c r="T29" i="116"/>
  <c r="U29" i="116"/>
  <c r="V29" i="116"/>
  <c r="K28" i="116" a="1"/>
  <c r="Q28" i="116"/>
  <c r="L28" i="116" a="1"/>
  <c r="R28" i="116"/>
  <c r="S28" i="116"/>
  <c r="T28" i="116"/>
  <c r="U28" i="116"/>
  <c r="V28" i="116"/>
  <c r="K27" i="116" a="1"/>
  <c r="Q27" i="116"/>
  <c r="L27" i="116" a="1"/>
  <c r="R27" i="116"/>
  <c r="S27" i="116"/>
  <c r="T27" i="116"/>
  <c r="U27" i="116"/>
  <c r="V27" i="116"/>
  <c r="K26" i="116" a="1"/>
  <c r="Q26" i="116"/>
  <c r="L26" i="116" a="1"/>
  <c r="R26" i="116"/>
  <c r="S26" i="116"/>
  <c r="T26" i="116"/>
  <c r="U26" i="116"/>
  <c r="V26" i="116"/>
  <c r="K25" i="116" a="1"/>
  <c r="Q25" i="116"/>
  <c r="L25" i="116" a="1"/>
  <c r="R25" i="116"/>
  <c r="S25" i="116"/>
  <c r="T25" i="116"/>
  <c r="U25" i="116"/>
  <c r="V25" i="116"/>
  <c r="K24" i="116" a="1"/>
  <c r="Q24" i="116"/>
  <c r="L24" i="116" a="1"/>
  <c r="R24" i="116"/>
  <c r="S24" i="116"/>
  <c r="T24" i="116"/>
  <c r="U24" i="116"/>
  <c r="V24" i="116"/>
  <c r="K23" i="116" a="1"/>
  <c r="Q23" i="116"/>
  <c r="L23" i="116" a="1"/>
  <c r="R23" i="116"/>
  <c r="S23" i="116"/>
  <c r="T23" i="116"/>
  <c r="U23" i="116"/>
  <c r="V23" i="116"/>
  <c r="K22" i="116" a="1"/>
  <c r="Q22" i="116"/>
  <c r="L22" i="116" a="1"/>
  <c r="R22" i="116"/>
  <c r="S22" i="116"/>
  <c r="T22" i="116"/>
  <c r="U22" i="116"/>
  <c r="V22" i="116"/>
  <c r="K21" i="116" a="1"/>
  <c r="Q21" i="116"/>
  <c r="L21" i="116" a="1"/>
  <c r="R21" i="116"/>
  <c r="S21" i="116"/>
  <c r="T21" i="116"/>
  <c r="U21" i="116"/>
  <c r="V21" i="116"/>
  <c r="K20" i="116" a="1"/>
  <c r="Q20" i="116"/>
  <c r="L20" i="116" a="1"/>
  <c r="R20" i="116"/>
  <c r="S20" i="116"/>
  <c r="T20" i="116"/>
  <c r="U20" i="116"/>
  <c r="V20" i="116"/>
  <c r="K19" i="116" a="1"/>
  <c r="Q19" i="116"/>
  <c r="L19" i="116" a="1"/>
  <c r="R19" i="116"/>
  <c r="S19" i="116"/>
  <c r="T19" i="116"/>
  <c r="U19" i="116"/>
  <c r="V19" i="116"/>
  <c r="V46" i="116"/>
  <c r="V48" i="116"/>
  <c r="T48" i="116"/>
  <c r="I48" i="116"/>
  <c r="T46" i="116"/>
  <c r="I46" i="116"/>
  <c r="W31" i="116"/>
  <c r="O31" i="116" a="1"/>
  <c r="N31" i="116" a="1"/>
  <c r="G31" i="116"/>
  <c r="A16" i="116"/>
  <c r="A17" i="116"/>
  <c r="A18" i="116"/>
  <c r="A19" i="116"/>
  <c r="A20" i="116"/>
  <c r="A21" i="116"/>
  <c r="A22" i="116"/>
  <c r="A23" i="116"/>
  <c r="A24" i="116"/>
  <c r="A25" i="116"/>
  <c r="A26" i="116"/>
  <c r="A27" i="116"/>
  <c r="A28" i="116"/>
  <c r="A29" i="116"/>
  <c r="A30" i="116"/>
  <c r="A31" i="116"/>
  <c r="W30" i="116"/>
  <c r="O30" i="116" a="1"/>
  <c r="N30" i="116" a="1"/>
  <c r="G30" i="116"/>
  <c r="W29" i="116"/>
  <c r="O29" i="116" a="1"/>
  <c r="N29" i="116" a="1"/>
  <c r="G29" i="116"/>
  <c r="X28" i="116"/>
  <c r="W28" i="116"/>
  <c r="O28" i="116" a="1"/>
  <c r="N28" i="116" a="1"/>
  <c r="G28" i="116"/>
  <c r="X27" i="116"/>
  <c r="W27" i="116"/>
  <c r="O27" i="116" a="1"/>
  <c r="N27" i="116" a="1"/>
  <c r="G27" i="116"/>
  <c r="X26" i="116"/>
  <c r="W26" i="116"/>
  <c r="O26" i="116" a="1"/>
  <c r="N26" i="116" a="1"/>
  <c r="G26" i="116"/>
  <c r="X25" i="116"/>
  <c r="W25" i="116"/>
  <c r="O25" i="116" a="1"/>
  <c r="G25" i="116"/>
  <c r="X24" i="116"/>
  <c r="W24" i="116"/>
  <c r="O24" i="116" a="1"/>
  <c r="N24" i="116" a="1"/>
  <c r="G24" i="116"/>
  <c r="X23" i="116"/>
  <c r="W23" i="116"/>
  <c r="O23" i="116" a="1"/>
  <c r="N23" i="116" a="1"/>
  <c r="G23" i="116"/>
  <c r="X22" i="116"/>
  <c r="W22" i="116"/>
  <c r="O22" i="116" a="1"/>
  <c r="N22" i="116" a="1"/>
  <c r="G22" i="116"/>
  <c r="X21" i="116"/>
  <c r="W21" i="116"/>
  <c r="O21" i="116" a="1"/>
  <c r="N21" i="116" a="1"/>
  <c r="G21" i="116"/>
  <c r="X20" i="116"/>
  <c r="W20" i="116"/>
  <c r="O20" i="116" a="1"/>
  <c r="N20" i="116" a="1"/>
  <c r="G20" i="116"/>
  <c r="X19" i="116"/>
  <c r="W19" i="116"/>
  <c r="O19" i="116" a="1"/>
  <c r="N19" i="116" a="1"/>
  <c r="G19" i="116"/>
  <c r="X18" i="116"/>
  <c r="W18" i="116"/>
  <c r="O18" i="116" a="1"/>
  <c r="N18" i="116" a="1"/>
  <c r="G18" i="116"/>
  <c r="X17" i="116"/>
  <c r="W17" i="116"/>
  <c r="O17" i="116" a="1"/>
  <c r="N17" i="116" a="1"/>
  <c r="G17" i="116"/>
  <c r="X16" i="116"/>
  <c r="W16" i="116"/>
  <c r="O16" i="116" a="1"/>
  <c r="N16" i="116" a="1"/>
  <c r="G16" i="116"/>
  <c r="X15" i="116"/>
  <c r="W15" i="116"/>
  <c r="O15" i="116" a="1"/>
  <c r="N15" i="116" a="1"/>
  <c r="L15" i="116" a="1"/>
  <c r="K15" i="116" a="1"/>
  <c r="G15" i="116"/>
  <c r="G18" i="115"/>
  <c r="K15" i="115" a="1"/>
  <c r="L15" i="115" a="1"/>
  <c r="S15" i="115"/>
  <c r="T15" i="115"/>
  <c r="U15" i="115"/>
  <c r="V15" i="115"/>
  <c r="K16" i="115" a="1"/>
  <c r="Q16" i="115"/>
  <c r="L16" i="115" a="1"/>
  <c r="R16" i="115"/>
  <c r="S16" i="115"/>
  <c r="T16" i="115"/>
  <c r="U16" i="115"/>
  <c r="V16" i="115"/>
  <c r="K17" i="115" a="1"/>
  <c r="Q17" i="115"/>
  <c r="L17" i="115" a="1"/>
  <c r="R17" i="115"/>
  <c r="S17" i="115"/>
  <c r="T17" i="115"/>
  <c r="U17" i="115"/>
  <c r="V17" i="115"/>
  <c r="K18" i="115" a="1"/>
  <c r="Q18" i="115"/>
  <c r="L18" i="115" a="1"/>
  <c r="R18" i="115"/>
  <c r="S18" i="115"/>
  <c r="T18" i="115"/>
  <c r="U18" i="115"/>
  <c r="V18" i="115"/>
  <c r="K31" i="115" a="1"/>
  <c r="Q31" i="115"/>
  <c r="L31" i="115" a="1"/>
  <c r="R31" i="115"/>
  <c r="S31" i="115"/>
  <c r="T31" i="115"/>
  <c r="U31" i="115"/>
  <c r="V31" i="115"/>
  <c r="K30" i="115" a="1"/>
  <c r="Q30" i="115"/>
  <c r="L30" i="115" a="1"/>
  <c r="R30" i="115"/>
  <c r="S30" i="115"/>
  <c r="T30" i="115"/>
  <c r="U30" i="115"/>
  <c r="V30" i="115"/>
  <c r="K29" i="115" a="1"/>
  <c r="Q29" i="115"/>
  <c r="L29" i="115" a="1"/>
  <c r="R29" i="115"/>
  <c r="S29" i="115"/>
  <c r="T29" i="115"/>
  <c r="U29" i="115"/>
  <c r="V29" i="115"/>
  <c r="K28" i="115" a="1"/>
  <c r="Q28" i="115"/>
  <c r="L28" i="115" a="1"/>
  <c r="R28" i="115"/>
  <c r="S28" i="115"/>
  <c r="T28" i="115"/>
  <c r="U28" i="115"/>
  <c r="V28" i="115"/>
  <c r="K27" i="115" a="1"/>
  <c r="Q27" i="115"/>
  <c r="L27" i="115" a="1"/>
  <c r="R27" i="115"/>
  <c r="S27" i="115"/>
  <c r="T27" i="115"/>
  <c r="U27" i="115"/>
  <c r="V27" i="115"/>
  <c r="K26" i="115" a="1"/>
  <c r="Q26" i="115"/>
  <c r="L26" i="115" a="1"/>
  <c r="R26" i="115"/>
  <c r="S26" i="115"/>
  <c r="T26" i="115"/>
  <c r="U26" i="115"/>
  <c r="V26" i="115"/>
  <c r="K25" i="115" a="1"/>
  <c r="Q25" i="115"/>
  <c r="L25" i="115" a="1"/>
  <c r="R25" i="115"/>
  <c r="S25" i="115"/>
  <c r="T25" i="115"/>
  <c r="U25" i="115"/>
  <c r="V25" i="115"/>
  <c r="K24" i="115" a="1"/>
  <c r="Q24" i="115"/>
  <c r="L24" i="115" a="1"/>
  <c r="R24" i="115"/>
  <c r="S24" i="115"/>
  <c r="T24" i="115"/>
  <c r="U24" i="115"/>
  <c r="V24" i="115"/>
  <c r="K23" i="115" a="1"/>
  <c r="Q23" i="115"/>
  <c r="L23" i="115" a="1"/>
  <c r="R23" i="115"/>
  <c r="S23" i="115"/>
  <c r="T23" i="115"/>
  <c r="U23" i="115"/>
  <c r="V23" i="115"/>
  <c r="K22" i="115" a="1"/>
  <c r="Q22" i="115"/>
  <c r="L22" i="115" a="1"/>
  <c r="R22" i="115"/>
  <c r="S22" i="115"/>
  <c r="T22" i="115"/>
  <c r="U22" i="115"/>
  <c r="V22" i="115"/>
  <c r="K21" i="115" a="1"/>
  <c r="Q21" i="115"/>
  <c r="L21" i="115" a="1"/>
  <c r="R21" i="115"/>
  <c r="S21" i="115"/>
  <c r="T21" i="115"/>
  <c r="U21" i="115"/>
  <c r="V21" i="115"/>
  <c r="K20" i="115" a="1"/>
  <c r="Q20" i="115"/>
  <c r="L20" i="115" a="1"/>
  <c r="R20" i="115"/>
  <c r="S20" i="115"/>
  <c r="T20" i="115"/>
  <c r="U20" i="115"/>
  <c r="V20" i="115"/>
  <c r="K19" i="115" a="1"/>
  <c r="Q19" i="115"/>
  <c r="L19" i="115" a="1"/>
  <c r="R19" i="115"/>
  <c r="S19" i="115"/>
  <c r="T19" i="115"/>
  <c r="U19" i="115"/>
  <c r="V19" i="115"/>
  <c r="V46" i="115"/>
  <c r="V48" i="115"/>
  <c r="T48" i="115"/>
  <c r="I48" i="115"/>
  <c r="T46" i="115"/>
  <c r="I46" i="115"/>
  <c r="A16" i="115"/>
  <c r="A17" i="115"/>
  <c r="A18" i="115"/>
  <c r="A19" i="115"/>
  <c r="A20" i="115"/>
  <c r="A21" i="115"/>
  <c r="A22" i="115"/>
  <c r="A23" i="115"/>
  <c r="A24" i="115"/>
  <c r="A25" i="115"/>
  <c r="A26" i="115"/>
  <c r="A27" i="115"/>
  <c r="A28" i="115"/>
  <c r="A29" i="115"/>
  <c r="A30" i="115"/>
  <c r="A31" i="115"/>
  <c r="W31" i="115"/>
  <c r="O31" i="115" a="1"/>
  <c r="N31" i="115" a="1"/>
  <c r="G31" i="115"/>
  <c r="W30" i="115"/>
  <c r="O30" i="115" a="1"/>
  <c r="N30" i="115" a="1"/>
  <c r="G30" i="115"/>
  <c r="W29" i="115"/>
  <c r="O29" i="115" a="1"/>
  <c r="N29" i="115" a="1"/>
  <c r="G29" i="115"/>
  <c r="X28" i="115"/>
  <c r="W28" i="115"/>
  <c r="O28" i="115" a="1"/>
  <c r="N28" i="115" a="1"/>
  <c r="G28" i="115"/>
  <c r="X27" i="115"/>
  <c r="W27" i="115"/>
  <c r="O27" i="115" a="1"/>
  <c r="N27" i="115" a="1"/>
  <c r="G27" i="115"/>
  <c r="X26" i="115"/>
  <c r="W26" i="115"/>
  <c r="O26" i="115" a="1"/>
  <c r="N26" i="115" a="1"/>
  <c r="G26" i="115"/>
  <c r="X25" i="115"/>
  <c r="W25" i="115"/>
  <c r="O25" i="115" a="1"/>
  <c r="G25" i="115"/>
  <c r="X24" i="115"/>
  <c r="W24" i="115"/>
  <c r="O24" i="115" a="1"/>
  <c r="N24" i="115" a="1"/>
  <c r="G24" i="115"/>
  <c r="X23" i="115"/>
  <c r="W23" i="115"/>
  <c r="O23" i="115" a="1"/>
  <c r="N23" i="115" a="1"/>
  <c r="G23" i="115"/>
  <c r="X22" i="115"/>
  <c r="W22" i="115"/>
  <c r="O22" i="115" a="1"/>
  <c r="N22" i="115" a="1"/>
  <c r="G22" i="115"/>
  <c r="X21" i="115"/>
  <c r="W21" i="115"/>
  <c r="O21" i="115" a="1"/>
  <c r="N21" i="115" a="1"/>
  <c r="G21" i="115"/>
  <c r="X20" i="115"/>
  <c r="W20" i="115"/>
  <c r="O20" i="115" a="1"/>
  <c r="G20" i="115"/>
  <c r="X19" i="115"/>
  <c r="W19" i="115"/>
  <c r="O19" i="115" a="1"/>
  <c r="N19" i="115" a="1"/>
  <c r="G19" i="115"/>
  <c r="X18" i="115"/>
  <c r="W18" i="115"/>
  <c r="O18" i="115" a="1"/>
  <c r="N18" i="115" a="1"/>
  <c r="X17" i="115"/>
  <c r="W17" i="115"/>
  <c r="O17" i="115" a="1"/>
  <c r="N17" i="115" a="1"/>
  <c r="G17" i="115"/>
  <c r="X16" i="115"/>
  <c r="W16" i="115"/>
  <c r="O16" i="115" a="1"/>
  <c r="N16" i="115" a="1"/>
  <c r="G16" i="115"/>
  <c r="X15" i="115"/>
  <c r="W15" i="115"/>
  <c r="O15" i="115" a="1"/>
  <c r="N15" i="115" a="1"/>
  <c r="G15" i="115"/>
  <c r="S17" i="114"/>
  <c r="T17" i="114"/>
  <c r="U17" i="114"/>
  <c r="V17" i="114"/>
  <c r="W17" i="114"/>
  <c r="S18" i="114"/>
  <c r="T18" i="114"/>
  <c r="U18" i="114"/>
  <c r="V18" i="114"/>
  <c r="W18" i="114"/>
  <c r="S19" i="114"/>
  <c r="T19" i="114"/>
  <c r="U19" i="114"/>
  <c r="V19" i="114"/>
  <c r="W19" i="114"/>
  <c r="S20" i="114"/>
  <c r="T20" i="114"/>
  <c r="U20" i="114"/>
  <c r="V20" i="114"/>
  <c r="W20" i="114"/>
  <c r="S26" i="114"/>
  <c r="T26" i="114"/>
  <c r="U26" i="114"/>
  <c r="V26" i="114"/>
  <c r="W26" i="114"/>
  <c r="S25" i="114"/>
  <c r="T25" i="114"/>
  <c r="U25" i="114"/>
  <c r="V25" i="114"/>
  <c r="W25" i="114"/>
  <c r="S24" i="114"/>
  <c r="T24" i="114"/>
  <c r="U24" i="114"/>
  <c r="V24" i="114"/>
  <c r="W24" i="114"/>
  <c r="S23" i="114"/>
  <c r="T23" i="114"/>
  <c r="U23" i="114"/>
  <c r="V23" i="114"/>
  <c r="W23" i="114"/>
  <c r="S22" i="114"/>
  <c r="T22" i="114"/>
  <c r="U22" i="114"/>
  <c r="V22" i="114"/>
  <c r="W22" i="114"/>
  <c r="S21" i="114"/>
  <c r="T21" i="114"/>
  <c r="U21" i="114"/>
  <c r="V21" i="114"/>
  <c r="W21" i="114"/>
  <c r="W50" i="114"/>
  <c r="W52" i="114"/>
  <c r="U50" i="114"/>
  <c r="U52" i="114"/>
  <c r="J50" i="114"/>
  <c r="J52" i="114"/>
  <c r="D52" i="114" a="1"/>
  <c r="D51" i="114" a="1"/>
  <c r="D50" i="114" a="1"/>
  <c r="Y49" i="114"/>
  <c r="X49" i="114"/>
  <c r="R49" i="114"/>
  <c r="P49" i="114" a="1"/>
  <c r="L49" i="114" a="1"/>
  <c r="D49" i="114" a="1"/>
  <c r="Y48" i="114"/>
  <c r="X48" i="114"/>
  <c r="R48" i="114"/>
  <c r="P48" i="114" a="1"/>
  <c r="L48" i="114" a="1"/>
  <c r="D48" i="114" a="1"/>
  <c r="Y47" i="114"/>
  <c r="X47" i="114"/>
  <c r="R47" i="114"/>
  <c r="P47" i="114" a="1"/>
  <c r="L47" i="114" a="1"/>
  <c r="D47" i="114" a="1"/>
  <c r="Y46" i="114"/>
  <c r="X46" i="114"/>
  <c r="R46" i="114"/>
  <c r="P46" i="114" a="1"/>
  <c r="L46" i="114" a="1"/>
  <c r="D46" i="114" a="1"/>
  <c r="Y45" i="114"/>
  <c r="X45" i="114"/>
  <c r="R45" i="114"/>
  <c r="P45" i="114" a="1"/>
  <c r="L45" i="114" a="1"/>
  <c r="D45" i="114" a="1"/>
  <c r="Y44" i="114"/>
  <c r="X44" i="114"/>
  <c r="R44" i="114"/>
  <c r="P44" i="114" a="1"/>
  <c r="L44" i="114" a="1"/>
  <c r="D44" i="114" a="1"/>
  <c r="Y43" i="114"/>
  <c r="X43" i="114"/>
  <c r="R43" i="114"/>
  <c r="P43" i="114" a="1"/>
  <c r="L43" i="114" a="1"/>
  <c r="D43" i="114" a="1"/>
  <c r="Y42" i="114"/>
  <c r="X42" i="114"/>
  <c r="R42" i="114"/>
  <c r="P42" i="114" a="1"/>
  <c r="L42" i="114" a="1"/>
  <c r="D42" i="114" a="1"/>
  <c r="Y41" i="114"/>
  <c r="X41" i="114"/>
  <c r="D41" i="114" a="1"/>
  <c r="Y40" i="114"/>
  <c r="X40" i="114"/>
  <c r="D40" i="114" a="1"/>
  <c r="Y39" i="114"/>
  <c r="X39" i="114"/>
  <c r="D39" i="114" a="1"/>
  <c r="Y38" i="114"/>
  <c r="X38" i="114"/>
  <c r="D38" i="114" a="1"/>
  <c r="Y37" i="114"/>
  <c r="X37" i="114"/>
  <c r="D37" i="114" a="1"/>
  <c r="Y36" i="114"/>
  <c r="X36" i="114"/>
  <c r="D36" i="114" a="1"/>
  <c r="Y35" i="114"/>
  <c r="X35" i="114"/>
  <c r="D35" i="114" a="1"/>
  <c r="Y34" i="114"/>
  <c r="X34" i="114"/>
  <c r="D34" i="114" a="1"/>
  <c r="Y33" i="114"/>
  <c r="X33" i="114"/>
  <c r="D33" i="114" a="1"/>
  <c r="Y32" i="114"/>
  <c r="X32" i="114"/>
  <c r="D32" i="114" a="1"/>
  <c r="Y31" i="114"/>
  <c r="X31" i="114"/>
  <c r="D31" i="114" a="1"/>
  <c r="Y30" i="114"/>
  <c r="X30" i="114"/>
  <c r="D30" i="114" a="1"/>
  <c r="Y29" i="114"/>
  <c r="X29" i="114"/>
  <c r="D29" i="114" a="1"/>
  <c r="Y28" i="114"/>
  <c r="X28" i="114"/>
  <c r="D28" i="114" a="1"/>
  <c r="Y27" i="114"/>
  <c r="X27" i="114"/>
  <c r="D27" i="114" a="1"/>
  <c r="Y26" i="114"/>
  <c r="X26" i="114"/>
  <c r="P26" i="114" a="1"/>
  <c r="H26" i="114"/>
  <c r="D26" i="114" a="1"/>
  <c r="B26" i="114" a="1"/>
  <c r="A18" i="114"/>
  <c r="A19" i="114"/>
  <c r="A20" i="114"/>
  <c r="A21" i="114"/>
  <c r="A22" i="114"/>
  <c r="A23" i="114"/>
  <c r="A24" i="114"/>
  <c r="A25" i="114"/>
  <c r="A26" i="114"/>
  <c r="Y25" i="114"/>
  <c r="X25" i="114"/>
  <c r="P25" i="114" a="1"/>
  <c r="H25" i="114"/>
  <c r="D25" i="114" a="1"/>
  <c r="B25" i="114" a="1"/>
  <c r="Y24" i="114"/>
  <c r="X24" i="114"/>
  <c r="P24" i="114" a="1"/>
  <c r="H24" i="114"/>
  <c r="D24" i="114" a="1"/>
  <c r="B24" i="114" a="1"/>
  <c r="Y23" i="114"/>
  <c r="X23" i="114"/>
  <c r="P23" i="114" a="1"/>
  <c r="H23" i="114"/>
  <c r="D23" i="114" a="1"/>
  <c r="B23" i="114" a="1"/>
  <c r="Y22" i="114"/>
  <c r="X22" i="114"/>
  <c r="P22" i="114" a="1"/>
  <c r="H22" i="114"/>
  <c r="D22" i="114" a="1"/>
  <c r="B22" i="114" a="1"/>
  <c r="Y21" i="114"/>
  <c r="X21" i="114"/>
  <c r="P21" i="114" a="1"/>
  <c r="H21" i="114"/>
  <c r="D21" i="114" a="1"/>
  <c r="B21" i="114" a="1"/>
  <c r="Y20" i="114"/>
  <c r="X20" i="114"/>
  <c r="P20" i="114" a="1"/>
  <c r="H20" i="114"/>
  <c r="D20" i="114" a="1"/>
  <c r="B20" i="114" a="1"/>
  <c r="Y19" i="114"/>
  <c r="X19" i="114"/>
  <c r="P19" i="114" a="1"/>
  <c r="H19" i="114"/>
  <c r="D19" i="114" a="1"/>
  <c r="B19" i="114" a="1"/>
  <c r="Y18" i="114"/>
  <c r="X18" i="114"/>
  <c r="P18" i="114" a="1"/>
  <c r="H18" i="114"/>
  <c r="D18" i="114" a="1"/>
  <c r="B18" i="114" a="1"/>
  <c r="Y17" i="114"/>
  <c r="X17" i="114"/>
  <c r="P17" i="114" a="1"/>
  <c r="H17" i="114"/>
  <c r="D17" i="114" a="1"/>
  <c r="B17" i="114" a="1"/>
  <c r="K15" i="113" a="1"/>
  <c r="Q15" i="113"/>
  <c r="L15" i="113" a="1"/>
  <c r="R15" i="113"/>
  <c r="S15" i="113"/>
  <c r="T15" i="113"/>
  <c r="V15" i="113"/>
  <c r="K16" i="113" a="1"/>
  <c r="Q16" i="113"/>
  <c r="L16" i="113" a="1"/>
  <c r="R16" i="113"/>
  <c r="S16" i="113"/>
  <c r="T16" i="113"/>
  <c r="V16" i="113"/>
  <c r="K17" i="113" a="1"/>
  <c r="Q17" i="113"/>
  <c r="L17" i="113" a="1"/>
  <c r="R17" i="113"/>
  <c r="S17" i="113"/>
  <c r="T17" i="113"/>
  <c r="V17" i="113"/>
  <c r="K18" i="113" a="1"/>
  <c r="Q18" i="113"/>
  <c r="L18" i="113" a="1"/>
  <c r="R18" i="113"/>
  <c r="S18" i="113"/>
  <c r="T18" i="113"/>
  <c r="V18" i="113"/>
  <c r="K19" i="113" a="1"/>
  <c r="Q19" i="113"/>
  <c r="L19" i="113" a="1"/>
  <c r="R19" i="113"/>
  <c r="S19" i="113"/>
  <c r="T19" i="113"/>
  <c r="K20" i="113" a="1"/>
  <c r="Q20" i="113"/>
  <c r="L20" i="113" a="1"/>
  <c r="R20" i="113"/>
  <c r="S20" i="113"/>
  <c r="T20" i="113"/>
  <c r="K21" i="113" a="1"/>
  <c r="Q21" i="113"/>
  <c r="L21" i="113" a="1"/>
  <c r="R21" i="113"/>
  <c r="S21" i="113"/>
  <c r="T21" i="113"/>
  <c r="K22" i="113" a="1"/>
  <c r="Q22" i="113"/>
  <c r="L22" i="113" a="1"/>
  <c r="R22" i="113"/>
  <c r="S22" i="113"/>
  <c r="T22" i="113"/>
  <c r="N49" i="113" a="1"/>
  <c r="Q49" i="113"/>
  <c r="T49" i="113"/>
  <c r="N48" i="113" a="1"/>
  <c r="Q48" i="113"/>
  <c r="T48" i="113"/>
  <c r="N47" i="113" a="1"/>
  <c r="Q47" i="113"/>
  <c r="T47" i="113"/>
  <c r="N46" i="113" a="1"/>
  <c r="Q46" i="113"/>
  <c r="T46" i="113"/>
  <c r="N45" i="113" a="1"/>
  <c r="Q45" i="113"/>
  <c r="T45" i="113"/>
  <c r="N44" i="113" a="1"/>
  <c r="Q44" i="113"/>
  <c r="T44" i="113"/>
  <c r="N43" i="113" a="1"/>
  <c r="Q43" i="113"/>
  <c r="T43" i="113"/>
  <c r="N42" i="113" a="1"/>
  <c r="Q42" i="113"/>
  <c r="T42" i="113"/>
  <c r="N41" i="113" a="1"/>
  <c r="Q41" i="113"/>
  <c r="O41" i="113" a="1"/>
  <c r="R41" i="113"/>
  <c r="T41" i="113"/>
  <c r="K24" i="113" a="1"/>
  <c r="Q24" i="113"/>
  <c r="L24" i="113" a="1"/>
  <c r="R24" i="113"/>
  <c r="S24" i="113"/>
  <c r="T24" i="113"/>
  <c r="K23" i="113" a="1"/>
  <c r="Q23" i="113"/>
  <c r="L23" i="113" a="1"/>
  <c r="R23" i="113"/>
  <c r="S23" i="113"/>
  <c r="T23" i="113"/>
  <c r="T50" i="113"/>
  <c r="W50" i="113"/>
  <c r="W52" i="113"/>
  <c r="T52" i="113"/>
  <c r="I50" i="113"/>
  <c r="I52" i="113"/>
  <c r="X49" i="113"/>
  <c r="O49" i="113" a="1"/>
  <c r="K49" i="113" a="1"/>
  <c r="X48" i="113"/>
  <c r="O48" i="113" a="1"/>
  <c r="K48" i="113" a="1"/>
  <c r="X47" i="113"/>
  <c r="O47" i="113" a="1"/>
  <c r="K47" i="113" a="1"/>
  <c r="X46" i="113"/>
  <c r="O46" i="113" a="1"/>
  <c r="K46" i="113" a="1"/>
  <c r="X45" i="113"/>
  <c r="O45" i="113" a="1"/>
  <c r="K45" i="113" a="1"/>
  <c r="X44" i="113"/>
  <c r="O44" i="113" a="1"/>
  <c r="K44" i="113" a="1"/>
  <c r="X43" i="113"/>
  <c r="O43" i="113" a="1"/>
  <c r="K43" i="113" a="1"/>
  <c r="X42" i="113"/>
  <c r="O42" i="113" a="1"/>
  <c r="K42" i="113" a="1"/>
  <c r="X41" i="113"/>
  <c r="X40" i="113"/>
  <c r="X39" i="113"/>
  <c r="X38" i="113"/>
  <c r="X37" i="113"/>
  <c r="X36" i="113"/>
  <c r="X35" i="113"/>
  <c r="X34" i="113"/>
  <c r="X33" i="113"/>
  <c r="A16" i="113"/>
  <c r="A17" i="113"/>
  <c r="A18" i="113"/>
  <c r="A19" i="113"/>
  <c r="A20" i="113"/>
  <c r="A21" i="113"/>
  <c r="A22" i="113"/>
  <c r="A23" i="113"/>
  <c r="A24" i="113"/>
  <c r="X24" i="113"/>
  <c r="W24" i="113"/>
  <c r="O24" i="113" a="1"/>
  <c r="N24" i="113" a="1"/>
  <c r="G24" i="113"/>
  <c r="B24" i="113" a="1"/>
  <c r="D24" i="113"/>
  <c r="X23" i="113"/>
  <c r="W23" i="113"/>
  <c r="O23" i="113" a="1"/>
  <c r="N23" i="113" a="1"/>
  <c r="G23" i="113"/>
  <c r="B23" i="113" a="1"/>
  <c r="D23" i="113"/>
  <c r="X22" i="113"/>
  <c r="W22" i="113"/>
  <c r="O22" i="113" a="1"/>
  <c r="N22" i="113" a="1"/>
  <c r="G22" i="113"/>
  <c r="B22" i="113" a="1"/>
  <c r="D22" i="113"/>
  <c r="X21" i="113"/>
  <c r="W21" i="113"/>
  <c r="O21" i="113" a="1"/>
  <c r="N21" i="113" a="1"/>
  <c r="G21" i="113"/>
  <c r="B21" i="113" a="1"/>
  <c r="D21" i="113"/>
  <c r="X20" i="113"/>
  <c r="W20" i="113"/>
  <c r="O20" i="113" a="1"/>
  <c r="N20" i="113" a="1"/>
  <c r="G20" i="113"/>
  <c r="B20" i="113" a="1"/>
  <c r="D20" i="113"/>
  <c r="X19" i="113"/>
  <c r="W19" i="113"/>
  <c r="O19" i="113" a="1"/>
  <c r="N19" i="113" a="1"/>
  <c r="G19" i="113"/>
  <c r="B19" i="113" a="1"/>
  <c r="D19" i="113"/>
  <c r="X18" i="113"/>
  <c r="W18" i="113"/>
  <c r="O18" i="113" a="1"/>
  <c r="N18" i="113" a="1"/>
  <c r="G18" i="113"/>
  <c r="B18" i="113" a="1"/>
  <c r="D18" i="113"/>
  <c r="X17" i="113"/>
  <c r="W17" i="113"/>
  <c r="O17" i="113" a="1"/>
  <c r="N17" i="113" a="1"/>
  <c r="G17" i="113"/>
  <c r="B17" i="113" a="1"/>
  <c r="D17" i="113"/>
  <c r="X16" i="113"/>
  <c r="W16" i="113"/>
  <c r="O16" i="113" a="1"/>
  <c r="N16" i="113" a="1"/>
  <c r="G16" i="113"/>
  <c r="B16" i="113" a="1"/>
  <c r="D16" i="113"/>
  <c r="W15" i="113"/>
  <c r="O15" i="113" a="1"/>
  <c r="N15" i="113" a="1"/>
  <c r="G15" i="113"/>
  <c r="B15" i="113" a="1"/>
  <c r="D15" i="113"/>
  <c r="S17" i="112"/>
  <c r="T17" i="112"/>
  <c r="U17" i="112"/>
  <c r="F12" i="9"/>
  <c r="V17" i="112"/>
  <c r="W17" i="112"/>
  <c r="S18" i="112"/>
  <c r="T18" i="112"/>
  <c r="U18" i="112"/>
  <c r="V18" i="112"/>
  <c r="W18" i="112"/>
  <c r="S19" i="112"/>
  <c r="T19" i="112"/>
  <c r="U19" i="112"/>
  <c r="V19" i="112"/>
  <c r="W19" i="112"/>
  <c r="S20" i="112"/>
  <c r="T20" i="112"/>
  <c r="U20" i="112"/>
  <c r="V20" i="112"/>
  <c r="W20" i="112"/>
  <c r="S21" i="112"/>
  <c r="T21" i="112"/>
  <c r="U21" i="112"/>
  <c r="S22" i="112"/>
  <c r="T22" i="112"/>
  <c r="U22" i="112"/>
  <c r="S23" i="112"/>
  <c r="T23" i="112"/>
  <c r="U23" i="112"/>
  <c r="S24" i="112"/>
  <c r="T24" i="112"/>
  <c r="U24" i="112"/>
  <c r="S26" i="112"/>
  <c r="T26" i="112"/>
  <c r="U26" i="112"/>
  <c r="S25" i="112"/>
  <c r="T25" i="112"/>
  <c r="U25" i="112"/>
  <c r="U50" i="112"/>
  <c r="U52" i="112"/>
  <c r="J50" i="112"/>
  <c r="J52" i="112"/>
  <c r="D52" i="112" a="1"/>
  <c r="D51" i="112" a="1"/>
  <c r="D50" i="112" a="1"/>
  <c r="Y49" i="112"/>
  <c r="X49" i="112"/>
  <c r="R49" i="112"/>
  <c r="P49" i="112" a="1"/>
  <c r="L49" i="112" a="1"/>
  <c r="D49" i="112" a="1"/>
  <c r="Y48" i="112"/>
  <c r="X48" i="112"/>
  <c r="R48" i="112"/>
  <c r="P48" i="112" a="1"/>
  <c r="L48" i="112" a="1"/>
  <c r="D48" i="112" a="1"/>
  <c r="Y47" i="112"/>
  <c r="X47" i="112"/>
  <c r="R47" i="112"/>
  <c r="P47" i="112" a="1"/>
  <c r="L47" i="112" a="1"/>
  <c r="D47" i="112" a="1"/>
  <c r="Y46" i="112"/>
  <c r="X46" i="112"/>
  <c r="R46" i="112"/>
  <c r="P46" i="112" a="1"/>
  <c r="L46" i="112" a="1"/>
  <c r="D46" i="112" a="1"/>
  <c r="Y45" i="112"/>
  <c r="X45" i="112"/>
  <c r="R45" i="112"/>
  <c r="P45" i="112" a="1"/>
  <c r="L45" i="112" a="1"/>
  <c r="D45" i="112" a="1"/>
  <c r="Y44" i="112"/>
  <c r="X44" i="112"/>
  <c r="R44" i="112"/>
  <c r="P44" i="112" a="1"/>
  <c r="L44" i="112" a="1"/>
  <c r="D44" i="112" a="1"/>
  <c r="Y43" i="112"/>
  <c r="X43" i="112"/>
  <c r="R43" i="112"/>
  <c r="P43" i="112" a="1"/>
  <c r="L43" i="112" a="1"/>
  <c r="D43" i="112" a="1"/>
  <c r="Y42" i="112"/>
  <c r="X42" i="112"/>
  <c r="R42" i="112"/>
  <c r="P42" i="112" a="1"/>
  <c r="L42" i="112" a="1"/>
  <c r="D42" i="112" a="1"/>
  <c r="Y41" i="112"/>
  <c r="X41" i="112"/>
  <c r="D41" i="112" a="1"/>
  <c r="Y40" i="112"/>
  <c r="X40" i="112"/>
  <c r="D40" i="112" a="1"/>
  <c r="Y39" i="112"/>
  <c r="X39" i="112"/>
  <c r="D39" i="112" a="1"/>
  <c r="Y38" i="112"/>
  <c r="X38" i="112"/>
  <c r="D38" i="112" a="1"/>
  <c r="Y37" i="112"/>
  <c r="X37" i="112"/>
  <c r="D37" i="112" a="1"/>
  <c r="Y36" i="112"/>
  <c r="X36" i="112"/>
  <c r="D36" i="112" a="1"/>
  <c r="Y35" i="112"/>
  <c r="X35" i="112"/>
  <c r="D35" i="112" a="1"/>
  <c r="Y34" i="112"/>
  <c r="X34" i="112"/>
  <c r="D34" i="112" a="1"/>
  <c r="Y33" i="112"/>
  <c r="X33" i="112"/>
  <c r="D33" i="112" a="1"/>
  <c r="Y32" i="112"/>
  <c r="X32" i="112"/>
  <c r="D32" i="112" a="1"/>
  <c r="Y31" i="112"/>
  <c r="X31" i="112"/>
  <c r="D31" i="112" a="1"/>
  <c r="Y30" i="112"/>
  <c r="X30" i="112"/>
  <c r="D30" i="112" a="1"/>
  <c r="Y29" i="112"/>
  <c r="X29" i="112"/>
  <c r="D29" i="112" a="1"/>
  <c r="Y28" i="112"/>
  <c r="X28" i="112"/>
  <c r="D28" i="112" a="1"/>
  <c r="Y27" i="112"/>
  <c r="X27" i="112"/>
  <c r="D27" i="112" a="1"/>
  <c r="Y26" i="112"/>
  <c r="X26" i="112"/>
  <c r="V26" i="112"/>
  <c r="P26" i="112" a="1"/>
  <c r="H26" i="112"/>
  <c r="D26" i="112" a="1"/>
  <c r="B26" i="112" a="1"/>
  <c r="A18" i="112"/>
  <c r="A19" i="112"/>
  <c r="A20" i="112"/>
  <c r="A21" i="112"/>
  <c r="A22" i="112"/>
  <c r="A23" i="112"/>
  <c r="A24" i="112"/>
  <c r="A25" i="112"/>
  <c r="A26" i="112"/>
  <c r="Y25" i="112"/>
  <c r="X25" i="112"/>
  <c r="V25" i="112"/>
  <c r="P25" i="112" a="1"/>
  <c r="H25" i="112"/>
  <c r="D25" i="112" a="1"/>
  <c r="B25" i="112" a="1"/>
  <c r="V24" i="112"/>
  <c r="W24" i="112"/>
  <c r="W25" i="112"/>
  <c r="W26" i="112"/>
  <c r="Y24" i="112"/>
  <c r="X24" i="112"/>
  <c r="P24" i="112" a="1"/>
  <c r="H24" i="112"/>
  <c r="D24" i="112" a="1"/>
  <c r="B24" i="112" a="1"/>
  <c r="Y23" i="112"/>
  <c r="X23" i="112"/>
  <c r="V23" i="112"/>
  <c r="P23" i="112" a="1"/>
  <c r="H23" i="112"/>
  <c r="D23" i="112" a="1"/>
  <c r="B23" i="112" a="1"/>
  <c r="Y22" i="112"/>
  <c r="X22" i="112"/>
  <c r="V22" i="112"/>
  <c r="P22" i="112" a="1"/>
  <c r="H22" i="112"/>
  <c r="D22" i="112" a="1"/>
  <c r="B22" i="112" a="1"/>
  <c r="Y21" i="112"/>
  <c r="X21" i="112"/>
  <c r="V21" i="112"/>
  <c r="P21" i="112" a="1"/>
  <c r="H21" i="112"/>
  <c r="D21" i="112" a="1"/>
  <c r="B21" i="112" a="1"/>
  <c r="Y20" i="112"/>
  <c r="X20" i="112"/>
  <c r="P20" i="112" a="1"/>
  <c r="H20" i="112"/>
  <c r="D20" i="112" a="1"/>
  <c r="B20" i="112" a="1"/>
  <c r="Y19" i="112"/>
  <c r="X19" i="112"/>
  <c r="P19" i="112" a="1"/>
  <c r="H19" i="112"/>
  <c r="D19" i="112" a="1"/>
  <c r="B19" i="112" a="1"/>
  <c r="Y18" i="112"/>
  <c r="X18" i="112"/>
  <c r="P18" i="112" a="1"/>
  <c r="H18" i="112"/>
  <c r="D18" i="112" a="1"/>
  <c r="B18" i="112" a="1"/>
  <c r="X17" i="112"/>
  <c r="P17" i="112" a="1"/>
  <c r="H17" i="112"/>
  <c r="D17" i="112" a="1"/>
  <c r="B17" i="112" a="1"/>
  <c r="X19" i="111"/>
  <c r="W31" i="111"/>
  <c r="X20" i="111"/>
  <c r="N29" i="111" a="1"/>
  <c r="Q29" i="111"/>
  <c r="I49" i="111"/>
  <c r="I47" i="111"/>
  <c r="X36" i="111"/>
  <c r="X34" i="111"/>
  <c r="W34" i="111"/>
  <c r="U34" i="111"/>
  <c r="S34" i="111"/>
  <c r="O34" i="111" a="1"/>
  <c r="N34" i="111" a="1"/>
  <c r="L34" i="111" a="1"/>
  <c r="K34" i="111" a="1"/>
  <c r="G34" i="111"/>
  <c r="W33" i="111"/>
  <c r="U33" i="111"/>
  <c r="S33" i="111"/>
  <c r="O33" i="111" a="1"/>
  <c r="N33" i="111" a="1"/>
  <c r="L33" i="111" a="1"/>
  <c r="K33" i="111" a="1"/>
  <c r="G33" i="111"/>
  <c r="W32" i="111"/>
  <c r="U32" i="111"/>
  <c r="S32" i="111"/>
  <c r="O32" i="111" a="1"/>
  <c r="N32" i="111" a="1"/>
  <c r="L32" i="111" a="1"/>
  <c r="K32" i="111" a="1"/>
  <c r="G32" i="111"/>
  <c r="U31" i="111"/>
  <c r="S31" i="111"/>
  <c r="O31" i="111" a="1"/>
  <c r="N31" i="111" a="1"/>
  <c r="L31" i="111" a="1"/>
  <c r="K31" i="111" a="1"/>
  <c r="G31" i="111"/>
  <c r="X30" i="111"/>
  <c r="W30" i="111"/>
  <c r="U30" i="111"/>
  <c r="S30" i="111"/>
  <c r="O30" i="111" a="1"/>
  <c r="N30" i="111" a="1"/>
  <c r="L30" i="111" a="1"/>
  <c r="K30" i="111" a="1"/>
  <c r="G30" i="111"/>
  <c r="X29" i="111"/>
  <c r="W29" i="111"/>
  <c r="U29" i="111"/>
  <c r="S29" i="111"/>
  <c r="O29" i="111" a="1"/>
  <c r="L29" i="111" a="1"/>
  <c r="K29" i="111" a="1"/>
  <c r="G29" i="111"/>
  <c r="X28" i="111"/>
  <c r="W28" i="111"/>
  <c r="U28" i="111"/>
  <c r="S28" i="111"/>
  <c r="O28" i="111" a="1"/>
  <c r="N28" i="111" a="1"/>
  <c r="L28" i="111" a="1"/>
  <c r="K28" i="111" a="1"/>
  <c r="G28" i="111"/>
  <c r="U27" i="111"/>
  <c r="S27" i="111"/>
  <c r="O27" i="111" a="1"/>
  <c r="N27" i="111" a="1"/>
  <c r="G27" i="111"/>
  <c r="U26" i="111"/>
  <c r="S26" i="111"/>
  <c r="O26" i="111" a="1"/>
  <c r="N26" i="111" a="1"/>
  <c r="G26" i="111"/>
  <c r="U25" i="111"/>
  <c r="S25" i="111"/>
  <c r="O25" i="111" a="1"/>
  <c r="N25" i="111" a="1"/>
  <c r="G25" i="111"/>
  <c r="X24" i="111"/>
  <c r="W24" i="111"/>
  <c r="U24" i="111"/>
  <c r="S24" i="111"/>
  <c r="O24" i="111" a="1"/>
  <c r="N24" i="111" a="1"/>
  <c r="L24" i="111" a="1"/>
  <c r="K24" i="111" a="1"/>
  <c r="G24" i="111"/>
  <c r="X23" i="111"/>
  <c r="W23" i="111"/>
  <c r="U23" i="111"/>
  <c r="S23" i="111"/>
  <c r="O23" i="111" a="1"/>
  <c r="N23" i="111" a="1"/>
  <c r="L23" i="111" a="1"/>
  <c r="K23" i="111" a="1"/>
  <c r="G23" i="111"/>
  <c r="X22" i="111"/>
  <c r="W22" i="111"/>
  <c r="U22" i="111"/>
  <c r="S22" i="111"/>
  <c r="O22" i="111" a="1"/>
  <c r="N22" i="111" a="1"/>
  <c r="L22" i="111" a="1"/>
  <c r="K22" i="111" a="1"/>
  <c r="G22" i="111"/>
  <c r="X21" i="111"/>
  <c r="W21" i="111"/>
  <c r="U21" i="111"/>
  <c r="S21" i="111"/>
  <c r="O21" i="111" a="1"/>
  <c r="N21" i="111" a="1"/>
  <c r="L21" i="111" a="1"/>
  <c r="K21" i="111" a="1"/>
  <c r="G21" i="111"/>
  <c r="W20" i="111"/>
  <c r="U20" i="111"/>
  <c r="S20" i="111"/>
  <c r="O20" i="111" a="1"/>
  <c r="N20" i="111" a="1"/>
  <c r="L20" i="111" a="1"/>
  <c r="K20" i="111" a="1"/>
  <c r="G20" i="111"/>
  <c r="W19" i="111"/>
  <c r="U19" i="111"/>
  <c r="S19" i="111"/>
  <c r="O19" i="111" a="1"/>
  <c r="N19" i="111" a="1"/>
  <c r="L19" i="111" a="1"/>
  <c r="K19" i="111" a="1"/>
  <c r="G19" i="111"/>
  <c r="X18" i="111"/>
  <c r="W18" i="111"/>
  <c r="U18" i="111"/>
  <c r="S18" i="111"/>
  <c r="O18" i="111" a="1"/>
  <c r="N18" i="111" a="1"/>
  <c r="L18" i="111" a="1"/>
  <c r="K18" i="111" a="1"/>
  <c r="G18" i="111"/>
  <c r="X17" i="111"/>
  <c r="W17" i="111"/>
  <c r="U17" i="111"/>
  <c r="S17" i="111"/>
  <c r="O17" i="111" a="1"/>
  <c r="N17" i="111" a="1"/>
  <c r="L17" i="111" a="1"/>
  <c r="K17" i="111" a="1"/>
  <c r="G17" i="111"/>
  <c r="X16" i="111"/>
  <c r="W16" i="111"/>
  <c r="U16" i="111"/>
  <c r="S16" i="111"/>
  <c r="O16" i="111" a="1"/>
  <c r="N16" i="111" a="1"/>
  <c r="L16" i="111" a="1"/>
  <c r="K16" i="111" a="1"/>
  <c r="G16" i="111"/>
  <c r="A16" i="111"/>
  <c r="U15" i="111"/>
  <c r="S15" i="111"/>
  <c r="O15" i="111" a="1"/>
  <c r="N15" i="111" a="1"/>
  <c r="L15" i="111" a="1"/>
  <c r="K15" i="111" a="1"/>
  <c r="G15" i="111"/>
  <c r="A25" i="110"/>
  <c r="B25" i="110" a="1"/>
  <c r="G25" i="110"/>
  <c r="K25" i="110" a="1"/>
  <c r="L25" i="110" a="1"/>
  <c r="N25" i="110" a="1"/>
  <c r="O25" i="110" a="1"/>
  <c r="S25" i="110"/>
  <c r="A26" i="110"/>
  <c r="B26" i="110" a="1"/>
  <c r="G26" i="110"/>
  <c r="K26" i="110" a="1"/>
  <c r="L26" i="110" a="1"/>
  <c r="N26" i="110" a="1"/>
  <c r="O26" i="110" a="1"/>
  <c r="S26" i="110"/>
  <c r="S16" i="106"/>
  <c r="S17" i="106"/>
  <c r="S18" i="106"/>
  <c r="S19" i="106"/>
  <c r="S20" i="106"/>
  <c r="S21" i="106"/>
  <c r="S22" i="106"/>
  <c r="S23" i="106"/>
  <c r="S24" i="106"/>
  <c r="S25" i="106"/>
  <c r="S26" i="106"/>
  <c r="S27" i="106"/>
  <c r="S28" i="106"/>
  <c r="S29" i="106"/>
  <c r="S30" i="106"/>
  <c r="S31" i="106"/>
  <c r="S32" i="106"/>
  <c r="S33" i="106"/>
  <c r="S34" i="106"/>
  <c r="S35" i="106"/>
  <c r="S36" i="106"/>
  <c r="S15" i="106"/>
  <c r="I50" i="110"/>
  <c r="X49" i="110"/>
  <c r="O49" i="110" a="1"/>
  <c r="N49" i="110" a="1"/>
  <c r="K49" i="110" a="1"/>
  <c r="X48" i="110"/>
  <c r="O48" i="110" a="1"/>
  <c r="N48" i="110" a="1"/>
  <c r="K48" i="110" a="1"/>
  <c r="X47" i="110"/>
  <c r="O47" i="110" a="1"/>
  <c r="N47" i="110" a="1"/>
  <c r="K47" i="110" a="1"/>
  <c r="X46" i="110"/>
  <c r="O46" i="110" a="1"/>
  <c r="N46" i="110" a="1"/>
  <c r="K46" i="110" a="1"/>
  <c r="X45" i="110"/>
  <c r="O45" i="110" a="1"/>
  <c r="N45" i="110" a="1"/>
  <c r="K45" i="110" a="1"/>
  <c r="X44" i="110"/>
  <c r="O44" i="110" a="1"/>
  <c r="N44" i="110" a="1"/>
  <c r="K44" i="110" a="1"/>
  <c r="X43" i="110"/>
  <c r="O43" i="110" a="1"/>
  <c r="N43" i="110" a="1"/>
  <c r="K43" i="110" a="1"/>
  <c r="X42" i="110"/>
  <c r="O42" i="110" a="1"/>
  <c r="N42" i="110" a="1"/>
  <c r="K42" i="110" a="1"/>
  <c r="X41" i="110"/>
  <c r="O41" i="110" a="1"/>
  <c r="N41" i="110" a="1"/>
  <c r="X40" i="110"/>
  <c r="X39" i="110"/>
  <c r="X38" i="110"/>
  <c r="X37" i="110"/>
  <c r="X36" i="110"/>
  <c r="X35" i="110"/>
  <c r="X34" i="110"/>
  <c r="X33" i="110"/>
  <c r="X24" i="110"/>
  <c r="W24" i="110"/>
  <c r="S24" i="110"/>
  <c r="O24" i="110" a="1"/>
  <c r="N24" i="110" a="1"/>
  <c r="L24" i="110" a="1"/>
  <c r="K24" i="110" a="1"/>
  <c r="G24" i="110"/>
  <c r="B24" i="110" a="1"/>
  <c r="X23" i="110"/>
  <c r="W23" i="110"/>
  <c r="S23" i="110"/>
  <c r="O23" i="110" a="1"/>
  <c r="N23" i="110" a="1"/>
  <c r="L23" i="110" a="1"/>
  <c r="K23" i="110" a="1"/>
  <c r="G23" i="110"/>
  <c r="B23" i="110" a="1"/>
  <c r="X22" i="110"/>
  <c r="W22" i="110"/>
  <c r="S22" i="110"/>
  <c r="O22" i="110" a="1"/>
  <c r="N22" i="110" a="1"/>
  <c r="L22" i="110" a="1"/>
  <c r="K22" i="110" a="1"/>
  <c r="G22" i="110"/>
  <c r="B22" i="110" a="1"/>
  <c r="X21" i="110"/>
  <c r="W21" i="110"/>
  <c r="S21" i="110"/>
  <c r="O21" i="110" a="1"/>
  <c r="N21" i="110" a="1"/>
  <c r="L21" i="110" a="1"/>
  <c r="K21" i="110" a="1"/>
  <c r="G21" i="110"/>
  <c r="B21" i="110" a="1"/>
  <c r="X20" i="110"/>
  <c r="W20" i="110"/>
  <c r="S20" i="110"/>
  <c r="O20" i="110" a="1"/>
  <c r="N20" i="110" a="1"/>
  <c r="L20" i="110" a="1"/>
  <c r="K20" i="110" a="1"/>
  <c r="G20" i="110"/>
  <c r="B20" i="110" a="1"/>
  <c r="X19" i="110"/>
  <c r="W19" i="110"/>
  <c r="S19" i="110"/>
  <c r="O19" i="110" a="1"/>
  <c r="N19" i="110" a="1"/>
  <c r="L19" i="110" a="1"/>
  <c r="K19" i="110" a="1"/>
  <c r="G19" i="110"/>
  <c r="B19" i="110" a="1"/>
  <c r="X18" i="110"/>
  <c r="W18" i="110"/>
  <c r="S18" i="110"/>
  <c r="O18" i="110" a="1"/>
  <c r="N18" i="110" a="1"/>
  <c r="L18" i="110" a="1"/>
  <c r="K18" i="110" a="1"/>
  <c r="G18" i="110"/>
  <c r="B18" i="110" a="1"/>
  <c r="X17" i="110"/>
  <c r="W17" i="110"/>
  <c r="S17" i="110"/>
  <c r="O17" i="110" a="1"/>
  <c r="N17" i="110" a="1"/>
  <c r="L17" i="110" a="1"/>
  <c r="K17" i="110" a="1"/>
  <c r="G17" i="110"/>
  <c r="B17" i="110" a="1"/>
  <c r="X16" i="110"/>
  <c r="W16" i="110"/>
  <c r="S16" i="110"/>
  <c r="O16" i="110" a="1"/>
  <c r="N16" i="110" a="1"/>
  <c r="L16" i="110" a="1"/>
  <c r="K16" i="110" a="1"/>
  <c r="G16" i="110"/>
  <c r="B16" i="110" a="1"/>
  <c r="A16" i="110"/>
  <c r="S15" i="110"/>
  <c r="O15" i="110" a="1"/>
  <c r="N15" i="110" a="1"/>
  <c r="L15" i="110" a="1"/>
  <c r="K15" i="110" a="1"/>
  <c r="G15" i="110"/>
  <c r="B15" i="110" a="1"/>
  <c r="I50" i="109"/>
  <c r="X49" i="109"/>
  <c r="O49" i="109" a="1"/>
  <c r="N49" i="109" a="1"/>
  <c r="K49" i="109" a="1"/>
  <c r="X48" i="109"/>
  <c r="O48" i="109" a="1"/>
  <c r="N48" i="109" a="1"/>
  <c r="K48" i="109" a="1"/>
  <c r="X47" i="109"/>
  <c r="O47" i="109" a="1"/>
  <c r="N47" i="109" a="1"/>
  <c r="K47" i="109" a="1"/>
  <c r="X46" i="109"/>
  <c r="O46" i="109" a="1"/>
  <c r="N46" i="109" a="1"/>
  <c r="K46" i="109" a="1"/>
  <c r="X45" i="109"/>
  <c r="O45" i="109" a="1"/>
  <c r="N45" i="109" a="1"/>
  <c r="K45" i="109" a="1"/>
  <c r="X44" i="109"/>
  <c r="O44" i="109" a="1"/>
  <c r="N44" i="109" a="1"/>
  <c r="K44" i="109" a="1"/>
  <c r="X43" i="109"/>
  <c r="O43" i="109" a="1"/>
  <c r="N43" i="109" a="1"/>
  <c r="K43" i="109" a="1"/>
  <c r="X42" i="109"/>
  <c r="O42" i="109" a="1"/>
  <c r="N42" i="109" a="1"/>
  <c r="K42" i="109" a="1"/>
  <c r="X41" i="109"/>
  <c r="O41" i="109" a="1"/>
  <c r="N41" i="109" a="1"/>
  <c r="X40" i="109"/>
  <c r="X39" i="109"/>
  <c r="X38" i="109"/>
  <c r="X37" i="109"/>
  <c r="X36" i="109"/>
  <c r="X35" i="109"/>
  <c r="X34" i="109"/>
  <c r="X33" i="109"/>
  <c r="X24" i="109"/>
  <c r="W24" i="109"/>
  <c r="O24" i="109" a="1"/>
  <c r="N24" i="109" a="1"/>
  <c r="L24" i="109" a="1"/>
  <c r="K24" i="109" a="1"/>
  <c r="G24" i="109"/>
  <c r="B24" i="109" a="1"/>
  <c r="X23" i="109"/>
  <c r="W23" i="109"/>
  <c r="S23" i="109"/>
  <c r="O23" i="109" a="1"/>
  <c r="N23" i="109" a="1"/>
  <c r="L23" i="109" a="1"/>
  <c r="K23" i="109" a="1"/>
  <c r="G23" i="109"/>
  <c r="B23" i="109" a="1"/>
  <c r="X22" i="109"/>
  <c r="W22" i="109"/>
  <c r="S22" i="109"/>
  <c r="O22" i="109" a="1"/>
  <c r="N22" i="109" a="1"/>
  <c r="L22" i="109" a="1"/>
  <c r="K22" i="109" a="1"/>
  <c r="G22" i="109"/>
  <c r="B22" i="109" a="1"/>
  <c r="X21" i="109"/>
  <c r="W21" i="109"/>
  <c r="S21" i="109"/>
  <c r="O21" i="109" a="1"/>
  <c r="N21" i="109" a="1"/>
  <c r="L21" i="109" a="1"/>
  <c r="K21" i="109" a="1"/>
  <c r="G21" i="109"/>
  <c r="B21" i="109" a="1"/>
  <c r="X20" i="109"/>
  <c r="W20" i="109"/>
  <c r="S20" i="109"/>
  <c r="O20" i="109" a="1"/>
  <c r="N20" i="109" a="1"/>
  <c r="L20" i="109" a="1"/>
  <c r="K20" i="109" a="1"/>
  <c r="G20" i="109"/>
  <c r="B20" i="109" a="1"/>
  <c r="X19" i="109"/>
  <c r="W19" i="109"/>
  <c r="S19" i="109"/>
  <c r="O19" i="109" a="1"/>
  <c r="N19" i="109" a="1"/>
  <c r="L19" i="109" a="1"/>
  <c r="K19" i="109" a="1"/>
  <c r="G19" i="109"/>
  <c r="B19" i="109" a="1"/>
  <c r="X18" i="109"/>
  <c r="W18" i="109"/>
  <c r="S18" i="109"/>
  <c r="O18" i="109" a="1"/>
  <c r="N18" i="109" a="1"/>
  <c r="L18" i="109" a="1"/>
  <c r="K18" i="109" a="1"/>
  <c r="G18" i="109"/>
  <c r="B18" i="109" a="1"/>
  <c r="X17" i="109"/>
  <c r="W17" i="109"/>
  <c r="S17" i="109"/>
  <c r="O17" i="109" a="1"/>
  <c r="N17" i="109" a="1"/>
  <c r="L17" i="109" a="1"/>
  <c r="K17" i="109" a="1"/>
  <c r="G17" i="109"/>
  <c r="B17" i="109" a="1"/>
  <c r="X16" i="109"/>
  <c r="W16" i="109"/>
  <c r="S16" i="109"/>
  <c r="O16" i="109" a="1"/>
  <c r="N16" i="109" a="1"/>
  <c r="L16" i="109" a="1"/>
  <c r="K16" i="109" a="1"/>
  <c r="G16" i="109"/>
  <c r="B16" i="109" a="1"/>
  <c r="A16" i="109"/>
  <c r="S15" i="109"/>
  <c r="O15" i="109" a="1"/>
  <c r="N15" i="109" a="1"/>
  <c r="L15" i="109" a="1"/>
  <c r="K15" i="109" a="1"/>
  <c r="G15" i="109"/>
  <c r="B15" i="109" a="1"/>
  <c r="D52" i="108" a="1"/>
  <c r="D51" i="108" a="1"/>
  <c r="J50" i="108"/>
  <c r="D50" i="108" a="1"/>
  <c r="Y49" i="108"/>
  <c r="X49" i="108"/>
  <c r="R49" i="108"/>
  <c r="P49" i="108" a="1"/>
  <c r="L49" i="108" a="1"/>
  <c r="D49" i="108" a="1"/>
  <c r="Y48" i="108"/>
  <c r="X48" i="108"/>
  <c r="R48" i="108"/>
  <c r="P48" i="108" a="1"/>
  <c r="L48" i="108" a="1"/>
  <c r="D48" i="108" a="1"/>
  <c r="Y47" i="108"/>
  <c r="X47" i="108"/>
  <c r="R47" i="108"/>
  <c r="P47" i="108" a="1"/>
  <c r="L47" i="108" a="1"/>
  <c r="D47" i="108" a="1"/>
  <c r="Y46" i="108"/>
  <c r="X46" i="108"/>
  <c r="R46" i="108"/>
  <c r="P46" i="108" a="1"/>
  <c r="L46" i="108" a="1"/>
  <c r="D46" i="108" a="1"/>
  <c r="Y45" i="108"/>
  <c r="X45" i="108"/>
  <c r="R45" i="108"/>
  <c r="P45" i="108" a="1"/>
  <c r="L45" i="108" a="1"/>
  <c r="D45" i="108" a="1"/>
  <c r="Y44" i="108"/>
  <c r="X44" i="108"/>
  <c r="R44" i="108"/>
  <c r="P44" i="108" a="1"/>
  <c r="L44" i="108" a="1"/>
  <c r="D44" i="108" a="1"/>
  <c r="Y43" i="108"/>
  <c r="X43" i="108"/>
  <c r="R43" i="108"/>
  <c r="P43" i="108" a="1"/>
  <c r="L43" i="108" a="1"/>
  <c r="D43" i="108" a="1"/>
  <c r="Y42" i="108"/>
  <c r="X42" i="108"/>
  <c r="R42" i="108"/>
  <c r="P42" i="108" a="1"/>
  <c r="L42" i="108" a="1"/>
  <c r="D42" i="108" a="1"/>
  <c r="Y41" i="108"/>
  <c r="X41" i="108"/>
  <c r="D41" i="108" a="1"/>
  <c r="Y40" i="108"/>
  <c r="X40" i="108"/>
  <c r="D40" i="108" a="1"/>
  <c r="Y39" i="108"/>
  <c r="X39" i="108"/>
  <c r="D39" i="108" a="1"/>
  <c r="Y38" i="108"/>
  <c r="X38" i="108"/>
  <c r="D38" i="108" a="1"/>
  <c r="Y37" i="108"/>
  <c r="X37" i="108"/>
  <c r="D37" i="108" a="1"/>
  <c r="Y36" i="108"/>
  <c r="X36" i="108"/>
  <c r="D36" i="108" a="1"/>
  <c r="Y35" i="108"/>
  <c r="X35" i="108"/>
  <c r="D35" i="108" a="1"/>
  <c r="Y34" i="108"/>
  <c r="X34" i="108"/>
  <c r="D34" i="108" a="1"/>
  <c r="Y33" i="108"/>
  <c r="X33" i="108"/>
  <c r="D33" i="108" a="1"/>
  <c r="Y32" i="108"/>
  <c r="X32" i="108"/>
  <c r="D32" i="108" a="1"/>
  <c r="Y31" i="108"/>
  <c r="X31" i="108"/>
  <c r="D31" i="108" a="1"/>
  <c r="Y30" i="108"/>
  <c r="X30" i="108"/>
  <c r="D30" i="108" a="1"/>
  <c r="Y29" i="108"/>
  <c r="X29" i="108"/>
  <c r="D29" i="108" a="1"/>
  <c r="Y28" i="108"/>
  <c r="X28" i="108"/>
  <c r="D28" i="108" a="1"/>
  <c r="Y27" i="108"/>
  <c r="X27" i="108"/>
  <c r="D27" i="108" a="1"/>
  <c r="Y26" i="108"/>
  <c r="X26" i="108"/>
  <c r="T26" i="108"/>
  <c r="S26" i="108"/>
  <c r="P26" i="108" a="1"/>
  <c r="H26" i="108"/>
  <c r="D26" i="108" a="1"/>
  <c r="B26" i="108" a="1"/>
  <c r="Y25" i="108"/>
  <c r="X25" i="108"/>
  <c r="T25" i="108"/>
  <c r="S25" i="108"/>
  <c r="P25" i="108" a="1"/>
  <c r="H25" i="108"/>
  <c r="D25" i="108" a="1"/>
  <c r="B25" i="108" a="1"/>
  <c r="Y24" i="108"/>
  <c r="X24" i="108"/>
  <c r="T24" i="108"/>
  <c r="S24" i="108"/>
  <c r="P24" i="108" a="1"/>
  <c r="H24" i="108"/>
  <c r="D24" i="108" a="1"/>
  <c r="B24" i="108" a="1"/>
  <c r="Y23" i="108"/>
  <c r="X23" i="108"/>
  <c r="T23" i="108"/>
  <c r="S23" i="108"/>
  <c r="P23" i="108" a="1"/>
  <c r="H23" i="108"/>
  <c r="D23" i="108" a="1"/>
  <c r="B23" i="108" a="1"/>
  <c r="T22" i="108"/>
  <c r="S22" i="108"/>
  <c r="P22" i="108" a="1"/>
  <c r="H22" i="108"/>
  <c r="D22" i="108" a="1"/>
  <c r="B22" i="108" a="1"/>
  <c r="Y21" i="108"/>
  <c r="X21" i="108"/>
  <c r="T21" i="108"/>
  <c r="S21" i="108"/>
  <c r="P21" i="108" a="1"/>
  <c r="H21" i="108"/>
  <c r="D21" i="108" a="1"/>
  <c r="B21" i="108" a="1"/>
  <c r="Y20" i="108"/>
  <c r="T20" i="108"/>
  <c r="S20" i="108"/>
  <c r="P20" i="108" a="1"/>
  <c r="H20" i="108"/>
  <c r="D20" i="108" a="1"/>
  <c r="B20" i="108" a="1"/>
  <c r="T19" i="108"/>
  <c r="S19" i="108"/>
  <c r="P19" i="108" a="1"/>
  <c r="H19" i="108"/>
  <c r="D19" i="108" a="1"/>
  <c r="B19" i="108" a="1"/>
  <c r="Y18" i="108"/>
  <c r="X18" i="108"/>
  <c r="T18" i="108"/>
  <c r="S18" i="108"/>
  <c r="P18" i="108" a="1"/>
  <c r="H18" i="108"/>
  <c r="D18" i="108" a="1"/>
  <c r="B18" i="108" a="1"/>
  <c r="A18" i="108"/>
  <c r="T17" i="108"/>
  <c r="S17" i="108"/>
  <c r="P17" i="108" a="1"/>
  <c r="H17" i="108"/>
  <c r="D17" i="108" a="1"/>
  <c r="B17" i="108" a="1"/>
  <c r="A33" i="106"/>
  <c r="A34" i="106"/>
  <c r="A35" i="106"/>
  <c r="A36" i="106"/>
  <c r="K33" i="106" a="1"/>
  <c r="L33" i="106" a="1"/>
  <c r="N33" i="106" a="1"/>
  <c r="O33" i="106" a="1"/>
  <c r="U33" i="106"/>
  <c r="K34" i="106" a="1"/>
  <c r="L34" i="106" a="1"/>
  <c r="N34" i="106" a="1"/>
  <c r="O34" i="106" a="1"/>
  <c r="U34" i="106"/>
  <c r="K35" i="106" a="1"/>
  <c r="L35" i="106" a="1"/>
  <c r="N35" i="106" a="1"/>
  <c r="O35" i="106" a="1"/>
  <c r="U35" i="106"/>
  <c r="K36" i="106" a="1"/>
  <c r="L36" i="106" a="1"/>
  <c r="N36" i="106" a="1"/>
  <c r="O36" i="106" a="1"/>
  <c r="U36" i="106"/>
  <c r="I48" i="107"/>
  <c r="I46" i="107"/>
  <c r="W32" i="107"/>
  <c r="U32" i="107"/>
  <c r="S32" i="107"/>
  <c r="O32" i="107" a="1"/>
  <c r="N32" i="107" a="1"/>
  <c r="L32" i="107" a="1"/>
  <c r="K32" i="107" a="1"/>
  <c r="G32" i="107"/>
  <c r="W31" i="107"/>
  <c r="U31" i="107"/>
  <c r="S31" i="107"/>
  <c r="O31" i="107" a="1"/>
  <c r="N31" i="107" a="1"/>
  <c r="L31" i="107" a="1"/>
  <c r="K31" i="107" a="1"/>
  <c r="G31" i="107"/>
  <c r="W30" i="107"/>
  <c r="U30" i="107"/>
  <c r="S30" i="107"/>
  <c r="O30" i="107" a="1"/>
  <c r="N30" i="107" a="1"/>
  <c r="L30" i="107" a="1"/>
  <c r="K30" i="107" a="1"/>
  <c r="G30" i="107"/>
  <c r="W29" i="107"/>
  <c r="U29" i="107"/>
  <c r="S29" i="107"/>
  <c r="O29" i="107" a="1"/>
  <c r="N29" i="107" a="1"/>
  <c r="L29" i="107" a="1"/>
  <c r="K29" i="107" a="1"/>
  <c r="G29" i="107"/>
  <c r="X28" i="107"/>
  <c r="W28" i="107"/>
  <c r="U28" i="107"/>
  <c r="S28" i="107"/>
  <c r="O28" i="107" a="1"/>
  <c r="N28" i="107" a="1"/>
  <c r="L28" i="107" a="1"/>
  <c r="K28" i="107" a="1"/>
  <c r="G28" i="107"/>
  <c r="X27" i="107"/>
  <c r="W27" i="107"/>
  <c r="U27" i="107"/>
  <c r="S27" i="107"/>
  <c r="O27" i="107" a="1"/>
  <c r="N27" i="107" a="1"/>
  <c r="L27" i="107" a="1"/>
  <c r="K27" i="107" a="1"/>
  <c r="G27" i="107"/>
  <c r="X26" i="107"/>
  <c r="W26" i="107"/>
  <c r="U26" i="107"/>
  <c r="S26" i="107"/>
  <c r="O26" i="107" a="1"/>
  <c r="N26" i="107" a="1"/>
  <c r="L26" i="107" a="1"/>
  <c r="K26" i="107" a="1"/>
  <c r="G26" i="107"/>
  <c r="X25" i="107"/>
  <c r="W25" i="107"/>
  <c r="U25" i="107"/>
  <c r="S25" i="107"/>
  <c r="O25" i="107" a="1"/>
  <c r="L25" i="107" a="1"/>
  <c r="K25" i="107" a="1"/>
  <c r="G25" i="107"/>
  <c r="X24" i="107"/>
  <c r="W24" i="107"/>
  <c r="U24" i="107"/>
  <c r="S24" i="107"/>
  <c r="O24" i="107" a="1"/>
  <c r="N24" i="107" a="1"/>
  <c r="L24" i="107" a="1"/>
  <c r="K24" i="107" a="1"/>
  <c r="G24" i="107"/>
  <c r="X23" i="107"/>
  <c r="W23" i="107"/>
  <c r="U23" i="107"/>
  <c r="S23" i="107"/>
  <c r="O23" i="107" a="1"/>
  <c r="N23" i="107" a="1"/>
  <c r="L23" i="107" a="1"/>
  <c r="K23" i="107" a="1"/>
  <c r="G23" i="107"/>
  <c r="X22" i="107"/>
  <c r="W22" i="107"/>
  <c r="U22" i="107"/>
  <c r="S22" i="107"/>
  <c r="O22" i="107" a="1"/>
  <c r="N22" i="107" a="1"/>
  <c r="L22" i="107" a="1"/>
  <c r="K22" i="107" a="1"/>
  <c r="G22" i="107"/>
  <c r="X21" i="107"/>
  <c r="W21" i="107"/>
  <c r="U21" i="107"/>
  <c r="S21" i="107"/>
  <c r="O21" i="107" a="1"/>
  <c r="N21" i="107" a="1"/>
  <c r="L21" i="107" a="1"/>
  <c r="K21" i="107" a="1"/>
  <c r="G21" i="107"/>
  <c r="X20" i="107"/>
  <c r="W20" i="107"/>
  <c r="U20" i="107"/>
  <c r="S20" i="107"/>
  <c r="O20" i="107" a="1"/>
  <c r="N20" i="107" a="1"/>
  <c r="L20" i="107" a="1"/>
  <c r="K20" i="107" a="1"/>
  <c r="G20" i="107"/>
  <c r="X19" i="107"/>
  <c r="U19" i="107"/>
  <c r="S19" i="107"/>
  <c r="O19" i="107" a="1"/>
  <c r="N19" i="107" a="1"/>
  <c r="L19" i="107" a="1"/>
  <c r="K19" i="107" a="1"/>
  <c r="G19" i="107"/>
  <c r="X18" i="107"/>
  <c r="W18" i="107"/>
  <c r="U18" i="107"/>
  <c r="S18" i="107"/>
  <c r="O18" i="107" a="1"/>
  <c r="N18" i="107" a="1"/>
  <c r="L18" i="107" a="1"/>
  <c r="K18" i="107" a="1"/>
  <c r="G18" i="107"/>
  <c r="X17" i="107"/>
  <c r="W17" i="107"/>
  <c r="U17" i="107"/>
  <c r="S17" i="107"/>
  <c r="O17" i="107" a="1"/>
  <c r="N17" i="107" a="1"/>
  <c r="L17" i="107" a="1"/>
  <c r="K17" i="107" a="1"/>
  <c r="G17" i="107"/>
  <c r="X16" i="107"/>
  <c r="W16" i="107"/>
  <c r="U16" i="107"/>
  <c r="S16" i="107"/>
  <c r="O16" i="107" a="1"/>
  <c r="N16" i="107" a="1"/>
  <c r="L16" i="107" a="1"/>
  <c r="K16" i="107" a="1"/>
  <c r="G16" i="107"/>
  <c r="A16" i="107"/>
  <c r="U15" i="107"/>
  <c r="S15" i="107"/>
  <c r="O15" i="107" a="1"/>
  <c r="N15" i="107" a="1"/>
  <c r="L15" i="107" a="1"/>
  <c r="K15" i="107" a="1"/>
  <c r="G15" i="107"/>
  <c r="I48" i="106"/>
  <c r="I46" i="106"/>
  <c r="W32" i="106"/>
  <c r="U32" i="106"/>
  <c r="O32" i="106" a="1"/>
  <c r="N32" i="106" a="1"/>
  <c r="L32" i="106" a="1"/>
  <c r="K32" i="106" a="1"/>
  <c r="G32" i="106"/>
  <c r="W31" i="106"/>
  <c r="U31" i="106"/>
  <c r="O31" i="106" a="1"/>
  <c r="N31" i="106" a="1"/>
  <c r="L31" i="106" a="1"/>
  <c r="K31" i="106" a="1"/>
  <c r="G31" i="106"/>
  <c r="W30" i="106"/>
  <c r="U30" i="106"/>
  <c r="O30" i="106" a="1"/>
  <c r="N30" i="106" a="1"/>
  <c r="L30" i="106" a="1"/>
  <c r="K30" i="106" a="1"/>
  <c r="G30" i="106"/>
  <c r="W29" i="106"/>
  <c r="U29" i="106"/>
  <c r="O29" i="106" a="1"/>
  <c r="N29" i="106" a="1"/>
  <c r="L29" i="106" a="1"/>
  <c r="K29" i="106" a="1"/>
  <c r="G29" i="106"/>
  <c r="X28" i="106"/>
  <c r="W28" i="106"/>
  <c r="U28" i="106"/>
  <c r="O28" i="106" a="1"/>
  <c r="N28" i="106" a="1"/>
  <c r="L28" i="106" a="1"/>
  <c r="K28" i="106" a="1"/>
  <c r="G28" i="106"/>
  <c r="X27" i="106"/>
  <c r="W27" i="106"/>
  <c r="U27" i="106"/>
  <c r="O27" i="106" a="1"/>
  <c r="N27" i="106" a="1"/>
  <c r="L27" i="106" a="1"/>
  <c r="K27" i="106" a="1"/>
  <c r="G27" i="106"/>
  <c r="U26" i="106"/>
  <c r="O26" i="106" a="1"/>
  <c r="N26" i="106" a="1"/>
  <c r="L26" i="106" a="1"/>
  <c r="K26" i="106" a="1"/>
  <c r="G26" i="106"/>
  <c r="X25" i="106"/>
  <c r="W25" i="106"/>
  <c r="U25" i="106"/>
  <c r="O25" i="106" a="1"/>
  <c r="L25" i="106" a="1"/>
  <c r="K25" i="106" a="1"/>
  <c r="G25" i="106"/>
  <c r="X24" i="106"/>
  <c r="W24" i="106"/>
  <c r="U24" i="106"/>
  <c r="O24" i="106" a="1"/>
  <c r="N24" i="106" a="1"/>
  <c r="L24" i="106" a="1"/>
  <c r="K24" i="106" a="1"/>
  <c r="G24" i="106"/>
  <c r="X23" i="106"/>
  <c r="W23" i="106"/>
  <c r="U23" i="106"/>
  <c r="O23" i="106" a="1"/>
  <c r="N23" i="106" a="1"/>
  <c r="L23" i="106" a="1"/>
  <c r="K23" i="106" a="1"/>
  <c r="G23" i="106"/>
  <c r="X22" i="106"/>
  <c r="W22" i="106"/>
  <c r="U22" i="106"/>
  <c r="O22" i="106" a="1"/>
  <c r="N22" i="106" a="1"/>
  <c r="L22" i="106" a="1"/>
  <c r="K22" i="106" a="1"/>
  <c r="G22" i="106"/>
  <c r="X21" i="106"/>
  <c r="W21" i="106"/>
  <c r="U21" i="106"/>
  <c r="O21" i="106" a="1"/>
  <c r="N21" i="106" a="1"/>
  <c r="L21" i="106" a="1"/>
  <c r="K21" i="106" a="1"/>
  <c r="G21" i="106"/>
  <c r="X20" i="106"/>
  <c r="W20" i="106"/>
  <c r="U20" i="106"/>
  <c r="O20" i="106" a="1"/>
  <c r="N20" i="106" a="1"/>
  <c r="L20" i="106" a="1"/>
  <c r="K20" i="106" a="1"/>
  <c r="G20" i="106"/>
  <c r="X19" i="106"/>
  <c r="W19" i="106"/>
  <c r="U19" i="106"/>
  <c r="O19" i="106" a="1"/>
  <c r="N19" i="106" a="1"/>
  <c r="L19" i="106" a="1"/>
  <c r="K19" i="106" a="1"/>
  <c r="G19" i="106"/>
  <c r="X18" i="106"/>
  <c r="W18" i="106"/>
  <c r="U18" i="106"/>
  <c r="O18" i="106" a="1"/>
  <c r="N18" i="106" a="1"/>
  <c r="L18" i="106" a="1"/>
  <c r="K18" i="106" a="1"/>
  <c r="G18" i="106"/>
  <c r="X17" i="106"/>
  <c r="W17" i="106"/>
  <c r="U17" i="106"/>
  <c r="O17" i="106" a="1"/>
  <c r="N17" i="106" a="1"/>
  <c r="L17" i="106" a="1"/>
  <c r="K17" i="106" a="1"/>
  <c r="G17" i="106"/>
  <c r="K16" i="106" a="1"/>
  <c r="Q16" i="106"/>
  <c r="L16" i="106" a="1"/>
  <c r="R16" i="106"/>
  <c r="T16" i="106"/>
  <c r="U16" i="106"/>
  <c r="V16" i="106"/>
  <c r="Q17" i="106"/>
  <c r="R17" i="106"/>
  <c r="T17" i="106"/>
  <c r="V17" i="106"/>
  <c r="Q18" i="106"/>
  <c r="R18" i="106"/>
  <c r="T18" i="106"/>
  <c r="V18" i="106"/>
  <c r="Q19" i="106"/>
  <c r="R19" i="106"/>
  <c r="T19" i="106"/>
  <c r="V19" i="106"/>
  <c r="Q20" i="106"/>
  <c r="R20" i="106"/>
  <c r="T20" i="106"/>
  <c r="Q21" i="106"/>
  <c r="R21" i="106"/>
  <c r="T21" i="106"/>
  <c r="Q22" i="106"/>
  <c r="R22" i="106"/>
  <c r="T22" i="106"/>
  <c r="Q23" i="106"/>
  <c r="R23" i="106"/>
  <c r="T23" i="106"/>
  <c r="O16" i="106" a="1"/>
  <c r="N16" i="106" a="1"/>
  <c r="G16" i="106"/>
  <c r="A16" i="106"/>
  <c r="U15" i="106"/>
  <c r="O15" i="106" a="1"/>
  <c r="N15" i="106" a="1"/>
  <c r="L15" i="106" a="1"/>
  <c r="K15" i="106" a="1"/>
  <c r="G15" i="106"/>
  <c r="F11" i="9"/>
  <c r="F13" i="9"/>
  <c r="F9" i="9"/>
  <c r="W44" i="82"/>
  <c r="X16" i="82"/>
  <c r="X17" i="82"/>
  <c r="X19" i="82"/>
  <c r="X20" i="82"/>
  <c r="U21" i="82"/>
  <c r="W21" i="82"/>
  <c r="U22" i="82"/>
  <c r="Y21" i="82"/>
  <c r="W22" i="82"/>
  <c r="A22" i="82"/>
  <c r="H16" i="82"/>
  <c r="H17" i="82"/>
  <c r="H18" i="82"/>
  <c r="H19" i="82"/>
  <c r="H20" i="82"/>
  <c r="H21" i="82"/>
  <c r="H22" i="82"/>
  <c r="H15" i="82"/>
  <c r="D46" i="82" a="1"/>
  <c r="D45" i="82" a="1"/>
  <c r="J44" i="82"/>
  <c r="J46" i="82"/>
  <c r="D44" i="82" a="1"/>
  <c r="Y43" i="82"/>
  <c r="X43" i="82"/>
  <c r="P43" i="82" a="1"/>
  <c r="O43" i="82" a="1"/>
  <c r="R43" i="82"/>
  <c r="L43" i="82" a="1"/>
  <c r="D43" i="82" a="1"/>
  <c r="Y42" i="82"/>
  <c r="X42" i="82"/>
  <c r="P42" i="82" a="1"/>
  <c r="O42" i="82" a="1"/>
  <c r="L42" i="82" a="1"/>
  <c r="D42" i="82" a="1"/>
  <c r="Y41" i="82"/>
  <c r="X41" i="82"/>
  <c r="P41" i="82" a="1"/>
  <c r="O41" i="82" a="1"/>
  <c r="L41" i="82" a="1"/>
  <c r="D41" i="82" a="1"/>
  <c r="Y40" i="82"/>
  <c r="X40" i="82"/>
  <c r="P40" i="82" a="1"/>
  <c r="O40" i="82" a="1"/>
  <c r="R40" i="82"/>
  <c r="L40" i="82" a="1"/>
  <c r="D40" i="82" a="1"/>
  <c r="Y39" i="82"/>
  <c r="X39" i="82"/>
  <c r="P39" i="82" a="1"/>
  <c r="O39" i="82" a="1"/>
  <c r="R39" i="82"/>
  <c r="L39" i="82" a="1"/>
  <c r="D39" i="82" a="1"/>
  <c r="Y38" i="82"/>
  <c r="X38" i="82"/>
  <c r="P38" i="82" a="1"/>
  <c r="O38" i="82" a="1"/>
  <c r="R38" i="82"/>
  <c r="L38" i="82" a="1"/>
  <c r="D38" i="82" a="1"/>
  <c r="Y37" i="82"/>
  <c r="X37" i="82"/>
  <c r="P37" i="82" a="1"/>
  <c r="O37" i="82" a="1"/>
  <c r="L37" i="82" a="1"/>
  <c r="D37" i="82" a="1"/>
  <c r="Y36" i="82"/>
  <c r="X36" i="82"/>
  <c r="P36" i="82" a="1"/>
  <c r="O36" i="82" a="1"/>
  <c r="R36" i="82"/>
  <c r="L36" i="82" a="1"/>
  <c r="D36" i="82" a="1"/>
  <c r="Y35" i="82"/>
  <c r="X35" i="82"/>
  <c r="D35" i="82" a="1"/>
  <c r="Y34" i="82"/>
  <c r="X34" i="82"/>
  <c r="D34" i="82" a="1"/>
  <c r="Y33" i="82"/>
  <c r="X33" i="82"/>
  <c r="D33" i="82" a="1"/>
  <c r="Y32" i="82"/>
  <c r="X32" i="82"/>
  <c r="D32" i="82" a="1"/>
  <c r="Y31" i="82"/>
  <c r="X31" i="82"/>
  <c r="D31" i="82" a="1"/>
  <c r="Y30" i="82"/>
  <c r="X30" i="82"/>
  <c r="D30" i="82" a="1"/>
  <c r="Y29" i="82"/>
  <c r="X29" i="82"/>
  <c r="D29" i="82" a="1"/>
  <c r="Y28" i="82"/>
  <c r="X28" i="82"/>
  <c r="D28" i="82" a="1"/>
  <c r="Y27" i="82"/>
  <c r="X27" i="82"/>
  <c r="D27" i="82" a="1"/>
  <c r="Y26" i="82"/>
  <c r="X26" i="82"/>
  <c r="D26" i="82" a="1"/>
  <c r="Y25" i="82"/>
  <c r="X25" i="82"/>
  <c r="D25" i="82" a="1"/>
  <c r="Y24" i="82"/>
  <c r="X24" i="82"/>
  <c r="D24" i="82" a="1"/>
  <c r="Y23" i="82"/>
  <c r="X23" i="82"/>
  <c r="D23" i="82" a="1"/>
  <c r="Y22" i="82"/>
  <c r="B22" i="82" a="1"/>
  <c r="B21" i="82" a="1"/>
  <c r="Y20" i="82"/>
  <c r="T20" i="82"/>
  <c r="U20" i="82"/>
  <c r="W20" i="82"/>
  <c r="B20" i="82" a="1"/>
  <c r="Y19" i="82"/>
  <c r="T19" i="82"/>
  <c r="U19" i="82"/>
  <c r="W19" i="82"/>
  <c r="B19" i="82" a="1"/>
  <c r="Y18" i="82"/>
  <c r="T18" i="82"/>
  <c r="U18" i="82"/>
  <c r="W18" i="82"/>
  <c r="B18" i="82" a="1"/>
  <c r="Y17" i="82"/>
  <c r="T17" i="82"/>
  <c r="U17" i="82"/>
  <c r="W17" i="82"/>
  <c r="B17" i="82" a="1"/>
  <c r="Y16" i="82"/>
  <c r="T16" i="82"/>
  <c r="U16" i="82"/>
  <c r="W16" i="82"/>
  <c r="B16" i="82" a="1"/>
  <c r="A16" i="82"/>
  <c r="A17" i="82"/>
  <c r="A18" i="82"/>
  <c r="A19" i="82"/>
  <c r="A20" i="82"/>
  <c r="A21" i="82"/>
  <c r="T15" i="82"/>
  <c r="U15" i="82"/>
  <c r="B15" i="82" a="1"/>
  <c r="W17" i="9"/>
  <c r="T42" i="3"/>
  <c r="X42" i="3"/>
  <c r="T41" i="3"/>
  <c r="X41" i="3"/>
  <c r="T33" i="3"/>
  <c r="X33" i="3"/>
  <c r="X32" i="3"/>
  <c r="W31" i="9"/>
  <c r="W23" i="9"/>
  <c r="W25" i="9"/>
  <c r="W26" i="9"/>
  <c r="W27" i="9"/>
  <c r="W5" i="9"/>
  <c r="W6" i="9"/>
  <c r="W7" i="9"/>
  <c r="W8" i="9"/>
  <c r="W9" i="9"/>
  <c r="W10" i="9"/>
  <c r="W11" i="9"/>
  <c r="W12" i="9"/>
  <c r="W13" i="9"/>
  <c r="W14" i="9"/>
  <c r="W15" i="9"/>
  <c r="W16" i="9"/>
  <c r="W18" i="9"/>
  <c r="W19" i="9"/>
  <c r="W20" i="9"/>
  <c r="W28" i="9"/>
  <c r="W21" i="9"/>
  <c r="W22" i="9"/>
  <c r="W29" i="9"/>
  <c r="W4" i="9"/>
  <c r="X35" i="9"/>
  <c r="Y35" i="9"/>
  <c r="Z35" i="9"/>
  <c r="AA35" i="9"/>
  <c r="X36" i="9"/>
  <c r="Y36" i="9"/>
  <c r="Z36" i="9"/>
  <c r="AA36" i="9"/>
  <c r="X38" i="9"/>
  <c r="Y38" i="9"/>
  <c r="Z38" i="9"/>
  <c r="AA38" i="9"/>
  <c r="X39" i="9"/>
  <c r="Y39" i="9"/>
  <c r="Z39" i="9"/>
  <c r="AA39" i="9"/>
  <c r="X40" i="9"/>
  <c r="Y40" i="9"/>
  <c r="Z40" i="9"/>
  <c r="AA40" i="9"/>
  <c r="W41" i="9"/>
  <c r="X41" i="9"/>
  <c r="Y41" i="9"/>
  <c r="Z41" i="9"/>
  <c r="AA41" i="9"/>
  <c r="W42" i="9"/>
  <c r="X42" i="9"/>
  <c r="Y42" i="9"/>
  <c r="Z42" i="9"/>
  <c r="AA42" i="9"/>
  <c r="W43" i="9"/>
  <c r="X43" i="9"/>
  <c r="Y43" i="9"/>
  <c r="Z43" i="9"/>
  <c r="AA43" i="9"/>
  <c r="W44" i="9"/>
  <c r="X44" i="9"/>
  <c r="Y44" i="9"/>
  <c r="Z44" i="9"/>
  <c r="AA44" i="9"/>
  <c r="W45" i="9"/>
  <c r="X45" i="9"/>
  <c r="Y45" i="9"/>
  <c r="Z45" i="9"/>
  <c r="AA45" i="9"/>
  <c r="W46" i="9"/>
  <c r="X46" i="9"/>
  <c r="Y46" i="9"/>
  <c r="Z46" i="9"/>
  <c r="AA46" i="9"/>
  <c r="W47" i="9"/>
  <c r="X47" i="9"/>
  <c r="Y47" i="9"/>
  <c r="Z47" i="9"/>
  <c r="AA47" i="9"/>
  <c r="W48" i="9"/>
  <c r="X48" i="9"/>
  <c r="Y48" i="9"/>
  <c r="Z48" i="9"/>
  <c r="AA48" i="9"/>
  <c r="W49" i="9"/>
  <c r="X49" i="9"/>
  <c r="Y49" i="9"/>
  <c r="Z49" i="9"/>
  <c r="AA49" i="9"/>
  <c r="W50" i="9"/>
  <c r="X50" i="9"/>
  <c r="Y50" i="9"/>
  <c r="Z50" i="9"/>
  <c r="AA50" i="9"/>
  <c r="W51" i="9"/>
  <c r="X51" i="9"/>
  <c r="Y51" i="9"/>
  <c r="Z51" i="9"/>
  <c r="AA51" i="9"/>
  <c r="W52" i="9"/>
  <c r="X52" i="9"/>
  <c r="Y52" i="9"/>
  <c r="Z52" i="9"/>
  <c r="AA52" i="9"/>
  <c r="W53" i="9"/>
  <c r="X53" i="9"/>
  <c r="Y53" i="9"/>
  <c r="Z53" i="9"/>
  <c r="AA53" i="9"/>
  <c r="W54" i="9"/>
  <c r="X54" i="9"/>
  <c r="Y54" i="9"/>
  <c r="Z54" i="9"/>
  <c r="AA54" i="9"/>
  <c r="W55" i="9"/>
  <c r="X55" i="9"/>
  <c r="Y55" i="9"/>
  <c r="Z55" i="9"/>
  <c r="AA55" i="9"/>
  <c r="W56" i="9"/>
  <c r="X56" i="9"/>
  <c r="Y56" i="9"/>
  <c r="Z56" i="9"/>
  <c r="AA56" i="9"/>
  <c r="W57" i="9"/>
  <c r="X57" i="9"/>
  <c r="Y57" i="9"/>
  <c r="Z57" i="9"/>
  <c r="AA57" i="9"/>
  <c r="W58" i="9"/>
  <c r="X58" i="9"/>
  <c r="Y58" i="9"/>
  <c r="Z58" i="9"/>
  <c r="AA58" i="9"/>
  <c r="W59" i="9"/>
  <c r="X59" i="9"/>
  <c r="Y59" i="9"/>
  <c r="Z59" i="9"/>
  <c r="AA59" i="9"/>
  <c r="W60" i="9"/>
  <c r="X60" i="9"/>
  <c r="Y60" i="9"/>
  <c r="Z60" i="9"/>
  <c r="AA60" i="9"/>
  <c r="W61" i="9"/>
  <c r="X61" i="9"/>
  <c r="Y61" i="9"/>
  <c r="Z61" i="9"/>
  <c r="AA61" i="9"/>
  <c r="W62" i="9"/>
  <c r="X62" i="9"/>
  <c r="Y62" i="9"/>
  <c r="Z62" i="9"/>
  <c r="AA62" i="9"/>
  <c r="W63" i="9"/>
  <c r="X63" i="9"/>
  <c r="Y63" i="9"/>
  <c r="Z63" i="9"/>
  <c r="AA63" i="9"/>
  <c r="W64" i="9"/>
  <c r="X64" i="9"/>
  <c r="Y64" i="9"/>
  <c r="Z64" i="9"/>
  <c r="AA64" i="9"/>
  <c r="W65" i="9"/>
  <c r="X65" i="9"/>
  <c r="Y65" i="9"/>
  <c r="Z65" i="9"/>
  <c r="AA65" i="9"/>
  <c r="W66" i="9"/>
  <c r="X66" i="9"/>
  <c r="Y66" i="9"/>
  <c r="Z66" i="9"/>
  <c r="AA66" i="9"/>
  <c r="W67" i="9"/>
  <c r="X67" i="9"/>
  <c r="Y67" i="9"/>
  <c r="Z67" i="9"/>
  <c r="AA67" i="9"/>
  <c r="W68" i="9"/>
  <c r="X68" i="9"/>
  <c r="Y68" i="9"/>
  <c r="Z68" i="9"/>
  <c r="AA68" i="9"/>
  <c r="W69" i="9"/>
  <c r="X69" i="9"/>
  <c r="Y69" i="9"/>
  <c r="Z69" i="9"/>
  <c r="AA69" i="9"/>
  <c r="W70" i="9"/>
  <c r="X70" i="9"/>
  <c r="Y70" i="9"/>
  <c r="Z70" i="9"/>
  <c r="AA70" i="9"/>
  <c r="W71" i="9"/>
  <c r="X71" i="9"/>
  <c r="Y71" i="9"/>
  <c r="Z71" i="9"/>
  <c r="AA71" i="9"/>
  <c r="W72" i="9"/>
  <c r="X72" i="9"/>
  <c r="Y72" i="9"/>
  <c r="Z72" i="9"/>
  <c r="AA72" i="9"/>
  <c r="W73" i="9"/>
  <c r="X73" i="9"/>
  <c r="Y73" i="9"/>
  <c r="Z73" i="9"/>
  <c r="AA73" i="9"/>
  <c r="W74" i="9"/>
  <c r="X74" i="9"/>
  <c r="Y74" i="9"/>
  <c r="Z74" i="9"/>
  <c r="AA74" i="9"/>
  <c r="W75" i="9"/>
  <c r="X75" i="9"/>
  <c r="Y75" i="9"/>
  <c r="Z75" i="9"/>
  <c r="AA75" i="9"/>
  <c r="W76" i="9"/>
  <c r="X76" i="9"/>
  <c r="Y76" i="9"/>
  <c r="Z76" i="9"/>
  <c r="AA76" i="9"/>
  <c r="W77" i="9"/>
  <c r="X77" i="9"/>
  <c r="Y77" i="9"/>
  <c r="Z77" i="9"/>
  <c r="AA77" i="9"/>
  <c r="W78" i="9"/>
  <c r="X78" i="9"/>
  <c r="Y78" i="9"/>
  <c r="Z78" i="9"/>
  <c r="AA78" i="9"/>
  <c r="W79" i="9"/>
  <c r="X79" i="9"/>
  <c r="Y79" i="9"/>
  <c r="Z79" i="9"/>
  <c r="AA79" i="9"/>
  <c r="W80" i="9"/>
  <c r="X80" i="9"/>
  <c r="Y80" i="9"/>
  <c r="Z80" i="9"/>
  <c r="AA80" i="9"/>
  <c r="W81" i="9"/>
  <c r="X81" i="9"/>
  <c r="Y81" i="9"/>
  <c r="Z81" i="9"/>
  <c r="AA81" i="9"/>
  <c r="W82" i="9"/>
  <c r="X82" i="9"/>
  <c r="Y82" i="9"/>
  <c r="Z82" i="9"/>
  <c r="AA82" i="9"/>
  <c r="W83" i="9"/>
  <c r="X83" i="9"/>
  <c r="Y83" i="9"/>
  <c r="Z83" i="9"/>
  <c r="AA83" i="9"/>
  <c r="W84" i="9"/>
  <c r="X84" i="9"/>
  <c r="Y84" i="9"/>
  <c r="Z84" i="9"/>
  <c r="AA84" i="9"/>
  <c r="W85" i="9"/>
  <c r="X85" i="9"/>
  <c r="Y85" i="9"/>
  <c r="Z85" i="9"/>
  <c r="AA85" i="9"/>
  <c r="W86" i="9"/>
  <c r="X86" i="9"/>
  <c r="Y86" i="9"/>
  <c r="Z86" i="9"/>
  <c r="AA86" i="9"/>
  <c r="W87" i="9"/>
  <c r="X87" i="9"/>
  <c r="Y87" i="9"/>
  <c r="Z87" i="9"/>
  <c r="AA87" i="9"/>
  <c r="W88" i="9"/>
  <c r="X88" i="9"/>
  <c r="Y88" i="9"/>
  <c r="Z88" i="9"/>
  <c r="AA88" i="9"/>
  <c r="W89" i="9"/>
  <c r="X89" i="9"/>
  <c r="Y89" i="9"/>
  <c r="Z89" i="9"/>
  <c r="AA89" i="9"/>
  <c r="W90" i="9"/>
  <c r="X90" i="9"/>
  <c r="Y90" i="9"/>
  <c r="Z90" i="9"/>
  <c r="AA90" i="9"/>
  <c r="W91" i="9"/>
  <c r="X91" i="9"/>
  <c r="Y91" i="9"/>
  <c r="Z91" i="9"/>
  <c r="AA91" i="9"/>
  <c r="W92" i="9"/>
  <c r="X92" i="9"/>
  <c r="Y92" i="9"/>
  <c r="Z92" i="9"/>
  <c r="AA92" i="9"/>
  <c r="W93" i="9"/>
  <c r="X93" i="9"/>
  <c r="Y93" i="9"/>
  <c r="Z93" i="9"/>
  <c r="AA93" i="9"/>
  <c r="W94" i="9"/>
  <c r="X94" i="9"/>
  <c r="Y94" i="9"/>
  <c r="Z94" i="9"/>
  <c r="AA94" i="9"/>
  <c r="W95" i="9"/>
  <c r="X95" i="9"/>
  <c r="Y95" i="9"/>
  <c r="Z95" i="9"/>
  <c r="AA95" i="9"/>
  <c r="W96" i="9"/>
  <c r="X96" i="9"/>
  <c r="Y96" i="9"/>
  <c r="Z96" i="9"/>
  <c r="AA96" i="9"/>
  <c r="W97" i="9"/>
  <c r="X97" i="9"/>
  <c r="Y97" i="9"/>
  <c r="Z97" i="9"/>
  <c r="AA97" i="9"/>
  <c r="W98" i="9"/>
  <c r="X98" i="9"/>
  <c r="Y98" i="9"/>
  <c r="Z98" i="9"/>
  <c r="AA98" i="9"/>
  <c r="W99" i="9"/>
  <c r="X99" i="9"/>
  <c r="Y99" i="9"/>
  <c r="Z99" i="9"/>
  <c r="AA99" i="9"/>
  <c r="W100" i="9"/>
  <c r="X100" i="9"/>
  <c r="Y100" i="9"/>
  <c r="Z100" i="9"/>
  <c r="AA100" i="9"/>
  <c r="W101" i="9"/>
  <c r="X101" i="9"/>
  <c r="Y101" i="9"/>
  <c r="Z101" i="9"/>
  <c r="AA101" i="9"/>
  <c r="W102" i="9"/>
  <c r="X102" i="9"/>
  <c r="Y102" i="9"/>
  <c r="Z102" i="9"/>
  <c r="AA102" i="9"/>
  <c r="W103" i="9"/>
  <c r="X103" i="9"/>
  <c r="Y103" i="9"/>
  <c r="Z103" i="9"/>
  <c r="AA103" i="9"/>
  <c r="W104" i="9"/>
  <c r="X104" i="9"/>
  <c r="Y104" i="9"/>
  <c r="Z104" i="9"/>
  <c r="AA104" i="9"/>
  <c r="W105" i="9"/>
  <c r="X105" i="9"/>
  <c r="Y105" i="9"/>
  <c r="Z105" i="9"/>
  <c r="AA105" i="9"/>
  <c r="W106" i="9"/>
  <c r="X106" i="9"/>
  <c r="Y106" i="9"/>
  <c r="Z106" i="9"/>
  <c r="AA106" i="9"/>
  <c r="W107" i="9"/>
  <c r="X107" i="9"/>
  <c r="Y107" i="9"/>
  <c r="Z107" i="9"/>
  <c r="AA107" i="9"/>
  <c r="W108" i="9"/>
  <c r="X108" i="9"/>
  <c r="Y108" i="9"/>
  <c r="Z108" i="9"/>
  <c r="AA108" i="9"/>
  <c r="W109" i="9"/>
  <c r="X109" i="9"/>
  <c r="Y109" i="9"/>
  <c r="Z109" i="9"/>
  <c r="AA109" i="9"/>
  <c r="W110" i="9"/>
  <c r="X110" i="9"/>
  <c r="Y110" i="9"/>
  <c r="Z110" i="9"/>
  <c r="AA110" i="9"/>
  <c r="W111" i="9"/>
  <c r="X111" i="9"/>
  <c r="Y111" i="9"/>
  <c r="Z111" i="9"/>
  <c r="AA111" i="9"/>
  <c r="W112" i="9"/>
  <c r="X112" i="9"/>
  <c r="Y112" i="9"/>
  <c r="Z112" i="9"/>
  <c r="AA112" i="9"/>
  <c r="W113" i="9"/>
  <c r="X113" i="9"/>
  <c r="Y113" i="9"/>
  <c r="Z113" i="9"/>
  <c r="AA113" i="9"/>
  <c r="W114" i="9"/>
  <c r="X114" i="9"/>
  <c r="Y114" i="9"/>
  <c r="Z114" i="9"/>
  <c r="AA114" i="9"/>
  <c r="W115" i="9"/>
  <c r="X115" i="9"/>
  <c r="Y115" i="9"/>
  <c r="Z115" i="9"/>
  <c r="AA115" i="9"/>
  <c r="W116" i="9"/>
  <c r="X116" i="9"/>
  <c r="Y116" i="9"/>
  <c r="Z116" i="9"/>
  <c r="AA116" i="9"/>
  <c r="W117" i="9"/>
  <c r="X117" i="9"/>
  <c r="Y117" i="9"/>
  <c r="Z117" i="9"/>
  <c r="AA117" i="9"/>
  <c r="W118" i="9"/>
  <c r="X118" i="9"/>
  <c r="Y118" i="9"/>
  <c r="Z118" i="9"/>
  <c r="AA118" i="9"/>
  <c r="W119" i="9"/>
  <c r="X119" i="9"/>
  <c r="Y119" i="9"/>
  <c r="Z119" i="9"/>
  <c r="AA119" i="9"/>
  <c r="W120" i="9"/>
  <c r="X120" i="9"/>
  <c r="Y120" i="9"/>
  <c r="Z120" i="9"/>
  <c r="AA120" i="9"/>
  <c r="W121" i="9"/>
  <c r="X121" i="9"/>
  <c r="Y121" i="9"/>
  <c r="Z121" i="9"/>
  <c r="AA121" i="9"/>
  <c r="W122" i="9"/>
  <c r="X122" i="9"/>
  <c r="Y122" i="9"/>
  <c r="Z122" i="9"/>
  <c r="AA122" i="9"/>
  <c r="W123" i="9"/>
  <c r="X123" i="9"/>
  <c r="Y123" i="9"/>
  <c r="Z123" i="9"/>
  <c r="AA123" i="9"/>
  <c r="W124" i="9"/>
  <c r="X124" i="9"/>
  <c r="Y124" i="9"/>
  <c r="Z124" i="9"/>
  <c r="AA124" i="9"/>
  <c r="W125" i="9"/>
  <c r="X125" i="9"/>
  <c r="Y125" i="9"/>
  <c r="Z125" i="9"/>
  <c r="AA125" i="9"/>
  <c r="W126" i="9"/>
  <c r="X126" i="9"/>
  <c r="Y126" i="9"/>
  <c r="Z126" i="9"/>
  <c r="AA126" i="9"/>
  <c r="W127" i="9"/>
  <c r="X127" i="9"/>
  <c r="Y127" i="9"/>
  <c r="Z127" i="9"/>
  <c r="AA127" i="9"/>
  <c r="W128" i="9"/>
  <c r="X128" i="9"/>
  <c r="Y128" i="9"/>
  <c r="Z128" i="9"/>
  <c r="AA128" i="9"/>
  <c r="W129" i="9"/>
  <c r="X129" i="9"/>
  <c r="Y129" i="9"/>
  <c r="Z129" i="9"/>
  <c r="AA129" i="9"/>
  <c r="W130" i="9"/>
  <c r="X130" i="9"/>
  <c r="Y130" i="9"/>
  <c r="Z130" i="9"/>
  <c r="AA130" i="9"/>
  <c r="W131" i="9"/>
  <c r="X131" i="9"/>
  <c r="Y131" i="9"/>
  <c r="Z131" i="9"/>
  <c r="AA131" i="9"/>
  <c r="W132" i="9"/>
  <c r="X132" i="9"/>
  <c r="Y132" i="9"/>
  <c r="Z132" i="9"/>
  <c r="AA132" i="9"/>
  <c r="W133" i="9"/>
  <c r="X133" i="9"/>
  <c r="Y133" i="9"/>
  <c r="Z133" i="9"/>
  <c r="AA133" i="9"/>
  <c r="W134" i="9"/>
  <c r="X134" i="9"/>
  <c r="Y134" i="9"/>
  <c r="Z134" i="9"/>
  <c r="AA134" i="9"/>
  <c r="W135" i="9"/>
  <c r="X135" i="9"/>
  <c r="Y135" i="9"/>
  <c r="Z135" i="9"/>
  <c r="AA135" i="9"/>
  <c r="W136" i="9"/>
  <c r="X136" i="9"/>
  <c r="Y136" i="9"/>
  <c r="Z136" i="9"/>
  <c r="AA136" i="9"/>
  <c r="W137" i="9"/>
  <c r="X137" i="9"/>
  <c r="Y137" i="9"/>
  <c r="Z137" i="9"/>
  <c r="AA137" i="9"/>
  <c r="W138" i="9"/>
  <c r="X138" i="9"/>
  <c r="Y138" i="9"/>
  <c r="Z138" i="9"/>
  <c r="AA138" i="9"/>
  <c r="W139" i="9"/>
  <c r="X139" i="9"/>
  <c r="Y139" i="9"/>
  <c r="Z139" i="9"/>
  <c r="AA139" i="9"/>
  <c r="W140" i="9"/>
  <c r="X140" i="9"/>
  <c r="Y140" i="9"/>
  <c r="Z140" i="9"/>
  <c r="AA140" i="9"/>
  <c r="W141" i="9"/>
  <c r="X141" i="9"/>
  <c r="Y141" i="9"/>
  <c r="Z141" i="9"/>
  <c r="AA141" i="9"/>
  <c r="W142" i="9"/>
  <c r="X142" i="9"/>
  <c r="Y142" i="9"/>
  <c r="Z142" i="9"/>
  <c r="AA142" i="9"/>
  <c r="W143" i="9"/>
  <c r="X143" i="9"/>
  <c r="Y143" i="9"/>
  <c r="Z143" i="9"/>
  <c r="AA143" i="9"/>
  <c r="W144" i="9"/>
  <c r="X144" i="9"/>
  <c r="Y144" i="9"/>
  <c r="Z144" i="9"/>
  <c r="AA144" i="9"/>
  <c r="W145" i="9"/>
  <c r="X145" i="9"/>
  <c r="Y145" i="9"/>
  <c r="Z145" i="9"/>
  <c r="AA145" i="9"/>
  <c r="W146" i="9"/>
  <c r="X146" i="9"/>
  <c r="Y146" i="9"/>
  <c r="Z146" i="9"/>
  <c r="AA146" i="9"/>
  <c r="W147" i="9"/>
  <c r="X147" i="9"/>
  <c r="Y147" i="9"/>
  <c r="Z147" i="9"/>
  <c r="AA147" i="9"/>
  <c r="W148" i="9"/>
  <c r="X148" i="9"/>
  <c r="Y148" i="9"/>
  <c r="Z148" i="9"/>
  <c r="AA148" i="9"/>
  <c r="W149" i="9"/>
  <c r="X149" i="9"/>
  <c r="Y149" i="9"/>
  <c r="Z149" i="9"/>
  <c r="AA149" i="9"/>
  <c r="W150" i="9"/>
  <c r="X150" i="9"/>
  <c r="Y150" i="9"/>
  <c r="Z150" i="9"/>
  <c r="AA150" i="9"/>
  <c r="W151" i="9"/>
  <c r="X151" i="9"/>
  <c r="Y151" i="9"/>
  <c r="Z151" i="9"/>
  <c r="AA151" i="9"/>
  <c r="W152" i="9"/>
  <c r="X152" i="9"/>
  <c r="Y152" i="9"/>
  <c r="Z152" i="9"/>
  <c r="AA152" i="9"/>
  <c r="W153" i="9"/>
  <c r="X153" i="9"/>
  <c r="Y153" i="9"/>
  <c r="Z153" i="9"/>
  <c r="AA153" i="9"/>
  <c r="W154" i="9"/>
  <c r="X154" i="9"/>
  <c r="Y154" i="9"/>
  <c r="Z154" i="9"/>
  <c r="AA154" i="9"/>
  <c r="W155" i="9"/>
  <c r="X155" i="9"/>
  <c r="Y155" i="9"/>
  <c r="Z155" i="9"/>
  <c r="AA155" i="9"/>
  <c r="W156" i="9"/>
  <c r="X156" i="9"/>
  <c r="Y156" i="9"/>
  <c r="Z156" i="9"/>
  <c r="AA156" i="9"/>
  <c r="W157" i="9"/>
  <c r="X157" i="9"/>
  <c r="Y157" i="9"/>
  <c r="Z157" i="9"/>
  <c r="AA157" i="9"/>
  <c r="W158" i="9"/>
  <c r="X158" i="9"/>
  <c r="Y158" i="9"/>
  <c r="Z158" i="9"/>
  <c r="AA158" i="9"/>
  <c r="W159" i="9"/>
  <c r="X159" i="9"/>
  <c r="Y159" i="9"/>
  <c r="Z159" i="9"/>
  <c r="AA159" i="9"/>
  <c r="W160" i="9"/>
  <c r="X160" i="9"/>
  <c r="Y160" i="9"/>
  <c r="Z160" i="9"/>
  <c r="AA160" i="9"/>
  <c r="W161" i="9"/>
  <c r="X161" i="9"/>
  <c r="Y161" i="9"/>
  <c r="Z161" i="9"/>
  <c r="AA161" i="9"/>
  <c r="W162" i="9"/>
  <c r="X162" i="9"/>
  <c r="Y162" i="9"/>
  <c r="Z162" i="9"/>
  <c r="AA162" i="9"/>
  <c r="W163" i="9"/>
  <c r="X163" i="9"/>
  <c r="Y163" i="9"/>
  <c r="Z163" i="9"/>
  <c r="AA163" i="9"/>
  <c r="W164" i="9"/>
  <c r="X164" i="9"/>
  <c r="Y164" i="9"/>
  <c r="Z164" i="9"/>
  <c r="AA164" i="9"/>
  <c r="W165" i="9"/>
  <c r="X165" i="9"/>
  <c r="Y165" i="9"/>
  <c r="Z165" i="9"/>
  <c r="AA165" i="9"/>
  <c r="W166" i="9"/>
  <c r="X166" i="9"/>
  <c r="Y166" i="9"/>
  <c r="Z166" i="9"/>
  <c r="AA166" i="9"/>
  <c r="W167" i="9"/>
  <c r="X167" i="9"/>
  <c r="Y167" i="9"/>
  <c r="Z167" i="9"/>
  <c r="AA167" i="9"/>
  <c r="W168" i="9"/>
  <c r="X168" i="9"/>
  <c r="Y168" i="9"/>
  <c r="Z168" i="9"/>
  <c r="AA168" i="9"/>
  <c r="W169" i="9"/>
  <c r="X169" i="9"/>
  <c r="Y169" i="9"/>
  <c r="Z169" i="9"/>
  <c r="AA169" i="9"/>
  <c r="W170" i="9"/>
  <c r="X170" i="9"/>
  <c r="Y170" i="9"/>
  <c r="Z170" i="9"/>
  <c r="AA170" i="9"/>
  <c r="W171" i="9"/>
  <c r="X171" i="9"/>
  <c r="Y171" i="9"/>
  <c r="Z171" i="9"/>
  <c r="AA171" i="9"/>
  <c r="W172" i="9"/>
  <c r="X172" i="9"/>
  <c r="Y172" i="9"/>
  <c r="Z172" i="9"/>
  <c r="AA172" i="9"/>
  <c r="W173" i="9"/>
  <c r="X173" i="9"/>
  <c r="Y173" i="9"/>
  <c r="Z173" i="9"/>
  <c r="AA173" i="9"/>
  <c r="W174" i="9"/>
  <c r="X174" i="9"/>
  <c r="Y174" i="9"/>
  <c r="Z174" i="9"/>
  <c r="AA174" i="9"/>
  <c r="W175" i="9"/>
  <c r="X175" i="9"/>
  <c r="Y175" i="9"/>
  <c r="Z175" i="9"/>
  <c r="AA175" i="9"/>
  <c r="W176" i="9"/>
  <c r="X176" i="9"/>
  <c r="Y176" i="9"/>
  <c r="Z176" i="9"/>
  <c r="AA176" i="9"/>
  <c r="W177" i="9"/>
  <c r="X177" i="9"/>
  <c r="Y177" i="9"/>
  <c r="Z177" i="9"/>
  <c r="AA177" i="9"/>
  <c r="W178" i="9"/>
  <c r="X178" i="9"/>
  <c r="Y178" i="9"/>
  <c r="Z178" i="9"/>
  <c r="AA178" i="9"/>
  <c r="W179" i="9"/>
  <c r="X179" i="9"/>
  <c r="Y179" i="9"/>
  <c r="Z179" i="9"/>
  <c r="AA179" i="9"/>
  <c r="W180" i="9"/>
  <c r="X180" i="9"/>
  <c r="Y180" i="9"/>
  <c r="Z180" i="9"/>
  <c r="AA180" i="9"/>
  <c r="W181" i="9"/>
  <c r="X181" i="9"/>
  <c r="Y181" i="9"/>
  <c r="Z181" i="9"/>
  <c r="AA181" i="9"/>
  <c r="W182" i="9"/>
  <c r="X182" i="9"/>
  <c r="Y182" i="9"/>
  <c r="Z182" i="9"/>
  <c r="AA182" i="9"/>
  <c r="W183" i="9"/>
  <c r="X183" i="9"/>
  <c r="Y183" i="9"/>
  <c r="Z183" i="9"/>
  <c r="AA183" i="9"/>
  <c r="W184" i="9"/>
  <c r="X184" i="9"/>
  <c r="Y184" i="9"/>
  <c r="Z184" i="9"/>
  <c r="AA184" i="9"/>
  <c r="W185" i="9"/>
  <c r="X185" i="9"/>
  <c r="Y185" i="9"/>
  <c r="Z185" i="9"/>
  <c r="AA185" i="9"/>
  <c r="W186" i="9"/>
  <c r="X186" i="9"/>
  <c r="Y186" i="9"/>
  <c r="Z186" i="9"/>
  <c r="AA186" i="9"/>
  <c r="W187" i="9"/>
  <c r="X187" i="9"/>
  <c r="Y187" i="9"/>
  <c r="Z187" i="9"/>
  <c r="AA187" i="9"/>
  <c r="W188" i="9"/>
  <c r="X188" i="9"/>
  <c r="Y188" i="9"/>
  <c r="Z188" i="9"/>
  <c r="AA188" i="9"/>
  <c r="W189" i="9"/>
  <c r="X189" i="9"/>
  <c r="Y189" i="9"/>
  <c r="Z189" i="9"/>
  <c r="AA189" i="9"/>
  <c r="W190" i="9"/>
  <c r="X190" i="9"/>
  <c r="Y190" i="9"/>
  <c r="Z190" i="9"/>
  <c r="AA190" i="9"/>
  <c r="W191" i="9"/>
  <c r="X191" i="9"/>
  <c r="Y191" i="9"/>
  <c r="Z191" i="9"/>
  <c r="AA191" i="9"/>
  <c r="W192" i="9"/>
  <c r="X192" i="9"/>
  <c r="Y192" i="9"/>
  <c r="Z192" i="9"/>
  <c r="AA192" i="9"/>
  <c r="W193" i="9"/>
  <c r="X193" i="9"/>
  <c r="Y193" i="9"/>
  <c r="Z193" i="9"/>
  <c r="AA193" i="9"/>
  <c r="W194" i="9"/>
  <c r="X194" i="9"/>
  <c r="Y194" i="9"/>
  <c r="Z194" i="9"/>
  <c r="AA194" i="9"/>
  <c r="W195" i="9"/>
  <c r="X195" i="9"/>
  <c r="Y195" i="9"/>
  <c r="Z195" i="9"/>
  <c r="AA195" i="9"/>
  <c r="W196" i="9"/>
  <c r="X196" i="9"/>
  <c r="Y196" i="9"/>
  <c r="Z196" i="9"/>
  <c r="AA196" i="9"/>
  <c r="W197" i="9"/>
  <c r="X197" i="9"/>
  <c r="Y197" i="9"/>
  <c r="Z197" i="9"/>
  <c r="AA197" i="9"/>
  <c r="W198" i="9"/>
  <c r="X198" i="9"/>
  <c r="Y198" i="9"/>
  <c r="Z198" i="9"/>
  <c r="AA198" i="9"/>
  <c r="W199" i="9"/>
  <c r="X199" i="9"/>
  <c r="Y199" i="9"/>
  <c r="Z199" i="9"/>
  <c r="AA199" i="9"/>
  <c r="W200" i="9"/>
  <c r="X200" i="9"/>
  <c r="Y200" i="9"/>
  <c r="Z200" i="9"/>
  <c r="AA200" i="9"/>
  <c r="W201" i="9"/>
  <c r="X201" i="9"/>
  <c r="Y201" i="9"/>
  <c r="Z201" i="9"/>
  <c r="AA201" i="9"/>
  <c r="W202" i="9"/>
  <c r="X202" i="9"/>
  <c r="Y202" i="9"/>
  <c r="Z202" i="9"/>
  <c r="AA202" i="9"/>
  <c r="W203" i="9"/>
  <c r="X203" i="9"/>
  <c r="Y203" i="9"/>
  <c r="Z203" i="9"/>
  <c r="AA203" i="9"/>
  <c r="W204" i="9"/>
  <c r="X204" i="9"/>
  <c r="Y204" i="9"/>
  <c r="Z204" i="9"/>
  <c r="AA204" i="9"/>
  <c r="W205" i="9"/>
  <c r="X205" i="9"/>
  <c r="Y205" i="9"/>
  <c r="Z205" i="9"/>
  <c r="AA205" i="9"/>
  <c r="W206" i="9"/>
  <c r="X206" i="9"/>
  <c r="Y206" i="9"/>
  <c r="Z206" i="9"/>
  <c r="AA206" i="9"/>
  <c r="W207" i="9"/>
  <c r="X207" i="9"/>
  <c r="Y207" i="9"/>
  <c r="Z207" i="9"/>
  <c r="AA207" i="9"/>
  <c r="W208" i="9"/>
  <c r="X208" i="9"/>
  <c r="Y208" i="9"/>
  <c r="Z208" i="9"/>
  <c r="AA208" i="9"/>
  <c r="W209" i="9"/>
  <c r="X209" i="9"/>
  <c r="Y209" i="9"/>
  <c r="Z209" i="9"/>
  <c r="AA209" i="9"/>
  <c r="W15" i="82"/>
  <c r="U44" i="82"/>
  <c r="U46" i="82"/>
  <c r="Y15" i="82"/>
  <c r="Y44" i="82"/>
  <c r="Y46" i="82"/>
  <c r="W46" i="82"/>
  <c r="V20" i="108"/>
  <c r="V25" i="108"/>
  <c r="V23" i="108"/>
  <c r="V22" i="108"/>
  <c r="V24" i="108"/>
  <c r="V19" i="108"/>
  <c r="V18" i="108"/>
  <c r="V17" i="108"/>
  <c r="V26" i="108"/>
  <c r="V21" i="108"/>
  <c r="Q34" i="111"/>
  <c r="R28" i="111"/>
  <c r="Q28" i="111"/>
  <c r="T28" i="111"/>
  <c r="V28" i="111"/>
  <c r="R20" i="111"/>
  <c r="Q20" i="111"/>
  <c r="T20" i="111"/>
  <c r="V20" i="111"/>
  <c r="R17" i="111"/>
  <c r="Q17" i="111"/>
  <c r="T17" i="111"/>
  <c r="V17" i="111"/>
  <c r="R31" i="111"/>
  <c r="Q31" i="111"/>
  <c r="R21" i="111"/>
  <c r="Q21" i="111"/>
  <c r="T21" i="111"/>
  <c r="V21" i="111"/>
  <c r="R30" i="111"/>
  <c r="Q30" i="111"/>
  <c r="T30" i="111"/>
  <c r="V30" i="111"/>
  <c r="R23" i="111"/>
  <c r="Q23" i="111"/>
  <c r="T23" i="111"/>
  <c r="V23" i="111"/>
  <c r="R32" i="111"/>
  <c r="Q32" i="111"/>
  <c r="T32" i="111"/>
  <c r="V32" i="111"/>
  <c r="R25" i="111"/>
  <c r="Q25" i="111"/>
  <c r="T25" i="111"/>
  <c r="V25" i="111"/>
  <c r="A17" i="111"/>
  <c r="A18" i="111"/>
  <c r="A19" i="111"/>
  <c r="A20" i="111"/>
  <c r="A21" i="111"/>
  <c r="A22" i="111"/>
  <c r="A23" i="111"/>
  <c r="A24" i="111"/>
  <c r="A25" i="111"/>
  <c r="A26" i="111"/>
  <c r="A27" i="111"/>
  <c r="A28" i="111"/>
  <c r="A29" i="111"/>
  <c r="R16" i="111"/>
  <c r="Q16" i="111"/>
  <c r="T16" i="111"/>
  <c r="V16" i="111"/>
  <c r="R34" i="111"/>
  <c r="R24" i="111"/>
  <c r="Q24" i="111"/>
  <c r="T24" i="111"/>
  <c r="V24" i="111"/>
  <c r="R15" i="111"/>
  <c r="Q15" i="111"/>
  <c r="T15" i="111"/>
  <c r="R33" i="111"/>
  <c r="Q33" i="111"/>
  <c r="T33" i="111"/>
  <c r="V33" i="111"/>
  <c r="R26" i="111"/>
  <c r="Q26" i="111"/>
  <c r="T26" i="111"/>
  <c r="V26" i="111"/>
  <c r="R29" i="111"/>
  <c r="R22" i="111"/>
  <c r="Q22" i="111"/>
  <c r="T22" i="111"/>
  <c r="V22" i="111"/>
  <c r="R18" i="111"/>
  <c r="Q18" i="111"/>
  <c r="T18" i="111"/>
  <c r="V18" i="111"/>
  <c r="R27" i="111"/>
  <c r="Q27" i="111"/>
  <c r="T27" i="111"/>
  <c r="V27" i="111"/>
  <c r="R19" i="111"/>
  <c r="Q19" i="111"/>
  <c r="T19" i="111"/>
  <c r="V19" i="111"/>
  <c r="Q25" i="110"/>
  <c r="D26" i="110"/>
  <c r="R26" i="110"/>
  <c r="R25" i="110"/>
  <c r="Q26" i="110"/>
  <c r="T26" i="110"/>
  <c r="V26" i="110"/>
  <c r="D25" i="110"/>
  <c r="Q42" i="109"/>
  <c r="I52" i="110"/>
  <c r="Q49" i="110"/>
  <c r="T49" i="110"/>
  <c r="Q48" i="110"/>
  <c r="T48" i="110"/>
  <c r="Q47" i="110"/>
  <c r="T47" i="110"/>
  <c r="Q46" i="110"/>
  <c r="T46" i="110"/>
  <c r="Q45" i="110"/>
  <c r="T45" i="110"/>
  <c r="Q42" i="110"/>
  <c r="T42" i="110"/>
  <c r="Q41" i="110"/>
  <c r="D24" i="110"/>
  <c r="R23" i="110"/>
  <c r="Q23" i="110"/>
  <c r="A17" i="110"/>
  <c r="A18" i="110"/>
  <c r="A19" i="110"/>
  <c r="R16" i="110"/>
  <c r="Q16" i="110"/>
  <c r="D22" i="110"/>
  <c r="R20" i="110"/>
  <c r="Q20" i="110"/>
  <c r="T20" i="110"/>
  <c r="V20" i="110"/>
  <c r="Q44" i="110"/>
  <c r="T44" i="110"/>
  <c r="D20" i="110"/>
  <c r="D18" i="110"/>
  <c r="R17" i="110"/>
  <c r="Q17" i="110"/>
  <c r="T17" i="110"/>
  <c r="V17" i="110"/>
  <c r="D21" i="110"/>
  <c r="A20" i="110"/>
  <c r="A21" i="110"/>
  <c r="A22" i="110"/>
  <c r="A23" i="110"/>
  <c r="A24" i="110"/>
  <c r="R19" i="110"/>
  <c r="Q19" i="110"/>
  <c r="T19" i="110"/>
  <c r="V19" i="110"/>
  <c r="R41" i="110"/>
  <c r="R21" i="110"/>
  <c r="Q21" i="110"/>
  <c r="T21" i="110"/>
  <c r="V21" i="110"/>
  <c r="D17" i="110"/>
  <c r="D16" i="110"/>
  <c r="R15" i="110"/>
  <c r="Q15" i="110"/>
  <c r="T15" i="110"/>
  <c r="Q43" i="110"/>
  <c r="T43" i="110"/>
  <c r="R24" i="110"/>
  <c r="Q24" i="110"/>
  <c r="T24" i="110"/>
  <c r="V24" i="110"/>
  <c r="R22" i="110"/>
  <c r="Q22" i="110"/>
  <c r="T22" i="110"/>
  <c r="V22" i="110"/>
  <c r="D15" i="110"/>
  <c r="D23" i="110"/>
  <c r="D19" i="110"/>
  <c r="R18" i="110"/>
  <c r="Q18" i="110"/>
  <c r="T18" i="110"/>
  <c r="V18" i="110"/>
  <c r="I52" i="109"/>
  <c r="Q49" i="109"/>
  <c r="T49" i="109"/>
  <c r="Q48" i="109"/>
  <c r="T48" i="109"/>
  <c r="Q47" i="109"/>
  <c r="T47" i="109"/>
  <c r="R23" i="109"/>
  <c r="D19" i="109"/>
  <c r="R18" i="109"/>
  <c r="Q18" i="109"/>
  <c r="T18" i="109"/>
  <c r="V18" i="109"/>
  <c r="R22" i="109"/>
  <c r="Q22" i="109"/>
  <c r="T22" i="109"/>
  <c r="V22" i="109"/>
  <c r="R24" i="109"/>
  <c r="Q24" i="109"/>
  <c r="D17" i="109"/>
  <c r="D16" i="109"/>
  <c r="D15" i="109"/>
  <c r="Q45" i="109"/>
  <c r="T45" i="109"/>
  <c r="Q43" i="109"/>
  <c r="T43" i="109"/>
  <c r="T42" i="109"/>
  <c r="R41" i="109"/>
  <c r="Q41" i="109"/>
  <c r="T41" i="109"/>
  <c r="Q23" i="109"/>
  <c r="D22" i="109"/>
  <c r="R20" i="109"/>
  <c r="Q20" i="109"/>
  <c r="T20" i="109"/>
  <c r="V20" i="109"/>
  <c r="A17" i="109"/>
  <c r="A18" i="109"/>
  <c r="A19" i="109"/>
  <c r="A20" i="109"/>
  <c r="A21" i="109"/>
  <c r="A22" i="109"/>
  <c r="A23" i="109"/>
  <c r="A24" i="109"/>
  <c r="R16" i="109"/>
  <c r="Q16" i="109"/>
  <c r="T16" i="109"/>
  <c r="V16" i="109"/>
  <c r="S24" i="109"/>
  <c r="R21" i="109"/>
  <c r="Q21" i="109"/>
  <c r="T21" i="109"/>
  <c r="V21" i="109"/>
  <c r="Q46" i="109"/>
  <c r="T46" i="109"/>
  <c r="Q44" i="109"/>
  <c r="T44" i="109"/>
  <c r="D24" i="109"/>
  <c r="D23" i="109"/>
  <c r="D21" i="109"/>
  <c r="D20" i="109"/>
  <c r="R19" i="109"/>
  <c r="Q19" i="109"/>
  <c r="T19" i="109"/>
  <c r="V19" i="109"/>
  <c r="R15" i="109"/>
  <c r="Q15" i="109"/>
  <c r="T15" i="109"/>
  <c r="D18" i="109"/>
  <c r="R17" i="109"/>
  <c r="Q17" i="109"/>
  <c r="T17" i="109"/>
  <c r="V17" i="109"/>
  <c r="J52" i="108"/>
  <c r="U21" i="108"/>
  <c r="U25" i="108"/>
  <c r="U23" i="108"/>
  <c r="U19" i="108"/>
  <c r="U17" i="108"/>
  <c r="U26" i="108"/>
  <c r="U24" i="108"/>
  <c r="U22" i="108"/>
  <c r="U20" i="108"/>
  <c r="U18" i="108"/>
  <c r="A19" i="108"/>
  <c r="A20" i="108"/>
  <c r="A21" i="108"/>
  <c r="A22" i="108"/>
  <c r="A23" i="108"/>
  <c r="A24" i="108"/>
  <c r="A25" i="108"/>
  <c r="A26" i="108"/>
  <c r="R33" i="106"/>
  <c r="Q36" i="106"/>
  <c r="R36" i="106"/>
  <c r="Q33" i="106"/>
  <c r="R35" i="106"/>
  <c r="Q34" i="106"/>
  <c r="R34" i="106"/>
  <c r="Q35" i="106"/>
  <c r="R32" i="107"/>
  <c r="Q32" i="107"/>
  <c r="T32" i="107"/>
  <c r="V32" i="107"/>
  <c r="R21" i="107"/>
  <c r="Q21" i="107"/>
  <c r="T21" i="107"/>
  <c r="V21" i="107"/>
  <c r="Q31" i="107"/>
  <c r="R24" i="107"/>
  <c r="Q24" i="107"/>
  <c r="T24" i="107"/>
  <c r="V24" i="107"/>
  <c r="A17" i="107"/>
  <c r="A18" i="107"/>
  <c r="R16" i="107"/>
  <c r="Q16" i="107"/>
  <c r="T16" i="107"/>
  <c r="V16" i="107"/>
  <c r="Q30" i="107"/>
  <c r="R27" i="107"/>
  <c r="Q27" i="107"/>
  <c r="T27" i="107"/>
  <c r="V27" i="107"/>
  <c r="R19" i="107"/>
  <c r="Q19" i="107"/>
  <c r="T19" i="107"/>
  <c r="V19" i="107"/>
  <c r="R31" i="107"/>
  <c r="R28" i="107"/>
  <c r="Q28" i="107"/>
  <c r="T28" i="107"/>
  <c r="V28" i="107"/>
  <c r="R22" i="107"/>
  <c r="Q22" i="107"/>
  <c r="T22" i="107"/>
  <c r="V22" i="107"/>
  <c r="R25" i="107"/>
  <c r="Q25" i="107"/>
  <c r="T25" i="107"/>
  <c r="V25" i="107"/>
  <c r="A19" i="107"/>
  <c r="A20" i="107"/>
  <c r="A21" i="107"/>
  <c r="A22" i="107"/>
  <c r="A23" i="107"/>
  <c r="A24" i="107"/>
  <c r="A25" i="107"/>
  <c r="A26" i="107"/>
  <c r="A27" i="107"/>
  <c r="A28" i="107"/>
  <c r="A29" i="107"/>
  <c r="A30" i="107"/>
  <c r="A31" i="107"/>
  <c r="R18" i="107"/>
  <c r="Q18" i="107"/>
  <c r="T18" i="107"/>
  <c r="V18" i="107"/>
  <c r="R26" i="107"/>
  <c r="Q26" i="107"/>
  <c r="T26" i="107"/>
  <c r="V26" i="107"/>
  <c r="R20" i="107"/>
  <c r="Q20" i="107"/>
  <c r="T20" i="107"/>
  <c r="V20" i="107"/>
  <c r="R29" i="107"/>
  <c r="Q29" i="107"/>
  <c r="T29" i="107"/>
  <c r="V29" i="107"/>
  <c r="R17" i="107"/>
  <c r="Q17" i="107"/>
  <c r="T17" i="107"/>
  <c r="V17" i="107"/>
  <c r="R30" i="107"/>
  <c r="R23" i="107"/>
  <c r="Q23" i="107"/>
  <c r="T23" i="107"/>
  <c r="V23" i="107"/>
  <c r="R15" i="107"/>
  <c r="Q15" i="107"/>
  <c r="T15" i="107"/>
  <c r="R28" i="106"/>
  <c r="Q28" i="106"/>
  <c r="A17" i="106"/>
  <c r="A18" i="106"/>
  <c r="A19" i="106"/>
  <c r="R31" i="106"/>
  <c r="R26" i="106"/>
  <c r="Q26" i="106"/>
  <c r="R32" i="106"/>
  <c r="Q32" i="106"/>
  <c r="A20" i="106"/>
  <c r="A21" i="106"/>
  <c r="R24" i="106"/>
  <c r="Q24" i="106"/>
  <c r="R27" i="106"/>
  <c r="Q27" i="106"/>
  <c r="A22" i="106"/>
  <c r="A23" i="106"/>
  <c r="A24" i="106"/>
  <c r="A25" i="106"/>
  <c r="A26" i="106"/>
  <c r="Q31" i="106"/>
  <c r="R29" i="106"/>
  <c r="Q29" i="106"/>
  <c r="R15" i="106"/>
  <c r="Q15" i="106"/>
  <c r="A27" i="106"/>
  <c r="A28" i="106"/>
  <c r="A29" i="106"/>
  <c r="A30" i="106"/>
  <c r="A31" i="106"/>
  <c r="A32" i="106"/>
  <c r="R25" i="106"/>
  <c r="Q25" i="106"/>
  <c r="R30" i="106"/>
  <c r="Q30" i="106"/>
  <c r="R42" i="82"/>
  <c r="R41" i="82"/>
  <c r="R37" i="82"/>
  <c r="W21" i="108"/>
  <c r="W24" i="108"/>
  <c r="W25" i="108"/>
  <c r="W23" i="108"/>
  <c r="W26" i="108"/>
  <c r="W18" i="108"/>
  <c r="T29" i="111"/>
  <c r="V29" i="111"/>
  <c r="T31" i="111"/>
  <c r="A30" i="111"/>
  <c r="A31" i="111"/>
  <c r="A32" i="111"/>
  <c r="A33" i="111"/>
  <c r="A34" i="111"/>
  <c r="V15" i="111"/>
  <c r="T34" i="111"/>
  <c r="V34" i="111"/>
  <c r="T25" i="110"/>
  <c r="V25" i="110"/>
  <c r="T23" i="110"/>
  <c r="V23" i="110"/>
  <c r="T23" i="109"/>
  <c r="V23" i="109"/>
  <c r="V15" i="110"/>
  <c r="T16" i="110"/>
  <c r="W15" i="110"/>
  <c r="T41" i="110"/>
  <c r="V16" i="110"/>
  <c r="V15" i="109"/>
  <c r="T24" i="109"/>
  <c r="V24" i="109"/>
  <c r="W20" i="108"/>
  <c r="X20" i="108"/>
  <c r="X19" i="108"/>
  <c r="W19" i="108"/>
  <c r="Y19" i="108"/>
  <c r="X17" i="108"/>
  <c r="W17" i="108"/>
  <c r="U50" i="108"/>
  <c r="U52" i="108"/>
  <c r="X22" i="108"/>
  <c r="W22" i="108"/>
  <c r="Y22" i="108"/>
  <c r="V15" i="107"/>
  <c r="T31" i="107"/>
  <c r="V31" i="107"/>
  <c r="T30" i="107"/>
  <c r="V30" i="107"/>
  <c r="A32" i="107"/>
  <c r="X26" i="106"/>
  <c r="W26" i="106"/>
  <c r="V31" i="111"/>
  <c r="X31" i="111"/>
  <c r="T47" i="111"/>
  <c r="T49" i="111"/>
  <c r="W15" i="111"/>
  <c r="V47" i="111"/>
  <c r="V49" i="111"/>
  <c r="X15" i="111"/>
  <c r="W15" i="107"/>
  <c r="T50" i="109"/>
  <c r="X15" i="110"/>
  <c r="X50" i="110"/>
  <c r="X52" i="110"/>
  <c r="V50" i="110"/>
  <c r="V52" i="110"/>
  <c r="T50" i="110"/>
  <c r="W15" i="109"/>
  <c r="X15" i="109"/>
  <c r="X50" i="109"/>
  <c r="X52" i="109"/>
  <c r="V50" i="109"/>
  <c r="V52" i="109"/>
  <c r="W50" i="108"/>
  <c r="W52" i="108"/>
  <c r="Y17" i="108"/>
  <c r="Y50" i="108"/>
  <c r="Y52" i="108"/>
  <c r="X15" i="107"/>
  <c r="V46" i="107"/>
  <c r="V48" i="107"/>
  <c r="T46" i="107"/>
  <c r="T48" i="107"/>
  <c r="T52" i="109"/>
  <c r="W50" i="109"/>
  <c r="W52" i="109"/>
  <c r="T52" i="110"/>
  <c r="W50" i="110"/>
  <c r="W52" i="110"/>
  <c r="W21" i="112"/>
  <c r="W22" i="112"/>
  <c r="W23" i="112"/>
  <c r="W50" i="112"/>
  <c r="W52" i="112"/>
  <c r="Y17" i="112"/>
  <c r="V19" i="113"/>
  <c r="V20" i="113"/>
  <c r="V21" i="113"/>
  <c r="V22" i="113"/>
  <c r="V24" i="113"/>
  <c r="V23" i="113"/>
  <c r="V50" i="113"/>
  <c r="V52" i="113"/>
  <c r="X15" i="113"/>
  <c r="X50" i="113"/>
  <c r="X52" i="113"/>
  <c r="V19" i="118"/>
  <c r="V20" i="118"/>
  <c r="V21" i="118"/>
  <c r="V50" i="118"/>
  <c r="V52" i="118"/>
  <c r="X15" i="118"/>
  <c r="X50" i="118"/>
  <c r="X52" i="118"/>
  <c r="V19" i="121"/>
  <c r="V20" i="121"/>
  <c r="V21" i="121"/>
  <c r="V22" i="121"/>
  <c r="V24" i="121"/>
  <c r="V23" i="121"/>
  <c r="V29" i="121"/>
  <c r="V31" i="121"/>
  <c r="X15" i="121"/>
  <c r="X29" i="121"/>
  <c r="X31" i="121"/>
  <c r="W46" i="124"/>
  <c r="Y15" i="124"/>
  <c r="Y44" i="124"/>
  <c r="Y46" i="124"/>
  <c r="V19" i="125"/>
  <c r="V20" i="125"/>
  <c r="V21" i="125"/>
  <c r="V22" i="125"/>
  <c r="V24" i="125"/>
  <c r="V23" i="125"/>
  <c r="V29" i="125"/>
  <c r="V31" i="125"/>
  <c r="X15" i="125"/>
  <c r="V19" i="130"/>
  <c r="V20" i="130"/>
  <c r="V21" i="130"/>
  <c r="V22" i="130"/>
  <c r="V24" i="130"/>
  <c r="V23" i="130"/>
  <c r="V26" i="130"/>
  <c r="V28" i="130"/>
  <c r="X15" i="130"/>
  <c r="V20" i="132"/>
  <c r="V21" i="132"/>
  <c r="V22" i="132"/>
  <c r="V24" i="132"/>
  <c r="V23" i="132"/>
  <c r="V26" i="132"/>
  <c r="V28" i="132"/>
  <c r="X15" i="132"/>
  <c r="V20" i="134"/>
  <c r="V21" i="134"/>
  <c r="V22" i="134"/>
  <c r="V23" i="134"/>
  <c r="V24" i="134"/>
  <c r="V27" i="134"/>
  <c r="V29" i="134"/>
  <c r="X15" i="134"/>
  <c r="T15" i="106"/>
  <c r="V15" i="106"/>
  <c r="V20" i="106"/>
  <c r="V21" i="106"/>
  <c r="V22" i="106"/>
  <c r="T36" i="106"/>
  <c r="V36" i="106"/>
  <c r="T35" i="106"/>
  <c r="V35" i="106"/>
  <c r="T34" i="106"/>
  <c r="V34" i="106"/>
  <c r="T33" i="106"/>
  <c r="V33" i="106"/>
  <c r="T32" i="106"/>
  <c r="V32" i="106"/>
  <c r="T31" i="106"/>
  <c r="V31" i="106"/>
  <c r="T30" i="106"/>
  <c r="V30" i="106"/>
  <c r="T29" i="106"/>
  <c r="V29" i="106"/>
  <c r="T28" i="106"/>
  <c r="V28" i="106"/>
  <c r="T27" i="106"/>
  <c r="V27" i="106"/>
  <c r="T26" i="106"/>
  <c r="V26" i="106"/>
  <c r="T25" i="106"/>
  <c r="V25" i="106"/>
  <c r="T24" i="106"/>
  <c r="V24" i="106"/>
  <c r="V23" i="106"/>
  <c r="V46" i="106"/>
  <c r="V48" i="106"/>
  <c r="X16" i="106"/>
  <c r="T48" i="106"/>
  <c r="T46" i="106"/>
  <c r="W16" i="106"/>
  <c r="W15" i="106"/>
  <c r="X15" i="106"/>
  <c r="O36" i="137"/>
  <c r="N36" i="137"/>
  <c r="O35" i="137"/>
  <c r="N35" i="137"/>
  <c r="O34" i="137"/>
  <c r="N34" i="137"/>
  <c r="O33" i="137"/>
  <c r="N33" i="137"/>
  <c r="O32" i="137"/>
  <c r="N32" i="137"/>
  <c r="O31" i="137"/>
  <c r="N31" i="137"/>
  <c r="O30" i="137"/>
  <c r="N30" i="137"/>
  <c r="O29" i="137"/>
  <c r="N29" i="137"/>
  <c r="O28" i="137"/>
  <c r="N28" i="137"/>
  <c r="O27" i="137"/>
  <c r="N27" i="137"/>
  <c r="O26" i="137"/>
  <c r="N26" i="137"/>
  <c r="O25" i="137"/>
  <c r="N25" i="137"/>
  <c r="O24" i="137"/>
  <c r="N24" i="137"/>
  <c r="O23" i="137"/>
  <c r="N23" i="137"/>
  <c r="O22" i="137"/>
  <c r="N22" i="137"/>
  <c r="K22" i="137"/>
  <c r="O21" i="137"/>
  <c r="N21" i="137"/>
  <c r="K21" i="137"/>
  <c r="O20" i="137"/>
  <c r="N20" i="137"/>
  <c r="K20" i="137"/>
  <c r="O19" i="137"/>
  <c r="N19" i="137"/>
  <c r="K19" i="137"/>
  <c r="O18" i="137"/>
  <c r="N18" i="137"/>
  <c r="K18" i="137"/>
  <c r="O17" i="137"/>
  <c r="N17" i="137"/>
  <c r="K17" i="137"/>
  <c r="O16" i="137"/>
  <c r="N16" i="137"/>
  <c r="K16" i="137"/>
  <c r="O15" i="137"/>
  <c r="N15" i="137"/>
  <c r="K15" i="137"/>
  <c r="O22" i="136"/>
  <c r="N22" i="136"/>
  <c r="L22" i="136"/>
  <c r="K22" i="136"/>
  <c r="O21" i="136"/>
  <c r="N21" i="136"/>
  <c r="L21" i="136"/>
  <c r="K21" i="136"/>
  <c r="O20" i="136"/>
  <c r="N20" i="136"/>
  <c r="L20" i="136"/>
  <c r="K20" i="136"/>
  <c r="O19" i="136"/>
  <c r="N19" i="136"/>
  <c r="L19" i="136"/>
  <c r="K19" i="136"/>
  <c r="O18" i="136"/>
  <c r="N18" i="136"/>
  <c r="L18" i="136"/>
  <c r="K18" i="136"/>
  <c r="O17" i="136"/>
  <c r="N17" i="136"/>
  <c r="L17" i="136"/>
  <c r="K17" i="136"/>
  <c r="O16" i="136"/>
  <c r="N16" i="136"/>
  <c r="L16" i="136"/>
  <c r="K16" i="136"/>
  <c r="O15" i="136"/>
  <c r="N15" i="136"/>
  <c r="L15" i="136"/>
  <c r="K15" i="136"/>
  <c r="O33" i="135"/>
  <c r="L33" i="135"/>
  <c r="K33" i="135"/>
  <c r="O32" i="135"/>
  <c r="L32" i="135"/>
  <c r="K32" i="135"/>
  <c r="O31" i="135"/>
  <c r="L31" i="135"/>
  <c r="K31" i="135"/>
  <c r="O30" i="135"/>
  <c r="L30" i="135"/>
  <c r="K30" i="135"/>
  <c r="O29" i="135"/>
  <c r="L29" i="135"/>
  <c r="K29" i="135"/>
  <c r="O28" i="135"/>
  <c r="L28" i="135"/>
  <c r="K28" i="135"/>
  <c r="O27" i="135"/>
  <c r="L27" i="135"/>
  <c r="K27" i="135"/>
  <c r="O26" i="135"/>
  <c r="L26" i="135"/>
  <c r="K26" i="135"/>
  <c r="O25" i="135"/>
  <c r="L25" i="135"/>
  <c r="K25" i="135"/>
  <c r="O24" i="135"/>
  <c r="L24" i="135"/>
  <c r="K24" i="135"/>
  <c r="O23" i="135"/>
  <c r="L23" i="135"/>
  <c r="K23" i="135"/>
  <c r="O22" i="135"/>
  <c r="L22" i="135"/>
  <c r="K22" i="135"/>
  <c r="O21" i="135"/>
  <c r="L21" i="135"/>
  <c r="K21" i="135"/>
  <c r="O20" i="135"/>
  <c r="L20" i="135"/>
  <c r="K20" i="135"/>
  <c r="O19" i="135"/>
  <c r="L19" i="135"/>
  <c r="K19" i="135"/>
  <c r="O18" i="135"/>
  <c r="L18" i="135"/>
  <c r="K18" i="135"/>
  <c r="O17" i="135"/>
  <c r="L17" i="135"/>
  <c r="K17" i="135"/>
  <c r="O16" i="135"/>
  <c r="L16" i="135"/>
  <c r="K16" i="135"/>
  <c r="O15" i="135"/>
  <c r="L15" i="135"/>
  <c r="K15" i="135"/>
  <c r="O26" i="134"/>
  <c r="N26" i="134"/>
  <c r="L26" i="134"/>
  <c r="K26" i="134"/>
  <c r="B26" i="134"/>
  <c r="O25" i="134"/>
  <c r="N25" i="134"/>
  <c r="L25" i="134"/>
  <c r="K25" i="134"/>
  <c r="B25" i="134"/>
  <c r="O24" i="134"/>
  <c r="N24" i="134"/>
  <c r="L24" i="134"/>
  <c r="K24" i="134"/>
  <c r="B24" i="134"/>
  <c r="O23" i="134"/>
  <c r="N23" i="134"/>
  <c r="L23" i="134"/>
  <c r="K23" i="134"/>
  <c r="B23" i="134"/>
  <c r="O22" i="134"/>
  <c r="N22" i="134"/>
  <c r="L22" i="134"/>
  <c r="K22" i="134"/>
  <c r="B22" i="134"/>
  <c r="O21" i="134"/>
  <c r="N21" i="134"/>
  <c r="L21" i="134"/>
  <c r="K21" i="134"/>
  <c r="B21" i="134"/>
  <c r="O20" i="134"/>
  <c r="N20" i="134"/>
  <c r="L20" i="134"/>
  <c r="K20" i="134"/>
  <c r="B20" i="134"/>
  <c r="O19" i="134"/>
  <c r="N19" i="134"/>
  <c r="L19" i="134"/>
  <c r="K19" i="134"/>
  <c r="B19" i="134"/>
  <c r="O18" i="134"/>
  <c r="N18" i="134"/>
  <c r="L18" i="134"/>
  <c r="K18" i="134"/>
  <c r="B18" i="134"/>
  <c r="O17" i="134"/>
  <c r="N17" i="134"/>
  <c r="L17" i="134"/>
  <c r="K17" i="134"/>
  <c r="B17" i="134"/>
  <c r="O16" i="134"/>
  <c r="N16" i="134"/>
  <c r="L16" i="134"/>
  <c r="K16" i="134"/>
  <c r="B16" i="134"/>
  <c r="O15" i="134"/>
  <c r="N15" i="134"/>
  <c r="L15" i="134"/>
  <c r="K15" i="134"/>
  <c r="B15" i="134"/>
  <c r="D52" i="133"/>
  <c r="D51" i="133"/>
  <c r="D50" i="133"/>
  <c r="P49" i="133"/>
  <c r="L49" i="133"/>
  <c r="D49" i="133"/>
  <c r="P48" i="133"/>
  <c r="L48" i="133"/>
  <c r="D48" i="133"/>
  <c r="P47" i="133"/>
  <c r="L47" i="133"/>
  <c r="D47" i="133"/>
  <c r="P46" i="133"/>
  <c r="L46" i="133"/>
  <c r="D46" i="133"/>
  <c r="P45" i="133"/>
  <c r="L45" i="133"/>
  <c r="D45" i="133"/>
  <c r="P44" i="133"/>
  <c r="L44" i="133"/>
  <c r="D44" i="133"/>
  <c r="P43" i="133"/>
  <c r="L43" i="133"/>
  <c r="D43" i="133"/>
  <c r="P42" i="133"/>
  <c r="L42" i="133"/>
  <c r="D42" i="133"/>
  <c r="D41" i="133"/>
  <c r="D40" i="133"/>
  <c r="D39" i="133"/>
  <c r="D38" i="133"/>
  <c r="D37" i="133"/>
  <c r="D36" i="133"/>
  <c r="D35" i="133"/>
  <c r="D34" i="133"/>
  <c r="D33" i="133"/>
  <c r="D32" i="133"/>
  <c r="D31" i="133"/>
  <c r="D30" i="133"/>
  <c r="D29" i="133"/>
  <c r="D28" i="133"/>
  <c r="D27" i="133"/>
  <c r="P26" i="133"/>
  <c r="D26" i="133"/>
  <c r="B26" i="133"/>
  <c r="P25" i="133"/>
  <c r="D25" i="133"/>
  <c r="B25" i="133"/>
  <c r="P24" i="133"/>
  <c r="D24" i="133"/>
  <c r="B24" i="133"/>
  <c r="P23" i="133"/>
  <c r="D23" i="133"/>
  <c r="B23" i="133"/>
  <c r="P22" i="133"/>
  <c r="D22" i="133"/>
  <c r="B22" i="133"/>
  <c r="P21" i="133"/>
  <c r="D21" i="133"/>
  <c r="B21" i="133"/>
  <c r="P20" i="133"/>
  <c r="D20" i="133"/>
  <c r="B20" i="133"/>
  <c r="P19" i="133"/>
  <c r="D19" i="133"/>
  <c r="B19" i="133"/>
  <c r="P18" i="133"/>
  <c r="D18" i="133"/>
  <c r="B18" i="133"/>
  <c r="P17" i="133"/>
  <c r="D17" i="133"/>
  <c r="B17" i="133"/>
  <c r="O24" i="132"/>
  <c r="N24" i="132"/>
  <c r="L24" i="132"/>
  <c r="K24" i="132"/>
  <c r="B24" i="132"/>
  <c r="O23" i="132"/>
  <c r="N23" i="132"/>
  <c r="L23" i="132"/>
  <c r="K23" i="132"/>
  <c r="B23" i="132"/>
  <c r="O22" i="132"/>
  <c r="N22" i="132"/>
  <c r="L22" i="132"/>
  <c r="K22" i="132"/>
  <c r="B22" i="132"/>
  <c r="O21" i="132"/>
  <c r="N21" i="132"/>
  <c r="L21" i="132"/>
  <c r="K21" i="132"/>
  <c r="B21" i="132"/>
  <c r="O20" i="132"/>
  <c r="N20" i="132"/>
  <c r="L20" i="132"/>
  <c r="K20" i="132"/>
  <c r="B20" i="132"/>
  <c r="O19" i="132"/>
  <c r="N19" i="132"/>
  <c r="L19" i="132"/>
  <c r="K19" i="132"/>
  <c r="B19" i="132"/>
  <c r="O18" i="132"/>
  <c r="N18" i="132"/>
  <c r="L18" i="132"/>
  <c r="K18" i="132"/>
  <c r="B18" i="132"/>
  <c r="O17" i="132"/>
  <c r="N17" i="132"/>
  <c r="L17" i="132"/>
  <c r="K17" i="132"/>
  <c r="B17" i="132"/>
  <c r="O16" i="132"/>
  <c r="N16" i="132"/>
  <c r="L16" i="132"/>
  <c r="K16" i="132"/>
  <c r="B16" i="132"/>
  <c r="O15" i="132"/>
  <c r="N15" i="132"/>
  <c r="L15" i="132"/>
  <c r="K15" i="132"/>
  <c r="B15" i="132"/>
  <c r="R34" i="131"/>
  <c r="L34" i="131"/>
  <c r="K34" i="131"/>
  <c r="R33" i="131"/>
  <c r="L33" i="131"/>
  <c r="K33" i="131"/>
  <c r="R32" i="131"/>
  <c r="L32" i="131"/>
  <c r="K32" i="131"/>
  <c r="R31" i="131"/>
  <c r="L31" i="131"/>
  <c r="K31" i="131"/>
  <c r="R30" i="131"/>
  <c r="L30" i="131"/>
  <c r="K30" i="131"/>
  <c r="R29" i="131"/>
  <c r="L29" i="131"/>
  <c r="K29" i="131"/>
  <c r="R28" i="131"/>
  <c r="L28" i="131"/>
  <c r="K28" i="131"/>
  <c r="R27" i="131"/>
  <c r="L27" i="131"/>
  <c r="K27" i="131"/>
  <c r="R26" i="131"/>
  <c r="L26" i="131"/>
  <c r="K26" i="131"/>
  <c r="R25" i="131"/>
  <c r="L25" i="131"/>
  <c r="K25" i="131"/>
  <c r="R24" i="131"/>
  <c r="L24" i="131"/>
  <c r="K24" i="131"/>
  <c r="R23" i="131"/>
  <c r="L23" i="131"/>
  <c r="K23" i="131"/>
  <c r="R22" i="131"/>
  <c r="L22" i="131"/>
  <c r="K22" i="131"/>
  <c r="R21" i="131"/>
  <c r="L21" i="131"/>
  <c r="K21" i="131"/>
  <c r="R20" i="131"/>
  <c r="L20" i="131"/>
  <c r="K20" i="131"/>
  <c r="R19" i="131"/>
  <c r="L19" i="131"/>
  <c r="K19" i="131"/>
  <c r="R18" i="131"/>
  <c r="L18" i="131"/>
  <c r="K18" i="131"/>
  <c r="R17" i="131"/>
  <c r="L17" i="131"/>
  <c r="K17" i="131"/>
  <c r="R16" i="131"/>
  <c r="L16" i="131"/>
  <c r="K16" i="131"/>
  <c r="R15" i="131"/>
  <c r="L15" i="131"/>
  <c r="K15" i="131"/>
  <c r="O24" i="130"/>
  <c r="N24" i="130"/>
  <c r="L24" i="130"/>
  <c r="K24" i="130"/>
  <c r="B24" i="130"/>
  <c r="O23" i="130"/>
  <c r="N23" i="130"/>
  <c r="L23" i="130"/>
  <c r="K23" i="130"/>
  <c r="B23" i="130"/>
  <c r="O22" i="130"/>
  <c r="N22" i="130"/>
  <c r="L22" i="130"/>
  <c r="K22" i="130"/>
  <c r="B22" i="130"/>
  <c r="O21" i="130"/>
  <c r="N21" i="130"/>
  <c r="L21" i="130"/>
  <c r="K21" i="130"/>
  <c r="B21" i="130"/>
  <c r="O20" i="130"/>
  <c r="N20" i="130"/>
  <c r="L20" i="130"/>
  <c r="K20" i="130"/>
  <c r="B20" i="130"/>
  <c r="O19" i="130"/>
  <c r="N19" i="130"/>
  <c r="L19" i="130"/>
  <c r="K19" i="130"/>
  <c r="B19" i="130"/>
  <c r="O18" i="130"/>
  <c r="N18" i="130"/>
  <c r="L18" i="130"/>
  <c r="K18" i="130"/>
  <c r="B18" i="130"/>
  <c r="O17" i="130"/>
  <c r="N17" i="130"/>
  <c r="L17" i="130"/>
  <c r="K17" i="130"/>
  <c r="B17" i="130"/>
  <c r="O16" i="130"/>
  <c r="N16" i="130"/>
  <c r="L16" i="130"/>
  <c r="K16" i="130"/>
  <c r="B16" i="130"/>
  <c r="O15" i="130"/>
  <c r="N15" i="130"/>
  <c r="L15" i="130"/>
  <c r="K15" i="130"/>
  <c r="B15" i="130"/>
  <c r="O36" i="129"/>
  <c r="N36" i="129"/>
  <c r="L36" i="129"/>
  <c r="K36" i="129"/>
  <c r="O35" i="129"/>
  <c r="N35" i="129"/>
  <c r="L35" i="129"/>
  <c r="K35" i="129"/>
  <c r="O34" i="129"/>
  <c r="N34" i="129"/>
  <c r="L34" i="129"/>
  <c r="K34" i="129"/>
  <c r="O33" i="129"/>
  <c r="N33" i="129"/>
  <c r="L33" i="129"/>
  <c r="K33" i="129"/>
  <c r="O32" i="129"/>
  <c r="N32" i="129"/>
  <c r="L32" i="129"/>
  <c r="K32" i="129"/>
  <c r="O31" i="129"/>
  <c r="N31" i="129"/>
  <c r="L31" i="129"/>
  <c r="K31" i="129"/>
  <c r="O30" i="129"/>
  <c r="N30" i="129"/>
  <c r="L30" i="129"/>
  <c r="K30" i="129"/>
  <c r="O29" i="129"/>
  <c r="N29" i="129"/>
  <c r="L29" i="129"/>
  <c r="K29" i="129"/>
  <c r="O28" i="129"/>
  <c r="N28" i="129"/>
  <c r="L28" i="129"/>
  <c r="K28" i="129"/>
  <c r="O27" i="129"/>
  <c r="N27" i="129"/>
  <c r="L27" i="129"/>
  <c r="K27" i="129"/>
  <c r="O26" i="129"/>
  <c r="N26" i="129"/>
  <c r="L26" i="129"/>
  <c r="K26" i="129"/>
  <c r="O25" i="129"/>
  <c r="L25" i="129"/>
  <c r="K25" i="129"/>
  <c r="O24" i="129"/>
  <c r="N24" i="129"/>
  <c r="L24" i="129"/>
  <c r="K24" i="129"/>
  <c r="O23" i="129"/>
  <c r="N23" i="129"/>
  <c r="L23" i="129"/>
  <c r="K23" i="129"/>
  <c r="O22" i="129"/>
  <c r="N22" i="129"/>
  <c r="L22" i="129"/>
  <c r="K22" i="129"/>
  <c r="O21" i="129"/>
  <c r="N21" i="129"/>
  <c r="L21" i="129"/>
  <c r="K21" i="129"/>
  <c r="O20" i="129"/>
  <c r="N20" i="129"/>
  <c r="L20" i="129"/>
  <c r="K20" i="129"/>
  <c r="O19" i="129"/>
  <c r="N19" i="129"/>
  <c r="L19" i="129"/>
  <c r="K19" i="129"/>
  <c r="O18" i="129"/>
  <c r="N18" i="129"/>
  <c r="L18" i="129"/>
  <c r="K18" i="129"/>
  <c r="O17" i="129"/>
  <c r="N17" i="129"/>
  <c r="L17" i="129"/>
  <c r="K17" i="129"/>
  <c r="O16" i="129"/>
  <c r="N16" i="129"/>
  <c r="L16" i="129"/>
  <c r="K16" i="129"/>
  <c r="O15" i="129"/>
  <c r="N15" i="129"/>
  <c r="L15" i="129"/>
  <c r="K15" i="129"/>
  <c r="O34" i="126"/>
  <c r="N34" i="126"/>
  <c r="L34" i="126"/>
  <c r="K34" i="126"/>
  <c r="O33" i="126"/>
  <c r="N33" i="126"/>
  <c r="L33" i="126"/>
  <c r="K33" i="126"/>
  <c r="O32" i="126"/>
  <c r="N32" i="126"/>
  <c r="L32" i="126"/>
  <c r="K32" i="126"/>
  <c r="O31" i="126"/>
  <c r="N31" i="126"/>
  <c r="L31" i="126"/>
  <c r="K31" i="126"/>
  <c r="O30" i="126"/>
  <c r="N30" i="126"/>
  <c r="L30" i="126"/>
  <c r="K30" i="126"/>
  <c r="O29" i="126"/>
  <c r="N29" i="126"/>
  <c r="L29" i="126"/>
  <c r="K29" i="126"/>
  <c r="O28" i="126"/>
  <c r="N28" i="126"/>
  <c r="L28" i="126"/>
  <c r="K28" i="126"/>
  <c r="O27" i="126"/>
  <c r="N27" i="126"/>
  <c r="L27" i="126"/>
  <c r="K27" i="126"/>
  <c r="O26" i="126"/>
  <c r="N26" i="126"/>
  <c r="L26" i="126"/>
  <c r="K26" i="126"/>
  <c r="O25" i="126"/>
  <c r="L25" i="126"/>
  <c r="K25" i="126"/>
  <c r="O24" i="126"/>
  <c r="N24" i="126"/>
  <c r="L24" i="126"/>
  <c r="K24" i="126"/>
  <c r="O23" i="126"/>
  <c r="N23" i="126"/>
  <c r="L23" i="126"/>
  <c r="K23" i="126"/>
  <c r="O22" i="126"/>
  <c r="N22" i="126"/>
  <c r="L22" i="126"/>
  <c r="K22" i="126"/>
  <c r="O21" i="126"/>
  <c r="N21" i="126"/>
  <c r="L21" i="126"/>
  <c r="K21" i="126"/>
  <c r="O20" i="126"/>
  <c r="N20" i="126"/>
  <c r="L20" i="126"/>
  <c r="K20" i="126"/>
  <c r="O19" i="126"/>
  <c r="N19" i="126"/>
  <c r="L19" i="126"/>
  <c r="K19" i="126"/>
  <c r="O18" i="126"/>
  <c r="N18" i="126"/>
  <c r="L18" i="126"/>
  <c r="K18" i="126"/>
  <c r="O17" i="126"/>
  <c r="N17" i="126"/>
  <c r="L17" i="126"/>
  <c r="K17" i="126"/>
  <c r="O16" i="126"/>
  <c r="N16" i="126"/>
  <c r="L16" i="126"/>
  <c r="K16" i="126"/>
  <c r="O15" i="126"/>
  <c r="N15" i="126"/>
  <c r="L15" i="126"/>
  <c r="K15" i="126"/>
  <c r="D52" i="128"/>
  <c r="D51" i="128"/>
  <c r="D50" i="128"/>
  <c r="P49" i="128"/>
  <c r="L49" i="128"/>
  <c r="D49" i="128"/>
  <c r="P48" i="128"/>
  <c r="L48" i="128"/>
  <c r="D48" i="128"/>
  <c r="P47" i="128"/>
  <c r="L47" i="128"/>
  <c r="D47" i="128"/>
  <c r="P46" i="128"/>
  <c r="L46" i="128"/>
  <c r="D46" i="128"/>
  <c r="P45" i="128"/>
  <c r="L45" i="128"/>
  <c r="D45" i="128"/>
  <c r="P44" i="128"/>
  <c r="L44" i="128"/>
  <c r="D44" i="128"/>
  <c r="P43" i="128"/>
  <c r="L43" i="128"/>
  <c r="D43" i="128"/>
  <c r="P42" i="128"/>
  <c r="L42" i="128"/>
  <c r="D42" i="128"/>
  <c r="D41" i="128"/>
  <c r="D40" i="128"/>
  <c r="D39" i="128"/>
  <c r="D38" i="128"/>
  <c r="D37" i="128"/>
  <c r="D36" i="128"/>
  <c r="D35" i="128"/>
  <c r="D34" i="128"/>
  <c r="D33" i="128"/>
  <c r="D32" i="128"/>
  <c r="D31" i="128"/>
  <c r="D30" i="128"/>
  <c r="D29" i="128"/>
  <c r="D28" i="128"/>
  <c r="D27" i="128"/>
  <c r="P26" i="128"/>
  <c r="D26" i="128"/>
  <c r="B26" i="128"/>
  <c r="P25" i="128"/>
  <c r="D25" i="128"/>
  <c r="B25" i="128"/>
  <c r="P24" i="128"/>
  <c r="D24" i="128"/>
  <c r="B24" i="128"/>
  <c r="P23" i="128"/>
  <c r="D23" i="128"/>
  <c r="B23" i="128"/>
  <c r="P22" i="128"/>
  <c r="D22" i="128"/>
  <c r="B22" i="128"/>
  <c r="P21" i="128"/>
  <c r="D21" i="128"/>
  <c r="B21" i="128"/>
  <c r="P20" i="128"/>
  <c r="D20" i="128"/>
  <c r="B20" i="128"/>
  <c r="P19" i="128"/>
  <c r="D19" i="128"/>
  <c r="B19" i="128"/>
  <c r="P18" i="128"/>
  <c r="D18" i="128"/>
  <c r="B18" i="128"/>
  <c r="P17" i="128"/>
  <c r="D17" i="128"/>
  <c r="B17" i="128"/>
  <c r="O24" i="127"/>
  <c r="N24" i="127"/>
  <c r="L24" i="127"/>
  <c r="K24" i="127"/>
  <c r="O23" i="127"/>
  <c r="N23" i="127"/>
  <c r="L23" i="127"/>
  <c r="K23" i="127"/>
  <c r="O22" i="127"/>
  <c r="N22" i="127"/>
  <c r="L22" i="127"/>
  <c r="K22" i="127"/>
  <c r="O21" i="127"/>
  <c r="N21" i="127"/>
  <c r="L21" i="127"/>
  <c r="K21" i="127"/>
  <c r="O20" i="127"/>
  <c r="N20" i="127"/>
  <c r="L20" i="127"/>
  <c r="K20" i="127"/>
  <c r="O19" i="127"/>
  <c r="N19" i="127"/>
  <c r="L19" i="127"/>
  <c r="K19" i="127"/>
  <c r="O18" i="127"/>
  <c r="N18" i="127"/>
  <c r="L18" i="127"/>
  <c r="K18" i="127"/>
  <c r="O17" i="127"/>
  <c r="N17" i="127"/>
  <c r="L17" i="127"/>
  <c r="K17" i="127"/>
  <c r="O16" i="127"/>
  <c r="N16" i="127"/>
  <c r="L16" i="127"/>
  <c r="K16" i="127"/>
  <c r="O15" i="127"/>
  <c r="N15" i="127"/>
  <c r="L15" i="127"/>
  <c r="K15" i="127"/>
  <c r="O24" i="125"/>
  <c r="N24" i="125"/>
  <c r="L24" i="125"/>
  <c r="K24" i="125"/>
  <c r="B24" i="125"/>
  <c r="O23" i="125"/>
  <c r="N23" i="125"/>
  <c r="L23" i="125"/>
  <c r="K23" i="125"/>
  <c r="B23" i="125"/>
  <c r="O22" i="125"/>
  <c r="N22" i="125"/>
  <c r="L22" i="125"/>
  <c r="K22" i="125"/>
  <c r="B22" i="125"/>
  <c r="O21" i="125"/>
  <c r="N21" i="125"/>
  <c r="L21" i="125"/>
  <c r="K21" i="125"/>
  <c r="B21" i="125"/>
  <c r="O20" i="125"/>
  <c r="N20" i="125"/>
  <c r="L20" i="125"/>
  <c r="K20" i="125"/>
  <c r="B20" i="125"/>
  <c r="O19" i="125"/>
  <c r="N19" i="125"/>
  <c r="L19" i="125"/>
  <c r="K19" i="125"/>
  <c r="B19" i="125"/>
  <c r="O18" i="125"/>
  <c r="N18" i="125"/>
  <c r="L18" i="125"/>
  <c r="K18" i="125"/>
  <c r="B18" i="125"/>
  <c r="O17" i="125"/>
  <c r="N17" i="125"/>
  <c r="L17" i="125"/>
  <c r="K17" i="125"/>
  <c r="B17" i="125"/>
  <c r="O16" i="125"/>
  <c r="N16" i="125"/>
  <c r="L16" i="125"/>
  <c r="K16" i="125"/>
  <c r="B16" i="125"/>
  <c r="O15" i="125"/>
  <c r="N15" i="125"/>
  <c r="L15" i="125"/>
  <c r="K15" i="125"/>
  <c r="B15" i="125"/>
  <c r="D46" i="124"/>
  <c r="D45" i="124"/>
  <c r="D44" i="124"/>
  <c r="P43" i="124"/>
  <c r="O43" i="124"/>
  <c r="L43" i="124"/>
  <c r="D43" i="124"/>
  <c r="P42" i="124"/>
  <c r="O42" i="124"/>
  <c r="L42" i="124"/>
  <c r="D42" i="124"/>
  <c r="P41" i="124"/>
  <c r="O41" i="124"/>
  <c r="L41" i="124"/>
  <c r="D41" i="124"/>
  <c r="P40" i="124"/>
  <c r="O40" i="124"/>
  <c r="L40" i="124"/>
  <c r="D40" i="124"/>
  <c r="P39" i="124"/>
  <c r="O39" i="124"/>
  <c r="L39" i="124"/>
  <c r="D39" i="124"/>
  <c r="P38" i="124"/>
  <c r="O38" i="124"/>
  <c r="L38" i="124"/>
  <c r="D38" i="124"/>
  <c r="P37" i="124"/>
  <c r="O37" i="124"/>
  <c r="L37" i="124"/>
  <c r="D37" i="124"/>
  <c r="P36" i="124"/>
  <c r="O36" i="124"/>
  <c r="L36" i="124"/>
  <c r="D36" i="124"/>
  <c r="D35" i="124"/>
  <c r="D34" i="124"/>
  <c r="D33" i="124"/>
  <c r="D32" i="124"/>
  <c r="D31" i="124"/>
  <c r="D30" i="124"/>
  <c r="D29" i="124"/>
  <c r="D28" i="124"/>
  <c r="D27" i="124"/>
  <c r="D26" i="124"/>
  <c r="D25" i="124"/>
  <c r="B19" i="124"/>
  <c r="B18" i="124"/>
  <c r="B17" i="124"/>
  <c r="B16" i="124"/>
  <c r="B15" i="124"/>
  <c r="O36" i="123"/>
  <c r="N36" i="123"/>
  <c r="L36" i="123"/>
  <c r="K36" i="123"/>
  <c r="O35" i="123"/>
  <c r="N35" i="123"/>
  <c r="L35" i="123"/>
  <c r="K35" i="123"/>
  <c r="O34" i="123"/>
  <c r="N34" i="123"/>
  <c r="L34" i="123"/>
  <c r="K34" i="123"/>
  <c r="O33" i="123"/>
  <c r="N33" i="123"/>
  <c r="L33" i="123"/>
  <c r="K33" i="123"/>
  <c r="O32" i="123"/>
  <c r="N32" i="123"/>
  <c r="L32" i="123"/>
  <c r="K32" i="123"/>
  <c r="O31" i="123"/>
  <c r="N31" i="123"/>
  <c r="L31" i="123"/>
  <c r="K31" i="123"/>
  <c r="O30" i="123"/>
  <c r="N30" i="123"/>
  <c r="L30" i="123"/>
  <c r="K30" i="123"/>
  <c r="O29" i="123"/>
  <c r="N29" i="123"/>
  <c r="L29" i="123"/>
  <c r="K29" i="123"/>
  <c r="O28" i="123"/>
  <c r="N28" i="123"/>
  <c r="L28" i="123"/>
  <c r="K28" i="123"/>
  <c r="O27" i="123"/>
  <c r="N27" i="123"/>
  <c r="L27" i="123"/>
  <c r="K27" i="123"/>
  <c r="O26" i="123"/>
  <c r="N26" i="123"/>
  <c r="L26" i="123"/>
  <c r="K26" i="123"/>
  <c r="O25" i="123"/>
  <c r="L25" i="123"/>
  <c r="K25" i="123"/>
  <c r="O24" i="123"/>
  <c r="N24" i="123"/>
  <c r="L24" i="123"/>
  <c r="K24" i="123"/>
  <c r="O23" i="123"/>
  <c r="N23" i="123"/>
  <c r="L23" i="123"/>
  <c r="K23" i="123"/>
  <c r="O22" i="123"/>
  <c r="N22" i="123"/>
  <c r="L22" i="123"/>
  <c r="K22" i="123"/>
  <c r="O21" i="123"/>
  <c r="N21" i="123"/>
  <c r="L21" i="123"/>
  <c r="K21" i="123"/>
  <c r="O20" i="123"/>
  <c r="N20" i="123"/>
  <c r="L20" i="123"/>
  <c r="K20" i="123"/>
  <c r="O19" i="123"/>
  <c r="N19" i="123"/>
  <c r="L19" i="123"/>
  <c r="K19" i="123"/>
  <c r="O18" i="123"/>
  <c r="N18" i="123"/>
  <c r="L18" i="123"/>
  <c r="K18" i="123"/>
  <c r="O17" i="123"/>
  <c r="N17" i="123"/>
  <c r="L17" i="123"/>
  <c r="K17" i="123"/>
  <c r="O16" i="123"/>
  <c r="N16" i="123"/>
  <c r="L16" i="123"/>
  <c r="K16" i="123"/>
  <c r="O15" i="123"/>
  <c r="N15" i="123"/>
  <c r="L15" i="123"/>
  <c r="K15" i="123"/>
  <c r="O33" i="122"/>
  <c r="N33" i="122"/>
  <c r="L33" i="122"/>
  <c r="K33" i="122"/>
  <c r="O32" i="122"/>
  <c r="N32" i="122"/>
  <c r="L32" i="122"/>
  <c r="K32" i="122"/>
  <c r="O31" i="122"/>
  <c r="N31" i="122"/>
  <c r="L31" i="122"/>
  <c r="K31" i="122"/>
  <c r="O30" i="122"/>
  <c r="N30" i="122"/>
  <c r="L30" i="122"/>
  <c r="K30" i="122"/>
  <c r="O29" i="122"/>
  <c r="N29" i="122"/>
  <c r="L29" i="122"/>
  <c r="K29" i="122"/>
  <c r="O28" i="122"/>
  <c r="N28" i="122"/>
  <c r="L28" i="122"/>
  <c r="K28" i="122"/>
  <c r="O27" i="122"/>
  <c r="N27" i="122"/>
  <c r="L27" i="122"/>
  <c r="K27" i="122"/>
  <c r="O26" i="122"/>
  <c r="N26" i="122"/>
  <c r="L26" i="122"/>
  <c r="K26" i="122"/>
  <c r="O25" i="122"/>
  <c r="L25" i="122"/>
  <c r="K25" i="122"/>
  <c r="O24" i="122"/>
  <c r="N24" i="122"/>
  <c r="L24" i="122"/>
  <c r="K24" i="122"/>
  <c r="O23" i="122"/>
  <c r="N23" i="122"/>
  <c r="L23" i="122"/>
  <c r="K23" i="122"/>
  <c r="O22" i="122"/>
  <c r="N22" i="122"/>
  <c r="L22" i="122"/>
  <c r="K22" i="122"/>
  <c r="O21" i="122"/>
  <c r="N21" i="122"/>
  <c r="L21" i="122"/>
  <c r="K21" i="122"/>
  <c r="O20" i="122"/>
  <c r="N20" i="122"/>
  <c r="L20" i="122"/>
  <c r="K20" i="122"/>
  <c r="O19" i="122"/>
  <c r="N19" i="122"/>
  <c r="L19" i="122"/>
  <c r="K19" i="122"/>
  <c r="O18" i="122"/>
  <c r="N18" i="122"/>
  <c r="L18" i="122"/>
  <c r="K18" i="122"/>
  <c r="O17" i="122"/>
  <c r="N17" i="122"/>
  <c r="L17" i="122"/>
  <c r="K17" i="122"/>
  <c r="O16" i="122"/>
  <c r="N16" i="122"/>
  <c r="L16" i="122"/>
  <c r="K16" i="122"/>
  <c r="O15" i="122"/>
  <c r="N15" i="122"/>
  <c r="L15" i="122"/>
  <c r="K15" i="122"/>
  <c r="O24" i="121"/>
  <c r="N24" i="121"/>
  <c r="L24" i="121"/>
  <c r="K24" i="121"/>
  <c r="B24" i="121"/>
  <c r="O23" i="121"/>
  <c r="N23" i="121"/>
  <c r="L23" i="121"/>
  <c r="K23" i="121"/>
  <c r="B23" i="121"/>
  <c r="O22" i="121"/>
  <c r="N22" i="121"/>
  <c r="L22" i="121"/>
  <c r="K22" i="121"/>
  <c r="B22" i="121"/>
  <c r="O21" i="121"/>
  <c r="N21" i="121"/>
  <c r="L21" i="121"/>
  <c r="K21" i="121"/>
  <c r="B21" i="121"/>
  <c r="O20" i="121"/>
  <c r="N20" i="121"/>
  <c r="L20" i="121"/>
  <c r="K20" i="121"/>
  <c r="B20" i="121"/>
  <c r="O19" i="121"/>
  <c r="N19" i="121"/>
  <c r="L19" i="121"/>
  <c r="K19" i="121"/>
  <c r="B19" i="121"/>
  <c r="O18" i="121"/>
  <c r="N18" i="121"/>
  <c r="L18" i="121"/>
  <c r="K18" i="121"/>
  <c r="B18" i="121"/>
  <c r="O17" i="121"/>
  <c r="N17" i="121"/>
  <c r="L17" i="121"/>
  <c r="K17" i="121"/>
  <c r="B17" i="121"/>
  <c r="O16" i="121"/>
  <c r="N16" i="121"/>
  <c r="L16" i="121"/>
  <c r="K16" i="121"/>
  <c r="B16" i="121"/>
  <c r="O15" i="121"/>
  <c r="N15" i="121"/>
  <c r="L15" i="121"/>
  <c r="K15" i="121"/>
  <c r="B15" i="121"/>
  <c r="O49" i="118"/>
  <c r="N49" i="118"/>
  <c r="K49" i="118"/>
  <c r="O48" i="118"/>
  <c r="N48" i="118"/>
  <c r="K48" i="118"/>
  <c r="O47" i="118"/>
  <c r="N47" i="118"/>
  <c r="K47" i="118"/>
  <c r="O46" i="118"/>
  <c r="N46" i="118"/>
  <c r="K46" i="118"/>
  <c r="O45" i="118"/>
  <c r="N45" i="118"/>
  <c r="K45" i="118"/>
  <c r="O44" i="118"/>
  <c r="N44" i="118"/>
  <c r="K44" i="118"/>
  <c r="O43" i="118"/>
  <c r="N43" i="118"/>
  <c r="K43" i="118"/>
  <c r="O42" i="118"/>
  <c r="N42" i="118"/>
  <c r="K42" i="118"/>
  <c r="O41" i="118"/>
  <c r="N41" i="118"/>
  <c r="O21" i="118"/>
  <c r="N21" i="118"/>
  <c r="L21" i="118"/>
  <c r="K21" i="118"/>
  <c r="B21" i="118"/>
  <c r="O20" i="118"/>
  <c r="N20" i="118"/>
  <c r="L20" i="118"/>
  <c r="K20" i="118"/>
  <c r="B20" i="118"/>
  <c r="O19" i="118"/>
  <c r="N19" i="118"/>
  <c r="L19" i="118"/>
  <c r="K19" i="118"/>
  <c r="B19" i="118"/>
  <c r="O18" i="118"/>
  <c r="N18" i="118"/>
  <c r="L18" i="118"/>
  <c r="K18" i="118"/>
  <c r="B18" i="118"/>
  <c r="O17" i="118"/>
  <c r="N17" i="118"/>
  <c r="L17" i="118"/>
  <c r="K17" i="118"/>
  <c r="B17" i="118"/>
  <c r="O16" i="118"/>
  <c r="N16" i="118"/>
  <c r="L16" i="118"/>
  <c r="K16" i="118"/>
  <c r="B16" i="118"/>
  <c r="O15" i="118"/>
  <c r="N15" i="118"/>
  <c r="L15" i="118"/>
  <c r="K15" i="118"/>
  <c r="B15" i="118"/>
  <c r="D52" i="117"/>
  <c r="D51" i="117"/>
  <c r="D50" i="117"/>
  <c r="P49" i="117"/>
  <c r="L49" i="117"/>
  <c r="D49" i="117"/>
  <c r="P48" i="117"/>
  <c r="L48" i="117"/>
  <c r="D48" i="117"/>
  <c r="P47" i="117"/>
  <c r="L47" i="117"/>
  <c r="D47" i="117"/>
  <c r="P46" i="117"/>
  <c r="L46" i="117"/>
  <c r="D46" i="117"/>
  <c r="P45" i="117"/>
  <c r="L45" i="117"/>
  <c r="D45" i="117"/>
  <c r="P44" i="117"/>
  <c r="L44" i="117"/>
  <c r="D44" i="117"/>
  <c r="P43" i="117"/>
  <c r="L43" i="117"/>
  <c r="D43" i="117"/>
  <c r="P42" i="117"/>
  <c r="L42" i="117"/>
  <c r="D42" i="117"/>
  <c r="D41" i="117"/>
  <c r="D40" i="117"/>
  <c r="D39" i="117"/>
  <c r="D38" i="117"/>
  <c r="D37" i="117"/>
  <c r="D36" i="117"/>
  <c r="D35" i="117"/>
  <c r="D34" i="117"/>
  <c r="D33" i="117"/>
  <c r="D32" i="117"/>
  <c r="D31" i="117"/>
  <c r="D30" i="117"/>
  <c r="D29" i="117"/>
  <c r="D28" i="117"/>
  <c r="D27" i="117"/>
  <c r="P26" i="117"/>
  <c r="D26" i="117"/>
  <c r="B26" i="117"/>
  <c r="P25" i="117"/>
  <c r="D25" i="117"/>
  <c r="B25" i="117"/>
  <c r="P24" i="117"/>
  <c r="D24" i="117"/>
  <c r="B24" i="117"/>
  <c r="P23" i="117"/>
  <c r="D23" i="117"/>
  <c r="B23" i="117"/>
  <c r="P22" i="117"/>
  <c r="D22" i="117"/>
  <c r="B22" i="117"/>
  <c r="P21" i="117"/>
  <c r="D21" i="117"/>
  <c r="B21" i="117"/>
  <c r="P20" i="117"/>
  <c r="D20" i="117"/>
  <c r="B20" i="117"/>
  <c r="P19" i="117"/>
  <c r="D19" i="117"/>
  <c r="B19" i="117"/>
  <c r="P18" i="117"/>
  <c r="D18" i="117"/>
  <c r="B18" i="117"/>
  <c r="P17" i="117"/>
  <c r="D17" i="117"/>
  <c r="B17" i="117"/>
  <c r="O34" i="116"/>
  <c r="N34" i="116"/>
  <c r="L34" i="116"/>
  <c r="K34" i="116"/>
  <c r="O33" i="116"/>
  <c r="N33" i="116"/>
  <c r="L33" i="116"/>
  <c r="K33" i="116"/>
  <c r="O32" i="116"/>
  <c r="N32" i="116"/>
  <c r="L32" i="116"/>
  <c r="K32" i="116"/>
  <c r="O31" i="116"/>
  <c r="N31" i="116"/>
  <c r="L31" i="116"/>
  <c r="K31" i="116"/>
  <c r="O30" i="116"/>
  <c r="N30" i="116"/>
  <c r="L30" i="116"/>
  <c r="K30" i="116"/>
  <c r="O29" i="116"/>
  <c r="N29" i="116"/>
  <c r="L29" i="116"/>
  <c r="K29" i="116"/>
  <c r="O28" i="116"/>
  <c r="N28" i="116"/>
  <c r="L28" i="116"/>
  <c r="K28" i="116"/>
  <c r="O27" i="116"/>
  <c r="N27" i="116"/>
  <c r="L27" i="116"/>
  <c r="K27" i="116"/>
  <c r="O26" i="116"/>
  <c r="N26" i="116"/>
  <c r="L26" i="116"/>
  <c r="K26" i="116"/>
  <c r="O25" i="116"/>
  <c r="L25" i="116"/>
  <c r="K25" i="116"/>
  <c r="O24" i="116"/>
  <c r="N24" i="116"/>
  <c r="L24" i="116"/>
  <c r="K24" i="116"/>
  <c r="O23" i="116"/>
  <c r="N23" i="116"/>
  <c r="L23" i="116"/>
  <c r="K23" i="116"/>
  <c r="O22" i="116"/>
  <c r="N22" i="116"/>
  <c r="L22" i="116"/>
  <c r="K22" i="116"/>
  <c r="O21" i="116"/>
  <c r="N21" i="116"/>
  <c r="L21" i="116"/>
  <c r="K21" i="116"/>
  <c r="O20" i="116"/>
  <c r="N20" i="116"/>
  <c r="L20" i="116"/>
  <c r="K20" i="116"/>
  <c r="O19" i="116"/>
  <c r="N19" i="116"/>
  <c r="L19" i="116"/>
  <c r="K19" i="116"/>
  <c r="O18" i="116"/>
  <c r="N18" i="116"/>
  <c r="L18" i="116"/>
  <c r="K18" i="116"/>
  <c r="O17" i="116"/>
  <c r="N17" i="116"/>
  <c r="L17" i="116"/>
  <c r="K17" i="116"/>
  <c r="O16" i="116"/>
  <c r="N16" i="116"/>
  <c r="L16" i="116"/>
  <c r="K16" i="116"/>
  <c r="O15" i="116"/>
  <c r="N15" i="116"/>
  <c r="L15" i="116"/>
  <c r="K15" i="116"/>
  <c r="O31" i="115"/>
  <c r="N31" i="115"/>
  <c r="L31" i="115"/>
  <c r="K31" i="115"/>
  <c r="O30" i="115"/>
  <c r="N30" i="115"/>
  <c r="L30" i="115"/>
  <c r="K30" i="115"/>
  <c r="O29" i="115"/>
  <c r="N29" i="115"/>
  <c r="L29" i="115"/>
  <c r="K29" i="115"/>
  <c r="O28" i="115"/>
  <c r="N28" i="115"/>
  <c r="L28" i="115"/>
  <c r="K28" i="115"/>
  <c r="O27" i="115"/>
  <c r="N27" i="115"/>
  <c r="L27" i="115"/>
  <c r="K27" i="115"/>
  <c r="O26" i="115"/>
  <c r="N26" i="115"/>
  <c r="L26" i="115"/>
  <c r="K26" i="115"/>
  <c r="O25" i="115"/>
  <c r="L25" i="115"/>
  <c r="K25" i="115"/>
  <c r="O24" i="115"/>
  <c r="N24" i="115"/>
  <c r="L24" i="115"/>
  <c r="K24" i="115"/>
  <c r="O23" i="115"/>
  <c r="N23" i="115"/>
  <c r="L23" i="115"/>
  <c r="K23" i="115"/>
  <c r="O22" i="115"/>
  <c r="N22" i="115"/>
  <c r="L22" i="115"/>
  <c r="K22" i="115"/>
  <c r="O21" i="115"/>
  <c r="N21" i="115"/>
  <c r="L21" i="115"/>
  <c r="K21" i="115"/>
  <c r="O20" i="115"/>
  <c r="N20" i="115"/>
  <c r="L20" i="115"/>
  <c r="K20" i="115"/>
  <c r="O19" i="115"/>
  <c r="N19" i="115"/>
  <c r="L19" i="115"/>
  <c r="K19" i="115"/>
  <c r="O18" i="115"/>
  <c r="N18" i="115"/>
  <c r="L18" i="115"/>
  <c r="K18" i="115"/>
  <c r="O17" i="115"/>
  <c r="N17" i="115"/>
  <c r="L17" i="115"/>
  <c r="K17" i="115"/>
  <c r="O16" i="115"/>
  <c r="N16" i="115"/>
  <c r="L16" i="115"/>
  <c r="K16" i="115"/>
  <c r="O15" i="115"/>
  <c r="N15" i="115"/>
  <c r="L15" i="115"/>
  <c r="K15" i="115"/>
  <c r="D52" i="114"/>
  <c r="D51" i="114"/>
  <c r="D50" i="114"/>
  <c r="P49" i="114"/>
  <c r="L49" i="114"/>
  <c r="D49" i="114"/>
  <c r="P48" i="114"/>
  <c r="L48" i="114"/>
  <c r="D48" i="114"/>
  <c r="P47" i="114"/>
  <c r="L47" i="114"/>
  <c r="D47" i="114"/>
  <c r="P46" i="114"/>
  <c r="L46" i="114"/>
  <c r="D46" i="114"/>
  <c r="P45" i="114"/>
  <c r="L45" i="114"/>
  <c r="D45" i="114"/>
  <c r="P44" i="114"/>
  <c r="L44" i="114"/>
  <c r="D44" i="114"/>
  <c r="P43" i="114"/>
  <c r="L43" i="114"/>
  <c r="D43" i="114"/>
  <c r="P42" i="114"/>
  <c r="L42" i="114"/>
  <c r="D42" i="114"/>
  <c r="D41" i="114"/>
  <c r="D40" i="114"/>
  <c r="D39" i="114"/>
  <c r="D38" i="114"/>
  <c r="D37" i="114"/>
  <c r="D36" i="114"/>
  <c r="D35" i="114"/>
  <c r="D34" i="114"/>
  <c r="D33" i="114"/>
  <c r="D32" i="114"/>
  <c r="D31" i="114"/>
  <c r="D30" i="114"/>
  <c r="D29" i="114"/>
  <c r="D28" i="114"/>
  <c r="D27" i="114"/>
  <c r="P26" i="114"/>
  <c r="D26" i="114"/>
  <c r="B26" i="114"/>
  <c r="P25" i="114"/>
  <c r="D25" i="114"/>
  <c r="B25" i="114"/>
  <c r="P24" i="114"/>
  <c r="D24" i="114"/>
  <c r="B24" i="114"/>
  <c r="P23" i="114"/>
  <c r="D23" i="114"/>
  <c r="B23" i="114"/>
  <c r="P22" i="114"/>
  <c r="D22" i="114"/>
  <c r="B22" i="114"/>
  <c r="P21" i="114"/>
  <c r="D21" i="114"/>
  <c r="B21" i="114"/>
  <c r="P20" i="114"/>
  <c r="D20" i="114"/>
  <c r="B20" i="114"/>
  <c r="P19" i="114"/>
  <c r="D19" i="114"/>
  <c r="B19" i="114"/>
  <c r="P18" i="114"/>
  <c r="D18" i="114"/>
  <c r="B18" i="114"/>
  <c r="P17" i="114"/>
  <c r="D17" i="114"/>
  <c r="B17" i="114"/>
  <c r="O49" i="113"/>
  <c r="N49" i="113"/>
  <c r="K49" i="113"/>
  <c r="O48" i="113"/>
  <c r="N48" i="113"/>
  <c r="K48" i="113"/>
  <c r="O47" i="113"/>
  <c r="N47" i="113"/>
  <c r="K47" i="113"/>
  <c r="O46" i="113"/>
  <c r="N46" i="113"/>
  <c r="K46" i="113"/>
  <c r="O45" i="113"/>
  <c r="N45" i="113"/>
  <c r="K45" i="113"/>
  <c r="O44" i="113"/>
  <c r="N44" i="113"/>
  <c r="K44" i="113"/>
  <c r="O43" i="113"/>
  <c r="N43" i="113"/>
  <c r="K43" i="113"/>
  <c r="O42" i="113"/>
  <c r="N42" i="113"/>
  <c r="K42" i="113"/>
  <c r="O41" i="113"/>
  <c r="N41" i="113"/>
  <c r="O24" i="113"/>
  <c r="N24" i="113"/>
  <c r="L24" i="113"/>
  <c r="K24" i="113"/>
  <c r="B24" i="113"/>
  <c r="O23" i="113"/>
  <c r="N23" i="113"/>
  <c r="L23" i="113"/>
  <c r="K23" i="113"/>
  <c r="B23" i="113"/>
  <c r="O22" i="113"/>
  <c r="N22" i="113"/>
  <c r="L22" i="113"/>
  <c r="K22" i="113"/>
  <c r="B22" i="113"/>
  <c r="O21" i="113"/>
  <c r="N21" i="113"/>
  <c r="L21" i="113"/>
  <c r="K21" i="113"/>
  <c r="B21" i="113"/>
  <c r="O20" i="113"/>
  <c r="N20" i="113"/>
  <c r="L20" i="113"/>
  <c r="K20" i="113"/>
  <c r="B20" i="113"/>
  <c r="O19" i="113"/>
  <c r="N19" i="113"/>
  <c r="L19" i="113"/>
  <c r="K19" i="113"/>
  <c r="B19" i="113"/>
  <c r="O18" i="113"/>
  <c r="N18" i="113"/>
  <c r="L18" i="113"/>
  <c r="K18" i="113"/>
  <c r="B18" i="113"/>
  <c r="O17" i="113"/>
  <c r="N17" i="113"/>
  <c r="L17" i="113"/>
  <c r="K17" i="113"/>
  <c r="B17" i="113"/>
  <c r="O16" i="113"/>
  <c r="N16" i="113"/>
  <c r="L16" i="113"/>
  <c r="K16" i="113"/>
  <c r="B16" i="113"/>
  <c r="O15" i="113"/>
  <c r="N15" i="113"/>
  <c r="L15" i="113"/>
  <c r="K15" i="113"/>
  <c r="B15" i="113"/>
  <c r="D52" i="112"/>
  <c r="D51" i="112"/>
  <c r="D50" i="112"/>
  <c r="P49" i="112"/>
  <c r="L49" i="112"/>
  <c r="D49" i="112"/>
  <c r="P48" i="112"/>
  <c r="L48" i="112"/>
  <c r="D48" i="112"/>
  <c r="P47" i="112"/>
  <c r="L47" i="112"/>
  <c r="D47" i="112"/>
  <c r="P46" i="112"/>
  <c r="L46" i="112"/>
  <c r="D46" i="112"/>
  <c r="P45" i="112"/>
  <c r="L45" i="112"/>
  <c r="D45" i="112"/>
  <c r="P44" i="112"/>
  <c r="L44" i="112"/>
  <c r="D44" i="112"/>
  <c r="P43" i="112"/>
  <c r="L43" i="112"/>
  <c r="D43" i="112"/>
  <c r="P42" i="112"/>
  <c r="L42" i="112"/>
  <c r="D42" i="112"/>
  <c r="D41" i="112"/>
  <c r="D40" i="112"/>
  <c r="D39" i="112"/>
  <c r="D38" i="112"/>
  <c r="D37" i="112"/>
  <c r="D36" i="112"/>
  <c r="D35" i="112"/>
  <c r="D34" i="112"/>
  <c r="D33" i="112"/>
  <c r="D32" i="112"/>
  <c r="D31" i="112"/>
  <c r="D30" i="112"/>
  <c r="D29" i="112"/>
  <c r="D28" i="112"/>
  <c r="D27" i="112"/>
  <c r="P26" i="112"/>
  <c r="D26" i="112"/>
  <c r="B26" i="112"/>
  <c r="P25" i="112"/>
  <c r="D25" i="112"/>
  <c r="B25" i="112"/>
  <c r="P24" i="112"/>
  <c r="D24" i="112"/>
  <c r="B24" i="112"/>
  <c r="P23" i="112"/>
  <c r="D23" i="112"/>
  <c r="B23" i="112"/>
  <c r="P22" i="112"/>
  <c r="D22" i="112"/>
  <c r="B22" i="112"/>
  <c r="P21" i="112"/>
  <c r="D21" i="112"/>
  <c r="B21" i="112"/>
  <c r="P20" i="112"/>
  <c r="D20" i="112"/>
  <c r="B20" i="112"/>
  <c r="P19" i="112"/>
  <c r="D19" i="112"/>
  <c r="B19" i="112"/>
  <c r="P18" i="112"/>
  <c r="D18" i="112"/>
  <c r="B18" i="112"/>
  <c r="P17" i="112"/>
  <c r="D17" i="112"/>
  <c r="B17" i="112"/>
  <c r="O34" i="111"/>
  <c r="N34" i="111"/>
  <c r="L34" i="111"/>
  <c r="K34" i="111"/>
  <c r="O33" i="111"/>
  <c r="N33" i="111"/>
  <c r="L33" i="111"/>
  <c r="K33" i="111"/>
  <c r="O32" i="111"/>
  <c r="N32" i="111"/>
  <c r="L32" i="111"/>
  <c r="K32" i="111"/>
  <c r="O31" i="111"/>
  <c r="N31" i="111"/>
  <c r="L31" i="111"/>
  <c r="K31" i="111"/>
  <c r="O30" i="111"/>
  <c r="N30" i="111"/>
  <c r="L30" i="111"/>
  <c r="K30" i="111"/>
  <c r="O29" i="111"/>
  <c r="N29" i="111"/>
  <c r="L29" i="111"/>
  <c r="K29" i="111"/>
  <c r="O28" i="111"/>
  <c r="N28" i="111"/>
  <c r="L28" i="111"/>
  <c r="K28" i="111"/>
  <c r="O27" i="111"/>
  <c r="N27" i="111"/>
  <c r="O26" i="111"/>
  <c r="N26" i="111"/>
  <c r="O25" i="111"/>
  <c r="N25" i="111"/>
  <c r="O24" i="111"/>
  <c r="N24" i="111"/>
  <c r="L24" i="111"/>
  <c r="K24" i="111"/>
  <c r="O23" i="111"/>
  <c r="N23" i="111"/>
  <c r="L23" i="111"/>
  <c r="K23" i="111"/>
  <c r="O22" i="111"/>
  <c r="N22" i="111"/>
  <c r="L22" i="111"/>
  <c r="K22" i="111"/>
  <c r="O21" i="111"/>
  <c r="N21" i="111"/>
  <c r="L21" i="111"/>
  <c r="K21" i="111"/>
  <c r="O20" i="111"/>
  <c r="N20" i="111"/>
  <c r="L20" i="111"/>
  <c r="K20" i="111"/>
  <c r="O19" i="111"/>
  <c r="N19" i="111"/>
  <c r="L19" i="111"/>
  <c r="K19" i="111"/>
  <c r="O18" i="111"/>
  <c r="N18" i="111"/>
  <c r="L18" i="111"/>
  <c r="K18" i="111"/>
  <c r="O17" i="111"/>
  <c r="N17" i="111"/>
  <c r="L17" i="111"/>
  <c r="K17" i="111"/>
  <c r="O16" i="111"/>
  <c r="N16" i="111"/>
  <c r="L16" i="111"/>
  <c r="K16" i="111"/>
  <c r="O15" i="111"/>
  <c r="N15" i="111"/>
  <c r="L15" i="111"/>
  <c r="K15" i="111"/>
  <c r="O49" i="110"/>
  <c r="N49" i="110"/>
  <c r="K49" i="110"/>
  <c r="O48" i="110"/>
  <c r="N48" i="110"/>
  <c r="K48" i="110"/>
  <c r="O47" i="110"/>
  <c r="N47" i="110"/>
  <c r="K47" i="110"/>
  <c r="O46" i="110"/>
  <c r="N46" i="110"/>
  <c r="K46" i="110"/>
  <c r="O45" i="110"/>
  <c r="N45" i="110"/>
  <c r="K45" i="110"/>
  <c r="O44" i="110"/>
  <c r="N44" i="110"/>
  <c r="K44" i="110"/>
  <c r="O43" i="110"/>
  <c r="N43" i="110"/>
  <c r="K43" i="110"/>
  <c r="O42" i="110"/>
  <c r="N42" i="110"/>
  <c r="K42" i="110"/>
  <c r="O41" i="110"/>
  <c r="N41" i="110"/>
  <c r="O26" i="110"/>
  <c r="N26" i="110"/>
  <c r="L26" i="110"/>
  <c r="K26" i="110"/>
  <c r="B26" i="110"/>
  <c r="O25" i="110"/>
  <c r="N25" i="110"/>
  <c r="L25" i="110"/>
  <c r="K25" i="110"/>
  <c r="B25" i="110"/>
  <c r="O24" i="110"/>
  <c r="N24" i="110"/>
  <c r="L24" i="110"/>
  <c r="K24" i="110"/>
  <c r="B24" i="110"/>
  <c r="O23" i="110"/>
  <c r="N23" i="110"/>
  <c r="L23" i="110"/>
  <c r="K23" i="110"/>
  <c r="B23" i="110"/>
  <c r="O22" i="110"/>
  <c r="N22" i="110"/>
  <c r="L22" i="110"/>
  <c r="K22" i="110"/>
  <c r="B22" i="110"/>
  <c r="O21" i="110"/>
  <c r="N21" i="110"/>
  <c r="L21" i="110"/>
  <c r="K21" i="110"/>
  <c r="B21" i="110"/>
  <c r="O20" i="110"/>
  <c r="N20" i="110"/>
  <c r="L20" i="110"/>
  <c r="K20" i="110"/>
  <c r="B20" i="110"/>
  <c r="O19" i="110"/>
  <c r="N19" i="110"/>
  <c r="L19" i="110"/>
  <c r="K19" i="110"/>
  <c r="B19" i="110"/>
  <c r="O18" i="110"/>
  <c r="N18" i="110"/>
  <c r="L18" i="110"/>
  <c r="K18" i="110"/>
  <c r="B18" i="110"/>
  <c r="O17" i="110"/>
  <c r="N17" i="110"/>
  <c r="L17" i="110"/>
  <c r="K17" i="110"/>
  <c r="B17" i="110"/>
  <c r="O16" i="110"/>
  <c r="N16" i="110"/>
  <c r="L16" i="110"/>
  <c r="K16" i="110"/>
  <c r="B16" i="110"/>
  <c r="O15" i="110"/>
  <c r="N15" i="110"/>
  <c r="L15" i="110"/>
  <c r="K15" i="110"/>
  <c r="B15" i="110"/>
  <c r="O36" i="106"/>
  <c r="N36" i="106"/>
  <c r="L36" i="106"/>
  <c r="K36" i="106"/>
  <c r="O35" i="106"/>
  <c r="N35" i="106"/>
  <c r="L35" i="106"/>
  <c r="K35" i="106"/>
  <c r="O34" i="106"/>
  <c r="N34" i="106"/>
  <c r="L34" i="106"/>
  <c r="K34" i="106"/>
  <c r="O33" i="106"/>
  <c r="N33" i="106"/>
  <c r="L33" i="106"/>
  <c r="K33" i="106"/>
  <c r="O32" i="106"/>
  <c r="N32" i="106"/>
  <c r="L32" i="106"/>
  <c r="K32" i="106"/>
  <c r="O31" i="106"/>
  <c r="N31" i="106"/>
  <c r="L31" i="106"/>
  <c r="K31" i="106"/>
  <c r="O30" i="106"/>
  <c r="N30" i="106"/>
  <c r="L30" i="106"/>
  <c r="K30" i="106"/>
  <c r="O29" i="106"/>
  <c r="N29" i="106"/>
  <c r="L29" i="106"/>
  <c r="K29" i="106"/>
  <c r="O28" i="106"/>
  <c r="N28" i="106"/>
  <c r="L28" i="106"/>
  <c r="K28" i="106"/>
  <c r="O27" i="106"/>
  <c r="N27" i="106"/>
  <c r="L27" i="106"/>
  <c r="K27" i="106"/>
  <c r="O26" i="106"/>
  <c r="N26" i="106"/>
  <c r="L26" i="106"/>
  <c r="K26" i="106"/>
  <c r="O25" i="106"/>
  <c r="L25" i="106"/>
  <c r="K25" i="106"/>
  <c r="O24" i="106"/>
  <c r="N24" i="106"/>
  <c r="L24" i="106"/>
  <c r="K24" i="106"/>
  <c r="O23" i="106"/>
  <c r="N23" i="106"/>
  <c r="L23" i="106"/>
  <c r="K23" i="106"/>
  <c r="O22" i="106"/>
  <c r="N22" i="106"/>
  <c r="L22" i="106"/>
  <c r="K22" i="106"/>
  <c r="O21" i="106"/>
  <c r="N21" i="106"/>
  <c r="L21" i="106"/>
  <c r="K21" i="106"/>
  <c r="O20" i="106"/>
  <c r="N20" i="106"/>
  <c r="L20" i="106"/>
  <c r="K20" i="106"/>
  <c r="O19" i="106"/>
  <c r="N19" i="106"/>
  <c r="L19" i="106"/>
  <c r="K19" i="106"/>
  <c r="O18" i="106"/>
  <c r="N18" i="106"/>
  <c r="L18" i="106"/>
  <c r="K18" i="106"/>
  <c r="O17" i="106"/>
  <c r="N17" i="106"/>
  <c r="L17" i="106"/>
  <c r="K17" i="106"/>
  <c r="O16" i="106"/>
  <c r="N16" i="106"/>
  <c r="L16" i="106"/>
  <c r="K16" i="106"/>
  <c r="O15" i="106"/>
  <c r="N15" i="106"/>
  <c r="L15" i="106"/>
  <c r="K15" i="106"/>
  <c r="O32" i="107"/>
  <c r="N32" i="107"/>
  <c r="L32" i="107"/>
  <c r="K32" i="107"/>
  <c r="O31" i="107"/>
  <c r="N31" i="107"/>
  <c r="L31" i="107"/>
  <c r="K31" i="107"/>
  <c r="O30" i="107"/>
  <c r="N30" i="107"/>
  <c r="L30" i="107"/>
  <c r="K30" i="107"/>
  <c r="O29" i="107"/>
  <c r="N29" i="107"/>
  <c r="L29" i="107"/>
  <c r="K29" i="107"/>
  <c r="O28" i="107"/>
  <c r="N28" i="107"/>
  <c r="L28" i="107"/>
  <c r="K28" i="107"/>
  <c r="O27" i="107"/>
  <c r="N27" i="107"/>
  <c r="L27" i="107"/>
  <c r="K27" i="107"/>
  <c r="O26" i="107"/>
  <c r="N26" i="107"/>
  <c r="L26" i="107"/>
  <c r="K26" i="107"/>
  <c r="O25" i="107"/>
  <c r="L25" i="107"/>
  <c r="K25" i="107"/>
  <c r="O24" i="107"/>
  <c r="N24" i="107"/>
  <c r="L24" i="107"/>
  <c r="K24" i="107"/>
  <c r="O23" i="107"/>
  <c r="N23" i="107"/>
  <c r="L23" i="107"/>
  <c r="K23" i="107"/>
  <c r="O22" i="107"/>
  <c r="N22" i="107"/>
  <c r="L22" i="107"/>
  <c r="K22" i="107"/>
  <c r="O21" i="107"/>
  <c r="N21" i="107"/>
  <c r="L21" i="107"/>
  <c r="K21" i="107"/>
  <c r="O20" i="107"/>
  <c r="N20" i="107"/>
  <c r="L20" i="107"/>
  <c r="K20" i="107"/>
  <c r="O19" i="107"/>
  <c r="N19" i="107"/>
  <c r="L19" i="107"/>
  <c r="K19" i="107"/>
  <c r="O18" i="107"/>
  <c r="N18" i="107"/>
  <c r="L18" i="107"/>
  <c r="K18" i="107"/>
  <c r="O17" i="107"/>
  <c r="N17" i="107"/>
  <c r="L17" i="107"/>
  <c r="K17" i="107"/>
  <c r="O16" i="107"/>
  <c r="N16" i="107"/>
  <c r="L16" i="107"/>
  <c r="K16" i="107"/>
  <c r="O15" i="107"/>
  <c r="N15" i="107"/>
  <c r="L15" i="107"/>
  <c r="K15" i="107"/>
  <c r="D52" i="108"/>
  <c r="D51" i="108"/>
  <c r="D50" i="108"/>
  <c r="P49" i="108"/>
  <c r="L49" i="108"/>
  <c r="D49" i="108"/>
  <c r="P48" i="108"/>
  <c r="L48" i="108"/>
  <c r="D48" i="108"/>
  <c r="P47" i="108"/>
  <c r="L47" i="108"/>
  <c r="D47" i="108"/>
  <c r="P46" i="108"/>
  <c r="L46" i="108"/>
  <c r="D46" i="108"/>
  <c r="P45" i="108"/>
  <c r="L45" i="108"/>
  <c r="D45" i="108"/>
  <c r="P44" i="108"/>
  <c r="L44" i="108"/>
  <c r="D44" i="108"/>
  <c r="P43" i="108"/>
  <c r="L43" i="108"/>
  <c r="D43" i="108"/>
  <c r="P42" i="108"/>
  <c r="L42" i="108"/>
  <c r="D42" i="108"/>
  <c r="D41" i="108"/>
  <c r="D40" i="108"/>
  <c r="D39" i="108"/>
  <c r="D38" i="108"/>
  <c r="D37" i="108"/>
  <c r="D36" i="108"/>
  <c r="D35" i="108"/>
  <c r="D34" i="108"/>
  <c r="D33" i="108"/>
  <c r="D32" i="108"/>
  <c r="D31" i="108"/>
  <c r="D30" i="108"/>
  <c r="D29" i="108"/>
  <c r="D28" i="108"/>
  <c r="D27" i="108"/>
  <c r="P26" i="108"/>
  <c r="D26" i="108"/>
  <c r="B26" i="108"/>
  <c r="P25" i="108"/>
  <c r="D25" i="108"/>
  <c r="B25" i="108"/>
  <c r="P24" i="108"/>
  <c r="D24" i="108"/>
  <c r="B24" i="108"/>
  <c r="P23" i="108"/>
  <c r="D23" i="108"/>
  <c r="B23" i="108"/>
  <c r="P22" i="108"/>
  <c r="D22" i="108"/>
  <c r="B22" i="108"/>
  <c r="P21" i="108"/>
  <c r="D21" i="108"/>
  <c r="B21" i="108"/>
  <c r="P20" i="108"/>
  <c r="D20" i="108"/>
  <c r="B20" i="108"/>
  <c r="P19" i="108"/>
  <c r="D19" i="108"/>
  <c r="B19" i="108"/>
  <c r="P18" i="108"/>
  <c r="D18" i="108"/>
  <c r="B18" i="108"/>
  <c r="P17" i="108"/>
  <c r="D17" i="108"/>
  <c r="B17" i="108"/>
  <c r="O49" i="109"/>
  <c r="N49" i="109"/>
  <c r="K49" i="109"/>
  <c r="O48" i="109"/>
  <c r="N48" i="109"/>
  <c r="K48" i="109"/>
  <c r="O47" i="109"/>
  <c r="N47" i="109"/>
  <c r="K47" i="109"/>
  <c r="O46" i="109"/>
  <c r="N46" i="109"/>
  <c r="K46" i="109"/>
  <c r="O45" i="109"/>
  <c r="N45" i="109"/>
  <c r="K45" i="109"/>
  <c r="O44" i="109"/>
  <c r="N44" i="109"/>
  <c r="K44" i="109"/>
  <c r="O43" i="109"/>
  <c r="N43" i="109"/>
  <c r="K43" i="109"/>
  <c r="O42" i="109"/>
  <c r="N42" i="109"/>
  <c r="K42" i="109"/>
  <c r="O41" i="109"/>
  <c r="N41" i="109"/>
  <c r="O24" i="109"/>
  <c r="N24" i="109"/>
  <c r="L24" i="109"/>
  <c r="K24" i="109"/>
  <c r="B24" i="109"/>
  <c r="O23" i="109"/>
  <c r="N23" i="109"/>
  <c r="L23" i="109"/>
  <c r="K23" i="109"/>
  <c r="B23" i="109"/>
  <c r="O22" i="109"/>
  <c r="N22" i="109"/>
  <c r="L22" i="109"/>
  <c r="K22" i="109"/>
  <c r="B22" i="109"/>
  <c r="O21" i="109"/>
  <c r="N21" i="109"/>
  <c r="L21" i="109"/>
  <c r="K21" i="109"/>
  <c r="B21" i="109"/>
  <c r="O20" i="109"/>
  <c r="N20" i="109"/>
  <c r="L20" i="109"/>
  <c r="K20" i="109"/>
  <c r="B20" i="109"/>
  <c r="O19" i="109"/>
  <c r="N19" i="109"/>
  <c r="L19" i="109"/>
  <c r="K19" i="109"/>
  <c r="B19" i="109"/>
  <c r="O18" i="109"/>
  <c r="N18" i="109"/>
  <c r="L18" i="109"/>
  <c r="K18" i="109"/>
  <c r="B18" i="109"/>
  <c r="O17" i="109"/>
  <c r="N17" i="109"/>
  <c r="L17" i="109"/>
  <c r="K17" i="109"/>
  <c r="B17" i="109"/>
  <c r="O16" i="109"/>
  <c r="N16" i="109"/>
  <c r="L16" i="109"/>
  <c r="K16" i="109"/>
  <c r="B16" i="109"/>
  <c r="O15" i="109"/>
  <c r="N15" i="109"/>
  <c r="L15" i="109"/>
  <c r="K15" i="109"/>
  <c r="B15" i="109"/>
  <c r="D46" i="82"/>
  <c r="D45" i="82"/>
  <c r="D44" i="82"/>
  <c r="P43" i="82"/>
  <c r="O43" i="82"/>
  <c r="L43" i="82"/>
  <c r="D43" i="82"/>
  <c r="P42" i="82"/>
  <c r="O42" i="82"/>
  <c r="L42" i="82"/>
  <c r="D42" i="82"/>
  <c r="P41" i="82"/>
  <c r="O41" i="82"/>
  <c r="L41" i="82"/>
  <c r="D41" i="82"/>
  <c r="P40" i="82"/>
  <c r="O40" i="82"/>
  <c r="L40" i="82"/>
  <c r="D40" i="82"/>
  <c r="P39" i="82"/>
  <c r="O39" i="82"/>
  <c r="L39" i="82"/>
  <c r="D39" i="82"/>
  <c r="P38" i="82"/>
  <c r="O38" i="82"/>
  <c r="L38" i="82"/>
  <c r="D38" i="82"/>
  <c r="P37" i="82"/>
  <c r="O37" i="82"/>
  <c r="L37" i="82"/>
  <c r="D37" i="82"/>
  <c r="P36" i="82"/>
  <c r="O36" i="82"/>
  <c r="L36" i="82"/>
  <c r="D36" i="82"/>
  <c r="D35" i="82"/>
  <c r="D34" i="82"/>
  <c r="D33" i="82"/>
  <c r="D32" i="82"/>
  <c r="D31" i="82"/>
  <c r="D30" i="82"/>
  <c r="D29" i="82"/>
  <c r="D28" i="82"/>
  <c r="D27" i="82"/>
  <c r="D26" i="82"/>
  <c r="D25" i="82"/>
  <c r="D24" i="82"/>
  <c r="D23" i="82"/>
  <c r="B22" i="82"/>
  <c r="B21" i="82"/>
  <c r="B20" i="82"/>
  <c r="B19" i="82"/>
  <c r="B18" i="82"/>
  <c r="B17" i="82"/>
  <c r="B16" i="82"/>
  <c r="B15" i="82"/>
  <c r="O38" i="138"/>
  <c r="L38" i="138"/>
  <c r="K38" i="138"/>
  <c r="O37" i="138"/>
  <c r="L37" i="138"/>
  <c r="K37" i="138"/>
  <c r="O36" i="138"/>
  <c r="L36" i="138"/>
  <c r="K36" i="138"/>
  <c r="O35" i="138"/>
  <c r="L35" i="138"/>
  <c r="K35" i="138"/>
  <c r="O34" i="138"/>
  <c r="L34" i="138"/>
  <c r="K34" i="138"/>
  <c r="O33" i="138"/>
  <c r="L33" i="138"/>
  <c r="K33" i="138"/>
  <c r="O32" i="138"/>
  <c r="L32" i="138"/>
  <c r="K32" i="138"/>
  <c r="O31" i="138"/>
  <c r="L31" i="138"/>
  <c r="K31" i="138"/>
  <c r="O30" i="138"/>
  <c r="L30" i="138"/>
  <c r="K30" i="138"/>
  <c r="O29" i="138"/>
  <c r="L29" i="138"/>
  <c r="K29" i="138"/>
  <c r="O28" i="138"/>
  <c r="L28" i="138"/>
  <c r="K28" i="138"/>
  <c r="O27" i="138"/>
  <c r="L27" i="138"/>
  <c r="K27" i="138"/>
  <c r="O26" i="138"/>
  <c r="L26" i="138"/>
  <c r="K26" i="138"/>
  <c r="O25" i="138"/>
  <c r="L25" i="138"/>
  <c r="K25" i="138"/>
  <c r="O24" i="138"/>
  <c r="L24" i="138"/>
  <c r="K24" i="138"/>
  <c r="O23" i="138"/>
  <c r="L23" i="138"/>
  <c r="K23" i="138"/>
  <c r="O22" i="138"/>
  <c r="L22" i="138"/>
  <c r="K22" i="138"/>
  <c r="O21" i="138"/>
  <c r="L21" i="138"/>
  <c r="K21" i="138"/>
  <c r="O20" i="138"/>
  <c r="L20" i="138"/>
  <c r="K20" i="138"/>
  <c r="O19" i="138"/>
  <c r="L19" i="138"/>
  <c r="K19" i="138"/>
  <c r="O18" i="138"/>
  <c r="L18" i="138"/>
  <c r="K18" i="138"/>
  <c r="O17" i="138"/>
  <c r="L17" i="138"/>
  <c r="K17" i="138"/>
  <c r="O16" i="138"/>
  <c r="L16" i="138"/>
  <c r="K16" i="138"/>
  <c r="O15" i="138"/>
  <c r="L15" i="138"/>
  <c r="K15" i="13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<sst xmlns="http://schemas.openxmlformats.org/spreadsheetml/2006/main" count="4126" uniqueCount="332">
  <si>
    <t>Customer Part / Note</t>
  </si>
  <si>
    <t>Foam Code</t>
  </si>
  <si>
    <t>Description</t>
  </si>
  <si>
    <t>Size Basis</t>
  </si>
  <si>
    <t>Size Code</t>
  </si>
  <si>
    <t>Qty</t>
  </si>
  <si>
    <t>Unit Price</t>
  </si>
  <si>
    <t>Amount</t>
  </si>
  <si>
    <t>SIZE GUIDE</t>
  </si>
  <si>
    <t>Width</t>
  </si>
  <si>
    <t>Length</t>
  </si>
  <si>
    <t>UNTRIM</t>
  </si>
  <si>
    <t>T</t>
  </si>
  <si>
    <t>Raw twin</t>
  </si>
  <si>
    <t>F</t>
  </si>
  <si>
    <t>Raw full</t>
  </si>
  <si>
    <t>Q</t>
  </si>
  <si>
    <t>Raw queen</t>
  </si>
  <si>
    <t>K</t>
  </si>
  <si>
    <t>Raw king</t>
  </si>
  <si>
    <t>CK</t>
  </si>
  <si>
    <t>Raw cal king</t>
  </si>
  <si>
    <t>S</t>
  </si>
  <si>
    <t>Raw single</t>
  </si>
  <si>
    <t>W</t>
  </si>
  <si>
    <t>Raw wide special</t>
  </si>
  <si>
    <t>TRIM-AS</t>
  </si>
  <si>
    <t>AS trim twin</t>
  </si>
  <si>
    <t>AS trim full</t>
  </si>
  <si>
    <t>AS trim queen</t>
  </si>
  <si>
    <t>AS trim king</t>
  </si>
  <si>
    <t>AS trim cal king</t>
  </si>
  <si>
    <t>AS trim single</t>
  </si>
  <si>
    <t>AS trim wide special</t>
  </si>
  <si>
    <t>TRIM-CUSTOM</t>
  </si>
  <si>
    <t>Customer trim - default twin</t>
  </si>
  <si>
    <t>Customer trim - default full</t>
  </si>
  <si>
    <t>Customer trim - default queen</t>
  </si>
  <si>
    <t>Customer trim - default king</t>
  </si>
  <si>
    <t>Customer trim - default cal king</t>
  </si>
  <si>
    <t>Customer trim - default single</t>
  </si>
  <si>
    <t>Customer trim - default wide special</t>
  </si>
  <si>
    <t>Base Thick</t>
  </si>
  <si>
    <t>CFN32140W</t>
  </si>
  <si>
    <t>Conventional PU Foam-NFD22-H50-White</t>
  </si>
  <si>
    <t>CFN28112W</t>
  </si>
  <si>
    <t>Conventional PU Foam-NFD18-H50-White</t>
  </si>
  <si>
    <t>CFG17138W</t>
  </si>
  <si>
    <t>Cooling Gel Infused Conventional PU Foam-GFD22-H20-White</t>
  </si>
  <si>
    <t>CFN55143Y</t>
  </si>
  <si>
    <t>Conventional PU Foam-NFD23-H90-Yellow</t>
  </si>
  <si>
    <t>CFN34156W</t>
  </si>
  <si>
    <t>Conventional PU Foam-NFD25-H50-White</t>
  </si>
  <si>
    <t>CFN27175W</t>
  </si>
  <si>
    <t>Conventional PU Foam-NFD28-H30-White</t>
  </si>
  <si>
    <t>CFN39175W</t>
  </si>
  <si>
    <t>Conventional PU Foam-NFD28-H50-White</t>
  </si>
  <si>
    <t>CFN39190W</t>
  </si>
  <si>
    <t>Conventional PU Foam-NFD30-H50-White</t>
  </si>
  <si>
    <t>LFN08190W</t>
  </si>
  <si>
    <t>Latex like foam-NLF30-30N-White</t>
  </si>
  <si>
    <t>VAG11225B</t>
  </si>
  <si>
    <t>Cooling Gel Infused Aero Memory Foam-GAM36-50N-Blue</t>
  </si>
  <si>
    <t>Key</t>
  </si>
  <si>
    <t>Note</t>
  </si>
  <si>
    <t>UNTRIM|T</t>
  </si>
  <si>
    <t>UNTRIM|F</t>
  </si>
  <si>
    <t>UNTRIM|Q</t>
  </si>
  <si>
    <t>UNTRIM|K</t>
  </si>
  <si>
    <t>UNTRIM|CK</t>
  </si>
  <si>
    <t>UNTRIM|S</t>
  </si>
  <si>
    <t>UNTRIM|W</t>
  </si>
  <si>
    <t>TRIM-AS|T</t>
  </si>
  <si>
    <t>TRIM-AS|F</t>
  </si>
  <si>
    <t>TRIM-AS|Q</t>
  </si>
  <si>
    <t>TRIM-AS|K</t>
  </si>
  <si>
    <t>TRIM-AS|CK</t>
  </si>
  <si>
    <t>TRIM-AS|S</t>
  </si>
  <si>
    <t>TRIM-AS|W</t>
  </si>
  <si>
    <t>TRIM-CUSTOM|T</t>
  </si>
  <si>
    <t>TRIM-CUSTOM|F</t>
  </si>
  <si>
    <t>TRIM-CUSTOM|Q</t>
  </si>
  <si>
    <t>TRIM-CUSTOM|K</t>
  </si>
  <si>
    <t>TRIM-CUSTOM|CK</t>
  </si>
  <si>
    <t>TRIM-CUSTOM|S</t>
  </si>
  <si>
    <t>TRIM-CUSTOM|W</t>
  </si>
  <si>
    <t>TRIM_LIST</t>
  </si>
  <si>
    <t>SIZE_CODES</t>
  </si>
  <si>
    <t>COSICANA</t>
  </si>
  <si>
    <t>CFN30100W</t>
  </si>
  <si>
    <t>BNF100030</t>
  </si>
  <si>
    <t>AS CODE (KEY)</t>
  </si>
  <si>
    <t>SIZE RULE</t>
  </si>
  <si>
    <t>CUSTOMER CODE</t>
  </si>
  <si>
    <t>CUSTOMER NAME</t>
  </si>
  <si>
    <t>CFN50131W</t>
  </si>
  <si>
    <t>CFN34150W</t>
  </si>
  <si>
    <t>CFN39180W</t>
  </si>
  <si>
    <t>CFN38173W</t>
  </si>
  <si>
    <t>CFN17138W</t>
  </si>
  <si>
    <t>CFN50180W</t>
  </si>
  <si>
    <t>CFN35180W</t>
  </si>
  <si>
    <t>IFD</t>
  </si>
  <si>
    <t>DICKSON</t>
  </si>
  <si>
    <t>AS SIZE ECOFLEX UNTRIM</t>
  </si>
  <si>
    <t>Size</t>
  </si>
  <si>
    <t>Width
(inch)</t>
  </si>
  <si>
    <t>Length
(inch)</t>
  </si>
  <si>
    <t>H</t>
  </si>
  <si>
    <t>T-TXL</t>
  </si>
  <si>
    <t>F-XL</t>
  </si>
  <si>
    <t>QUEEN</t>
  </si>
  <si>
    <t>KING</t>
  </si>
  <si>
    <t>FM1030</t>
  </si>
  <si>
    <t>CUSTOMER REMARK</t>
  </si>
  <si>
    <t>BLUE</t>
  </si>
  <si>
    <t>FM1515</t>
  </si>
  <si>
    <t>FM1540</t>
  </si>
  <si>
    <t>FM1836</t>
  </si>
  <si>
    <t>BNF13050</t>
  </si>
  <si>
    <t>BLACK</t>
  </si>
  <si>
    <t>TXL</t>
  </si>
  <si>
    <t>FXL</t>
  </si>
  <si>
    <t>AS</t>
  </si>
  <si>
    <t>TRIM</t>
  </si>
  <si>
    <t>SIMON BEDDING</t>
  </si>
  <si>
    <t>PICE TYPE</t>
  </si>
  <si>
    <t>V-V5</t>
  </si>
  <si>
    <t>PRICE DETAIL</t>
  </si>
  <si>
    <t>V</t>
  </si>
  <si>
    <t>V5</t>
  </si>
  <si>
    <t>FM1850</t>
  </si>
  <si>
    <t>G</t>
  </si>
  <si>
    <t>MD MATTRESS</t>
  </si>
  <si>
    <t>PRICING SIZE</t>
  </si>
  <si>
    <t>Remark</t>
  </si>
  <si>
    <t>L</t>
  </si>
  <si>
    <t>UNTRIM SIZE(inch)</t>
  </si>
  <si>
    <t>TRIM SIZE(inch)</t>
  </si>
  <si>
    <t>NAP QUEEN</t>
  </si>
  <si>
    <t>BDFT/Code</t>
  </si>
  <si>
    <t>Amount/Code</t>
  </si>
  <si>
    <t>TOTAL BY CODE</t>
  </si>
  <si>
    <t>BILL TO</t>
  </si>
  <si>
    <t>401 PRECISION DRIVE</t>
  </si>
  <si>
    <t>WACO, TX 76710</t>
  </si>
  <si>
    <t xml:space="preserve">(713) 802 0313 </t>
  </si>
  <si>
    <t>INVOICE #</t>
  </si>
  <si>
    <t>DATE</t>
  </si>
  <si>
    <t>CUSTOMER PO</t>
  </si>
  <si>
    <t>TERMS</t>
  </si>
  <si>
    <t>INVOICE</t>
  </si>
  <si>
    <t>Detail</t>
  </si>
  <si>
    <t>Loaded by : Marvin / Anthony</t>
  </si>
  <si>
    <t>Prepared by : Will / Jessi</t>
  </si>
  <si>
    <t>TOTAL:</t>
  </si>
  <si>
    <t>FREIGHT:</t>
  </si>
  <si>
    <t>Process</t>
  </si>
  <si>
    <t>No.</t>
  </si>
  <si>
    <t>BDFT</t>
  </si>
  <si>
    <t>PKL-TRIM</t>
  </si>
  <si>
    <t>PKL-UNTRIM</t>
  </si>
  <si>
    <t>SUBTOTAL:</t>
  </si>
  <si>
    <t>SOUTHWESTERN</t>
  </si>
  <si>
    <t>Stt</t>
  </si>
  <si>
    <t>Mã Foam Theo HV</t>
  </si>
  <si>
    <t>Mã Foam tại ASW</t>
  </si>
  <si>
    <t>Khách hàng thường đặt</t>
  </si>
  <si>
    <t>Mô tả</t>
  </si>
  <si>
    <t>Tỷ trọng
(kg/m3)</t>
  </si>
  <si>
    <t>Tỷ trọng (lbs/ft^3)</t>
  </si>
  <si>
    <t>Usd/bft</t>
  </si>
  <si>
    <t>NFD16H50</t>
  </si>
  <si>
    <t>ASW -  SOFA</t>
  </si>
  <si>
    <t>Conventional foam</t>
  </si>
  <si>
    <t>CFN26100W</t>
  </si>
  <si>
    <t>NFD18-H50</t>
  </si>
  <si>
    <t>ASW</t>
  </si>
  <si>
    <t>NFD21-H70</t>
  </si>
  <si>
    <t>NFD22-H20</t>
  </si>
  <si>
    <t>NFD22-H50</t>
  </si>
  <si>
    <t>NFD24-H50</t>
  </si>
  <si>
    <t>CFN50150W</t>
  </si>
  <si>
    <t>NFD25-H50</t>
  </si>
  <si>
    <t>NFD28-H50</t>
  </si>
  <si>
    <t>NFD29-H50</t>
  </si>
  <si>
    <t>KUKA</t>
  </si>
  <si>
    <t>NFD29-H70</t>
  </si>
  <si>
    <t>Dickson</t>
  </si>
  <si>
    <t>NFD30-H50</t>
  </si>
  <si>
    <t>Usd/bft2</t>
  </si>
  <si>
    <t>3/37/2026</t>
  </si>
  <si>
    <t>Curent active</t>
  </si>
  <si>
    <t>V7=V×0.93</t>
  </si>
  <si>
    <t>V5 =V×0.95</t>
  </si>
  <si>
    <t>V3=V×0.97</t>
  </si>
  <si>
    <t>G=V/0.94</t>
  </si>
  <si>
    <t>R=V/0.88</t>
  </si>
  <si>
    <t>T=V/0.82</t>
  </si>
  <si>
    <t>C=V/0.76</t>
  </si>
  <si>
    <t>V7</t>
  </si>
  <si>
    <t>V3</t>
  </si>
  <si>
    <t>R</t>
  </si>
  <si>
    <t>C</t>
  </si>
  <si>
    <t xml:space="preserve"> </t>
  </si>
  <si>
    <t>Truck fee</t>
  </si>
  <si>
    <t>Other</t>
  </si>
  <si>
    <t>STERLING FOAM</t>
  </si>
  <si>
    <t>CACULATE CUSTOMER $</t>
  </si>
  <si>
    <t>$ BY TYPE UNTRIM</t>
  </si>
  <si>
    <t>$ CUSTOMER PRICE</t>
  </si>
  <si>
    <t>V×0.93</t>
  </si>
  <si>
    <t>CORSICANA</t>
  </si>
  <si>
    <t>STERLING</t>
  </si>
  <si>
    <t>Order/Code/BDFT</t>
  </si>
  <si>
    <t>pcs</t>
  </si>
  <si>
    <t>bdft</t>
  </si>
  <si>
    <t>Customer Code</t>
  </si>
  <si>
    <t>Loaded by : Marvin</t>
  </si>
  <si>
    <t>Prepared by : Jessi</t>
  </si>
  <si>
    <t>Q-SH</t>
  </si>
  <si>
    <t>$/bdft</t>
  </si>
  <si>
    <t>$/pcs</t>
  </si>
  <si>
    <t>Thick</t>
  </si>
  <si>
    <t>DIAMOND</t>
  </si>
  <si>
    <t>S1</t>
  </si>
  <si>
    <t>S2</t>
  </si>
  <si>
    <t>R1PV</t>
  </si>
  <si>
    <t>TRIM+D</t>
  </si>
  <si>
    <t>APPLY</t>
  </si>
  <si>
    <t>southwestern</t>
  </si>
  <si>
    <t xml:space="preserve">Please note: </t>
  </si>
  <si>
    <t>Curent active2</t>
  </si>
  <si>
    <t xml:space="preserve"> Order prices have been updated according to the new quote, effective 5/21.</t>
  </si>
  <si>
    <t>BN006-0050</t>
  </si>
  <si>
    <t>BUN</t>
  </si>
  <si>
    <t>FT008-0050</t>
  </si>
  <si>
    <t>FT014-0050</t>
  </si>
  <si>
    <t>TOPPER 1"</t>
  </si>
  <si>
    <t>35195-F</t>
  </si>
  <si>
    <t>B781-002</t>
  </si>
  <si>
    <t xml:space="preserve">                       </t>
  </si>
  <si>
    <t>3Q CFN28112W_2893.88BF</t>
  </si>
  <si>
    <t>3K CFN28112W_3037.98 BF</t>
  </si>
  <si>
    <t>TOPPER 1" S1</t>
  </si>
  <si>
    <t>TOPPER 1" S2</t>
  </si>
  <si>
    <t xml:space="preserve"> Order prices have been updated according to the new quote, effective 5/26.</t>
  </si>
  <si>
    <t>11-70930</t>
  </si>
  <si>
    <t>TX0121-033</t>
  </si>
  <si>
    <t>35385-F</t>
  </si>
  <si>
    <t>TX0121-032</t>
  </si>
  <si>
    <t>11-71077</t>
  </si>
  <si>
    <t>W25-01</t>
  </si>
  <si>
    <t xml:space="preserve"> Order prices have been updated according to the new quote, effective 5/27.</t>
  </si>
  <si>
    <t>35386-F</t>
  </si>
  <si>
    <t>35387-F</t>
  </si>
  <si>
    <t>35388-F</t>
  </si>
  <si>
    <t>W25-02</t>
  </si>
  <si>
    <t>35389-F</t>
  </si>
  <si>
    <t>trim bottom</t>
  </si>
  <si>
    <t>TR-W25-01</t>
  </si>
  <si>
    <t xml:space="preserve"> Order prices have been updated according to the new quote, effective 6/18.</t>
  </si>
  <si>
    <t>35419-F</t>
  </si>
  <si>
    <t>SS</t>
  </si>
  <si>
    <t>11-73000</t>
  </si>
  <si>
    <t>PO 061920261</t>
  </si>
  <si>
    <t>35443-F</t>
  </si>
  <si>
    <t>35442-F</t>
  </si>
  <si>
    <t>35437-F</t>
  </si>
  <si>
    <t>TX0121-034</t>
  </si>
  <si>
    <t>35463-F</t>
  </si>
  <si>
    <t>TX0121-035</t>
  </si>
  <si>
    <t>35464-F</t>
  </si>
  <si>
    <t>35468-F</t>
  </si>
  <si>
    <t>35444-F</t>
  </si>
  <si>
    <t>PO 061920262</t>
  </si>
  <si>
    <t>W27-01</t>
  </si>
  <si>
    <t>35494-F</t>
  </si>
  <si>
    <t>ECF3.0LB</t>
  </si>
  <si>
    <t>MATTRESS</t>
  </si>
  <si>
    <t>1 K MATTRESS</t>
  </si>
  <si>
    <t>1 Q BUN SAMPLE</t>
  </si>
  <si>
    <t>S2000 Plush-King</t>
  </si>
  <si>
    <t>S2000 Medium-King</t>
  </si>
  <si>
    <t>TX0121-036</t>
  </si>
  <si>
    <t>35506-F</t>
  </si>
  <si>
    <t>TX0121-037</t>
  </si>
  <si>
    <t>35507-F</t>
  </si>
  <si>
    <t xml:space="preserve"> Order prices have been updated according to the new quote, effective 6/30.</t>
  </si>
  <si>
    <t>A&amp;M</t>
  </si>
  <si>
    <t>MD</t>
  </si>
  <si>
    <t>W-27 SAMPLE</t>
  </si>
  <si>
    <t>TOPPER 2"</t>
  </si>
  <si>
    <t>Twin</t>
  </si>
  <si>
    <t>TwinXL</t>
  </si>
  <si>
    <t>Full</t>
  </si>
  <si>
    <t>FullXL</t>
  </si>
  <si>
    <t>Queen</t>
  </si>
  <si>
    <t>Cal. King</t>
  </si>
  <si>
    <t>Split Cal. King</t>
  </si>
  <si>
    <t>E.King</t>
  </si>
  <si>
    <t>S-CK</t>
  </si>
  <si>
    <t>35527-F</t>
  </si>
  <si>
    <t>W28-01</t>
  </si>
  <si>
    <t>35563-F</t>
  </si>
  <si>
    <t>TX0121-038</t>
  </si>
  <si>
    <t>AMERICANSTAR PRODUCTION</t>
  </si>
  <si>
    <t>35591-F</t>
  </si>
  <si>
    <t>CREDIT CK</t>
  </si>
  <si>
    <t>11-73002</t>
  </si>
  <si>
    <t>35602-F</t>
  </si>
  <si>
    <t>TX0121-039</t>
  </si>
  <si>
    <t>35607-F</t>
  </si>
  <si>
    <t>35608-F</t>
  </si>
  <si>
    <t>STERLING-W28-02</t>
  </si>
  <si>
    <t>35564-F</t>
  </si>
  <si>
    <t>TX0121-040</t>
  </si>
  <si>
    <t>STERLING-W29-01</t>
  </si>
  <si>
    <t>11-71387</t>
  </si>
  <si>
    <t>35606-F</t>
  </si>
  <si>
    <t>35637-F</t>
  </si>
  <si>
    <t>STERLING-W29-02</t>
  </si>
  <si>
    <t>35644-F</t>
  </si>
  <si>
    <t>TX0121-041</t>
  </si>
  <si>
    <t>35661-F</t>
  </si>
  <si>
    <t>35662-F</t>
  </si>
  <si>
    <t>PO 8167</t>
  </si>
  <si>
    <t>7.22V</t>
  </si>
  <si>
    <t>35675-F</t>
  </si>
  <si>
    <t>WEEK29-01</t>
  </si>
  <si>
    <t>35684-F</t>
  </si>
  <si>
    <t>TX0121-042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</si>
</sst>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0.0000"/>
    <numFmt numFmtId="166" formatCode="\$0.0000"/>
    <numFmt numFmtId="167" formatCode="_(&quot;$&quot;* #,##0.0_);_(&quot;$&quot;* \(#,##0.0\);_(&quot;$&quot;* &quot;-&quot;??_);_(@_)"/>
    <numFmt numFmtId="168" formatCode="_(* #,##0.0_);_(* \(#,##0.0\);_(* &quot;-&quot;?_);_(@_)"/>
    <numFmt numFmtId="169" formatCode="_(* #,##0_);_(* \(#,##0\);_(* &quot;-&quot;?_);_(@_)"/>
  </numFmts>
  <fonts count="58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FFFF"/>
      <name val="Cambria"/>
      <family val="1"/>
    </font>
    <font>
      <sz val="10"/>
      <color rgb="FF000000"/>
      <name val="Calibri"/>
      <family val="2"/>
      <scheme val="minor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8"/>
      <name val="Calibri"/>
      <family val="2"/>
      <charset val="1"/>
    </font>
    <font>
      <sz val="10"/>
      <color theme="1"/>
      <name val="Trebuchet MS"/>
      <family val="2"/>
    </font>
    <font>
      <sz val="11"/>
      <color theme="1"/>
      <name val="Calibri"/>
      <family val="2"/>
      <charset val="1"/>
    </font>
    <font>
      <b/>
      <sz val="12"/>
      <color rgb="FFFFFFFF"/>
      <name val="Aptos"/>
      <family val="2"/>
    </font>
    <font>
      <b/>
      <sz val="16"/>
      <color rgb="FFFFFFFF"/>
      <name val="Aptos"/>
      <family val="2"/>
    </font>
    <font>
      <sz val="11"/>
      <color theme="1"/>
      <name val="Aptos"/>
      <family val="2"/>
    </font>
    <font>
      <sz val="12"/>
      <color theme="1"/>
      <name val="Aptos"/>
      <family val="2"/>
    </font>
    <font>
      <sz val="36"/>
      <color rgb="FF144572"/>
      <name val="Aptos"/>
      <family val="2"/>
    </font>
    <font>
      <b/>
      <sz val="13"/>
      <name val="Aptos"/>
      <family val="2"/>
    </font>
    <font>
      <sz val="13"/>
      <color theme="1"/>
      <name val="Aptos"/>
      <family val="2"/>
    </font>
    <font>
      <b/>
      <sz val="13"/>
      <color rgb="FFFFFFFF"/>
      <name val="Aptos"/>
      <family val="2"/>
    </font>
    <font>
      <sz val="13"/>
      <color rgb="FF144572"/>
      <name val="Aptos"/>
      <family val="2"/>
    </font>
    <font>
      <b/>
      <i/>
      <sz val="13"/>
      <color theme="0"/>
      <name val="Aptos"/>
      <family val="2"/>
    </font>
    <font>
      <b/>
      <sz val="13"/>
      <color rgb="FF1F4E78"/>
      <name val="Aptos"/>
      <family val="2"/>
    </font>
    <font>
      <b/>
      <i/>
      <sz val="13"/>
      <color rgb="FFFF0000"/>
      <name val="Aptos"/>
      <family val="2"/>
    </font>
    <font>
      <sz val="13"/>
      <name val="Aptos"/>
      <family val="2"/>
    </font>
    <font>
      <sz val="13"/>
      <color theme="1"/>
      <name val="Calibri"/>
      <family val="2"/>
      <scheme val="minor"/>
    </font>
    <font>
      <sz val="13"/>
      <color theme="3" tint="-0.499984740745262"/>
      <name val="Aptos"/>
      <family val="2"/>
    </font>
    <font>
      <i/>
      <sz val="11"/>
      <color theme="1"/>
      <name val="Aptos"/>
      <family val="2"/>
    </font>
    <font>
      <sz val="11"/>
      <color rgb="FFFFFF00"/>
      <name val="Calibri"/>
      <family val="2"/>
    </font>
    <font>
      <b/>
      <sz val="12"/>
      <color theme="1"/>
      <name val="Aptos"/>
      <family val="2"/>
    </font>
    <font>
      <sz val="10"/>
      <color rgb="FFFF0000"/>
      <name val="Trebuchet MS"/>
      <family val="2"/>
    </font>
    <font>
      <sz val="10"/>
      <color theme="5" tint="0.59999389629810485"/>
      <name val="Arial"/>
      <family val="2"/>
    </font>
    <font>
      <sz val="10"/>
      <color rgb="FFFF0000"/>
      <name val="Calibri"/>
      <family val="2"/>
      <scheme val="minor"/>
    </font>
    <font>
      <sz val="16"/>
      <color rgb="FFFFFFFF"/>
      <name val="Aptos"/>
      <family val="2"/>
    </font>
    <font>
      <sz val="13"/>
      <color rgb="FFFFFFFF"/>
      <name val="Aptos"/>
      <family val="2"/>
    </font>
    <font>
      <b/>
      <sz val="13"/>
      <color theme="1"/>
      <name val="Aptos"/>
      <family val="2"/>
    </font>
    <font>
      <b/>
      <sz val="11"/>
      <color theme="1"/>
      <name val="Aptos"/>
      <family val="2"/>
    </font>
    <font>
      <b/>
      <sz val="14"/>
      <color theme="1"/>
      <name val="Calibri"/>
      <family val="2"/>
      <charset val="1"/>
    </font>
    <font>
      <b/>
      <sz val="14"/>
      <color theme="1"/>
      <name val="Calibri"/>
      <family val="2"/>
    </font>
    <font>
      <b/>
      <sz val="14"/>
      <color theme="1"/>
      <name val="Trebuchet MS"/>
      <family val="2"/>
    </font>
    <font>
      <b/>
      <sz val="14"/>
      <color theme="8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2"/>
      <name val="Aptos"/>
      <family val="2"/>
    </font>
    <font>
      <b/>
      <sz val="10"/>
      <color rgb="FFFF0000"/>
      <name val="Arial"/>
      <family val="2"/>
    </font>
    <font>
      <i/>
      <sz val="13"/>
      <color theme="1"/>
      <name val="Aptos"/>
      <family val="2"/>
    </font>
    <font>
      <b/>
      <i/>
      <sz val="13"/>
      <color theme="1"/>
      <name val="Calibri"/>
      <family val="2"/>
    </font>
    <font>
      <sz val="14"/>
      <name val="Aptos"/>
      <family val="2"/>
    </font>
    <font>
      <b/>
      <sz val="14"/>
      <name val="Aptos"/>
      <family val="2"/>
    </font>
    <font>
      <sz val="14"/>
      <color theme="1"/>
      <name val="Aptos"/>
      <family val="2"/>
    </font>
    <font>
      <b/>
      <sz val="14"/>
      <color rgb="FFFFFFFF"/>
      <name val="Aptos"/>
      <family val="2"/>
    </font>
    <font>
      <i/>
      <sz val="14"/>
      <color theme="1"/>
      <name val="Aptos"/>
      <family val="2"/>
    </font>
    <font>
      <sz val="14"/>
      <color theme="3" tint="-0.499984740745262"/>
      <name val="Aptos"/>
      <family val="2"/>
    </font>
    <font>
      <b/>
      <sz val="14"/>
      <color theme="1"/>
      <name val="Aptos"/>
      <family val="2"/>
    </font>
    <font>
      <b/>
      <sz val="14"/>
      <color theme="0"/>
      <name val="Aptos"/>
      <family val="2"/>
    </font>
    <font>
      <b/>
      <sz val="11"/>
      <color theme="1"/>
      <name val="Calibri"/>
      <family val="2"/>
      <charset val="1"/>
    </font>
    <font>
      <sz val="14"/>
      <color rgb="FFFF0000"/>
      <name val="Aptos"/>
      <family val="2"/>
    </font>
    <font>
      <b/>
      <sz val="14"/>
      <color rgb="FFFF0000"/>
      <name val="Aptos"/>
      <family val="2"/>
    </font>
  </fonts>
  <fills count="37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E2F0D9"/>
        <bgColor rgb="FFDDEBF7"/>
      </patternFill>
    </fill>
    <fill>
      <patternFill patternType="solid">
        <fgColor rgb="FFFFF2CC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rgb="FFDDEBF7"/>
      </patternFill>
    </fill>
    <fill>
      <patternFill patternType="solid">
        <fgColor theme="5" tint="0.79998168889431442"/>
        <bgColor rgb="FFDDEBF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4572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003366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rgb="FF000000"/>
      </patternFill>
    </fill>
    <fill>
      <patternFill patternType="solid">
        <fgColor theme="0" tint="-4.9989318521683403E-2"/>
        <bgColor rgb="FF003366"/>
      </patternFill>
    </fill>
    <fill>
      <patternFill patternType="solid">
        <fgColor theme="0" tint="-0.14999847407452621"/>
        <bgColor rgb="FF003366"/>
      </patternFill>
    </fill>
    <fill>
      <patternFill patternType="solid">
        <fgColor rgb="FF1F4E7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rgb="FFDDEBF7"/>
      </patternFill>
    </fill>
    <fill>
      <patternFill patternType="solid">
        <fgColor theme="6" tint="0.79998168889431442"/>
        <bgColor rgb="FFE2F0D9"/>
      </patternFill>
    </fill>
    <fill>
      <patternFill patternType="solid">
        <fgColor theme="0"/>
        <bgColor rgb="FFE2F0D9"/>
      </patternFill>
    </fill>
    <fill>
      <patternFill patternType="solid">
        <fgColor theme="5" tint="0.79998168889431442"/>
        <bgColor rgb="FFE2F0D9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rgb="FFDDEBF7"/>
      </patternFill>
    </fill>
    <fill>
      <patternFill patternType="solid">
        <fgColor theme="4" tint="0.79998168889431442"/>
        <bgColor rgb="FFE2F0D9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4" tint="0.39997558519241921"/>
      </top>
      <bottom style="thin">
        <color rgb="FFBFBFBF"/>
      </bottom>
      <diagonal/>
    </border>
  </borders>
  <cellStyleXfs count="8">
    <xf numFmtId="0" fontId="0" fillId="0" borderId="0"/>
    <xf numFmtId="0" fontId="4" fillId="0" borderId="0"/>
    <xf numFmtId="0" fontId="2" fillId="0" borderId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40" fillId="30" borderId="0" applyNumberFormat="0" applyBorder="0" applyAlignment="0" applyProtection="0"/>
    <xf numFmtId="9" fontId="9" fillId="0" borderId="0" applyFont="0" applyFill="0" applyBorder="0" applyAlignment="0" applyProtection="0"/>
    <xf numFmtId="0" fontId="1" fillId="0" borderId="0"/>
  </cellStyleXfs>
  <cellXfs count="322">
    <xf numFmtId="0" fontId="0" fillId="0" borderId="0" xfId="0"/>
    <xf numFmtId="0" fontId="4" fillId="0" borderId="0" xfId="1"/>
    <xf numFmtId="0" fontId="4" fillId="4" borderId="1" xfId="1" applyFill="1" applyBorder="1"/>
    <xf numFmtId="0" fontId="4" fillId="6" borderId="1" xfId="1" applyFill="1" applyBorder="1"/>
    <xf numFmtId="0" fontId="6" fillId="6" borderId="1" xfId="1" applyFont="1" applyFill="1" applyBorder="1"/>
    <xf numFmtId="0" fontId="4" fillId="4" borderId="1" xfId="1" applyFill="1" applyBorder="1" applyAlignment="1">
      <alignment wrapText="1"/>
    </xf>
    <xf numFmtId="0" fontId="5" fillId="5" borderId="1" xfId="1" applyFont="1" applyFill="1" applyBorder="1" applyAlignment="1">
      <alignment horizontal="center" vertical="center" wrapText="1"/>
    </xf>
    <xf numFmtId="0" fontId="5" fillId="5" borderId="1" xfId="1" applyFont="1" applyFill="1" applyBorder="1" applyAlignment="1">
      <alignment wrapText="1"/>
    </xf>
    <xf numFmtId="0" fontId="0" fillId="0" borderId="0" xfId="0" applyAlignment="1">
      <alignment horizontal="center"/>
    </xf>
    <xf numFmtId="16" fontId="4" fillId="0" borderId="0" xfId="1" applyNumberFormat="1" applyAlignment="1">
      <alignment horizontal="center" vertical="center"/>
    </xf>
    <xf numFmtId="0" fontId="4" fillId="0" borderId="0" xfId="1" applyAlignment="1">
      <alignment horizontal="center" vertical="center"/>
    </xf>
    <xf numFmtId="166" fontId="4" fillId="4" borderId="1" xfId="1" applyNumberFormat="1" applyFill="1" applyBorder="1" applyAlignment="1">
      <alignment horizontal="center" vertical="center"/>
    </xf>
    <xf numFmtId="0" fontId="3" fillId="2" borderId="0" xfId="0" applyFont="1" applyFill="1"/>
    <xf numFmtId="0" fontId="11" fillId="13" borderId="0" xfId="0" applyFont="1" applyFill="1" applyAlignment="1">
      <alignment vertical="center"/>
    </xf>
    <xf numFmtId="0" fontId="12" fillId="7" borderId="0" xfId="0" applyFont="1" applyFill="1"/>
    <xf numFmtId="43" fontId="12" fillId="0" borderId="0" xfId="3" applyFont="1"/>
    <xf numFmtId="0" fontId="12" fillId="0" borderId="0" xfId="0" applyFont="1"/>
    <xf numFmtId="0" fontId="12" fillId="0" borderId="0" xfId="0" applyFont="1" applyAlignment="1">
      <alignment vertical="center"/>
    </xf>
    <xf numFmtId="0" fontId="13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vertical="center"/>
    </xf>
    <xf numFmtId="0" fontId="14" fillId="7" borderId="0" xfId="0" applyFont="1" applyFill="1" applyAlignment="1">
      <alignment horizontal="right" vertical="center"/>
    </xf>
    <xf numFmtId="0" fontId="14" fillId="7" borderId="0" xfId="0" applyFont="1" applyFill="1" applyAlignment="1">
      <alignment vertical="center"/>
    </xf>
    <xf numFmtId="44" fontId="11" fillId="13" borderId="0" xfId="4" applyFont="1" applyFill="1" applyAlignment="1">
      <alignment vertical="center"/>
    </xf>
    <xf numFmtId="44" fontId="12" fillId="0" borderId="0" xfId="4" applyFont="1"/>
    <xf numFmtId="44" fontId="13" fillId="0" borderId="2" xfId="4" applyFont="1" applyBorder="1" applyAlignment="1">
      <alignment horizontal="center" vertical="center"/>
    </xf>
    <xf numFmtId="44" fontId="12" fillId="0" borderId="2" xfId="4" applyFont="1" applyBorder="1" applyAlignment="1">
      <alignment vertical="center"/>
    </xf>
    <xf numFmtId="0" fontId="10" fillId="20" borderId="2" xfId="0" applyFont="1" applyFill="1" applyBorder="1" applyAlignment="1">
      <alignment horizontal="center" vertical="center" wrapText="1"/>
    </xf>
    <xf numFmtId="0" fontId="11" fillId="21" borderId="0" xfId="0" applyFont="1" applyFill="1" applyAlignment="1">
      <alignment vertical="center"/>
    </xf>
    <xf numFmtId="0" fontId="14" fillId="10" borderId="0" xfId="0" applyFont="1" applyFill="1" applyAlignment="1">
      <alignment horizontal="right" vertical="center"/>
    </xf>
    <xf numFmtId="0" fontId="11" fillId="22" borderId="0" xfId="0" applyFont="1" applyFill="1" applyAlignment="1">
      <alignment vertical="center"/>
    </xf>
    <xf numFmtId="0" fontId="12" fillId="12" borderId="0" xfId="0" applyFont="1" applyFill="1"/>
    <xf numFmtId="0" fontId="14" fillId="12" borderId="0" xfId="0" applyFont="1" applyFill="1" applyAlignment="1">
      <alignment vertical="center"/>
    </xf>
    <xf numFmtId="0" fontId="14" fillId="12" borderId="0" xfId="0" applyFont="1" applyFill="1" applyAlignment="1">
      <alignment horizontal="right" vertical="center"/>
    </xf>
    <xf numFmtId="0" fontId="15" fillId="7" borderId="0" xfId="0" applyFont="1" applyFill="1" applyAlignment="1">
      <alignment vertical="center"/>
    </xf>
    <xf numFmtId="43" fontId="16" fillId="0" borderId="0" xfId="3" applyFont="1"/>
    <xf numFmtId="0" fontId="16" fillId="0" borderId="0" xfId="0" applyFont="1"/>
    <xf numFmtId="0" fontId="17" fillId="13" borderId="0" xfId="0" applyFont="1" applyFill="1" applyAlignment="1">
      <alignment vertical="center"/>
    </xf>
    <xf numFmtId="0" fontId="16" fillId="12" borderId="0" xfId="0" applyFont="1" applyFill="1"/>
    <xf numFmtId="0" fontId="16" fillId="10" borderId="0" xfId="0" applyFont="1" applyFill="1"/>
    <xf numFmtId="0" fontId="18" fillId="7" borderId="0" xfId="0" applyFont="1" applyFill="1" applyAlignment="1">
      <alignment vertical="center"/>
    </xf>
    <xf numFmtId="0" fontId="19" fillId="7" borderId="0" xfId="0" applyFont="1" applyFill="1" applyAlignment="1">
      <alignment vertical="center"/>
    </xf>
    <xf numFmtId="0" fontId="20" fillId="0" borderId="0" xfId="0" applyFont="1"/>
    <xf numFmtId="0" fontId="17" fillId="11" borderId="0" xfId="0" applyFont="1" applyFill="1" applyAlignment="1">
      <alignment horizontal="left" vertical="center"/>
    </xf>
    <xf numFmtId="0" fontId="17" fillId="11" borderId="0" xfId="0" applyFont="1" applyFill="1" applyAlignment="1">
      <alignment vertical="center"/>
    </xf>
    <xf numFmtId="0" fontId="21" fillId="7" borderId="0" xfId="0" applyFont="1" applyFill="1" applyAlignment="1">
      <alignment vertical="center"/>
    </xf>
    <xf numFmtId="43" fontId="16" fillId="7" borderId="0" xfId="3" applyFont="1" applyFill="1"/>
    <xf numFmtId="0" fontId="16" fillId="7" borderId="0" xfId="0" applyFont="1" applyFill="1"/>
    <xf numFmtId="0" fontId="17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44" fontId="17" fillId="0" borderId="0" xfId="4" applyFont="1" applyFill="1" applyAlignment="1">
      <alignment vertical="center"/>
    </xf>
    <xf numFmtId="0" fontId="16" fillId="16" borderId="0" xfId="0" applyFont="1" applyFill="1"/>
    <xf numFmtId="0" fontId="16" fillId="14" borderId="0" xfId="0" applyFont="1" applyFill="1"/>
    <xf numFmtId="0" fontId="16" fillId="15" borderId="0" xfId="0" applyFont="1" applyFill="1"/>
    <xf numFmtId="0" fontId="17" fillId="11" borderId="2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 wrapText="1"/>
    </xf>
    <xf numFmtId="0" fontId="17" fillId="18" borderId="2" xfId="0" applyFont="1" applyFill="1" applyBorder="1" applyAlignment="1">
      <alignment horizontal="center" vertical="center" wrapText="1"/>
    </xf>
    <xf numFmtId="0" fontId="17" fillId="17" borderId="2" xfId="0" applyFont="1" applyFill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164" fontId="22" fillId="0" borderId="2" xfId="0" applyNumberFormat="1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167" fontId="22" fillId="19" borderId="2" xfId="4" applyNumberFormat="1" applyFont="1" applyFill="1" applyBorder="1" applyAlignment="1">
      <alignment horizontal="center" vertical="center"/>
    </xf>
    <xf numFmtId="0" fontId="24" fillId="19" borderId="2" xfId="0" applyFont="1" applyFill="1" applyBorder="1" applyAlignment="1">
      <alignment horizontal="center" vertical="center"/>
    </xf>
    <xf numFmtId="168" fontId="24" fillId="19" borderId="2" xfId="0" applyNumberFormat="1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 wrapText="1"/>
    </xf>
    <xf numFmtId="0" fontId="17" fillId="11" borderId="5" xfId="0" applyFont="1" applyFill="1" applyBorder="1" applyAlignment="1">
      <alignment horizontal="center" vertical="center"/>
    </xf>
    <xf numFmtId="0" fontId="17" fillId="11" borderId="6" xfId="0" applyFont="1" applyFill="1" applyBorder="1" applyAlignment="1">
      <alignment horizontal="right" vertical="center"/>
    </xf>
    <xf numFmtId="1" fontId="17" fillId="11" borderId="5" xfId="0" applyNumberFormat="1" applyFont="1" applyFill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164" fontId="22" fillId="0" borderId="7" xfId="0" applyNumberFormat="1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164" fontId="22" fillId="0" borderId="7" xfId="0" applyNumberFormat="1" applyFont="1" applyBorder="1" applyAlignment="1">
      <alignment horizontal="right" vertical="center"/>
    </xf>
    <xf numFmtId="165" fontId="22" fillId="0" borderId="7" xfId="0" applyNumberFormat="1" applyFont="1" applyBorder="1" applyAlignment="1">
      <alignment horizontal="center" vertical="center"/>
    </xf>
    <xf numFmtId="167" fontId="22" fillId="0" borderId="7" xfId="4" applyNumberFormat="1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168" fontId="24" fillId="0" borderId="7" xfId="0" applyNumberFormat="1" applyFont="1" applyBorder="1" applyAlignment="1">
      <alignment horizontal="center" vertical="center"/>
    </xf>
    <xf numFmtId="0" fontId="16" fillId="0" borderId="7" xfId="0" applyFont="1" applyBorder="1" applyAlignment="1">
      <alignment vertical="center"/>
    </xf>
    <xf numFmtId="43" fontId="16" fillId="0" borderId="7" xfId="3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44" fontId="16" fillId="0" borderId="4" xfId="4" applyFont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15" fillId="7" borderId="0" xfId="0" applyFont="1" applyFill="1" applyAlignment="1">
      <alignment horizontal="right" vertical="center"/>
    </xf>
    <xf numFmtId="0" fontId="22" fillId="7" borderId="0" xfId="0" applyFont="1" applyFill="1" applyAlignment="1">
      <alignment vertical="center"/>
    </xf>
    <xf numFmtId="0" fontId="15" fillId="7" borderId="0" xfId="0" applyFont="1" applyFill="1" applyAlignment="1">
      <alignment horizontal="center" vertical="center"/>
    </xf>
    <xf numFmtId="0" fontId="15" fillId="0" borderId="0" xfId="0" applyFont="1" applyAlignment="1">
      <alignment vertical="center"/>
    </xf>
    <xf numFmtId="44" fontId="16" fillId="0" borderId="0" xfId="4" applyFont="1" applyAlignment="1"/>
    <xf numFmtId="43" fontId="17" fillId="11" borderId="2" xfId="3" applyFont="1" applyFill="1" applyBorder="1" applyAlignment="1">
      <alignment vertical="center" wrapText="1"/>
    </xf>
    <xf numFmtId="0" fontId="17" fillId="11" borderId="2" xfId="0" applyFont="1" applyFill="1" applyBorder="1" applyAlignment="1">
      <alignment vertical="center" wrapText="1"/>
    </xf>
    <xf numFmtId="44" fontId="17" fillId="11" borderId="2" xfId="4" applyFont="1" applyFill="1" applyBorder="1" applyAlignment="1">
      <alignment vertical="center" wrapText="1"/>
    </xf>
    <xf numFmtId="43" fontId="16" fillId="0" borderId="2" xfId="3" applyFont="1" applyBorder="1" applyAlignment="1">
      <alignment vertical="center"/>
    </xf>
    <xf numFmtId="0" fontId="16" fillId="0" borderId="2" xfId="0" applyFont="1" applyBorder="1" applyAlignment="1">
      <alignment vertical="center"/>
    </xf>
    <xf numFmtId="44" fontId="16" fillId="0" borderId="2" xfId="4" applyFont="1" applyBorder="1" applyAlignment="1">
      <alignment vertical="center"/>
    </xf>
    <xf numFmtId="43" fontId="17" fillId="11" borderId="5" xfId="3" applyFont="1" applyFill="1" applyBorder="1" applyAlignment="1">
      <alignment vertical="center" wrapText="1"/>
    </xf>
    <xf numFmtId="0" fontId="17" fillId="11" borderId="5" xfId="0" applyFont="1" applyFill="1" applyBorder="1" applyAlignment="1">
      <alignment vertical="center" wrapText="1"/>
    </xf>
    <xf numFmtId="44" fontId="12" fillId="0" borderId="0" xfId="4" applyFont="1" applyAlignment="1"/>
    <xf numFmtId="165" fontId="16" fillId="0" borderId="2" xfId="0" applyNumberFormat="1" applyFont="1" applyBorder="1" applyAlignment="1">
      <alignment vertical="center"/>
    </xf>
    <xf numFmtId="0" fontId="25" fillId="0" borderId="0" xfId="0" applyFont="1" applyAlignment="1">
      <alignment vertical="center"/>
    </xf>
    <xf numFmtId="0" fontId="26" fillId="0" borderId="2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/>
    </xf>
    <xf numFmtId="44" fontId="27" fillId="0" borderId="2" xfId="4" applyFont="1" applyBorder="1" applyAlignment="1">
      <alignment horizontal="center" vertical="center"/>
    </xf>
    <xf numFmtId="44" fontId="10" fillId="20" borderId="2" xfId="0" applyNumberFormat="1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left" vertical="center"/>
    </xf>
    <xf numFmtId="0" fontId="23" fillId="7" borderId="0" xfId="0" applyFont="1" applyFill="1" applyAlignment="1">
      <alignment vertical="center"/>
    </xf>
    <xf numFmtId="0" fontId="17" fillId="7" borderId="0" xfId="0" applyFont="1" applyFill="1" applyAlignment="1">
      <alignment vertical="center"/>
    </xf>
    <xf numFmtId="14" fontId="22" fillId="7" borderId="0" xfId="0" applyNumberFormat="1" applyFont="1" applyFill="1" applyAlignment="1">
      <alignment horizontal="left" vertical="center"/>
    </xf>
    <xf numFmtId="43" fontId="17" fillId="11" borderId="2" xfId="0" applyNumberFormat="1" applyFont="1" applyFill="1" applyBorder="1" applyAlignment="1">
      <alignment horizontal="center" vertical="center"/>
    </xf>
    <xf numFmtId="0" fontId="8" fillId="0" borderId="2" xfId="0" applyFont="1" applyBorder="1"/>
    <xf numFmtId="0" fontId="8" fillId="0" borderId="2" xfId="0" applyFont="1" applyBorder="1" applyAlignment="1">
      <alignment horizontal="center"/>
    </xf>
    <xf numFmtId="165" fontId="8" fillId="0" borderId="2" xfId="0" applyNumberFormat="1" applyFont="1" applyBorder="1"/>
    <xf numFmtId="14" fontId="4" fillId="0" borderId="0" xfId="1" applyNumberFormat="1"/>
    <xf numFmtId="0" fontId="4" fillId="0" borderId="0" xfId="1" applyAlignment="1">
      <alignment horizontal="center"/>
    </xf>
    <xf numFmtId="0" fontId="28" fillId="0" borderId="2" xfId="0" applyFont="1" applyBorder="1" applyAlignment="1">
      <alignment horizontal="center"/>
    </xf>
    <xf numFmtId="165" fontId="28" fillId="0" borderId="2" xfId="0" applyNumberFormat="1" applyFont="1" applyBorder="1" applyAlignment="1">
      <alignment horizontal="center"/>
    </xf>
    <xf numFmtId="0" fontId="29" fillId="5" borderId="1" xfId="1" applyFont="1" applyFill="1" applyBorder="1" applyAlignment="1">
      <alignment horizontal="center" vertical="center" wrapText="1"/>
    </xf>
    <xf numFmtId="0" fontId="5" fillId="23" borderId="8" xfId="1" applyFont="1" applyFill="1" applyBorder="1" applyAlignment="1">
      <alignment horizontal="center" vertical="center" wrapText="1"/>
    </xf>
    <xf numFmtId="0" fontId="5" fillId="23" borderId="9" xfId="1" applyFont="1" applyFill="1" applyBorder="1" applyAlignment="1">
      <alignment horizontal="center" vertical="center" wrapText="1"/>
    </xf>
    <xf numFmtId="14" fontId="30" fillId="0" borderId="0" xfId="1" applyNumberFormat="1" applyFont="1" applyAlignment="1">
      <alignment horizontal="center"/>
    </xf>
    <xf numFmtId="0" fontId="31" fillId="21" borderId="0" xfId="0" applyFont="1" applyFill="1" applyAlignment="1">
      <alignment vertical="center"/>
    </xf>
    <xf numFmtId="0" fontId="32" fillId="17" borderId="2" xfId="0" applyFont="1" applyFill="1" applyBorder="1" applyAlignment="1">
      <alignment horizontal="center" vertical="center" wrapText="1"/>
    </xf>
    <xf numFmtId="0" fontId="17" fillId="11" borderId="2" xfId="0" applyFont="1" applyFill="1" applyBorder="1" applyAlignment="1">
      <alignment horizontal="right" vertical="center"/>
    </xf>
    <xf numFmtId="1" fontId="17" fillId="11" borderId="2" xfId="0" applyNumberFormat="1" applyFont="1" applyFill="1" applyBorder="1" applyAlignment="1">
      <alignment horizontal="center" vertical="center" wrapText="1"/>
    </xf>
    <xf numFmtId="164" fontId="22" fillId="0" borderId="2" xfId="0" applyNumberFormat="1" applyFont="1" applyBorder="1" applyAlignment="1">
      <alignment horizontal="right" vertical="center"/>
    </xf>
    <xf numFmtId="165" fontId="22" fillId="0" borderId="2" xfId="0" applyNumberFormat="1" applyFont="1" applyBorder="1" applyAlignment="1">
      <alignment horizontal="center" vertical="center"/>
    </xf>
    <xf numFmtId="167" fontId="22" fillId="0" borderId="2" xfId="4" applyNumberFormat="1" applyFont="1" applyFill="1" applyBorder="1" applyAlignment="1">
      <alignment horizontal="center" vertical="center"/>
    </xf>
    <xf numFmtId="168" fontId="24" fillId="0" borderId="2" xfId="0" applyNumberFormat="1" applyFont="1" applyBorder="1" applyAlignment="1">
      <alignment horizontal="center" vertical="center"/>
    </xf>
    <xf numFmtId="44" fontId="17" fillId="7" borderId="0" xfId="4" applyFont="1" applyFill="1" applyAlignment="1">
      <alignment vertical="center"/>
    </xf>
    <xf numFmtId="169" fontId="16" fillId="0" borderId="2" xfId="0" applyNumberFormat="1" applyFont="1" applyBorder="1" applyAlignment="1">
      <alignment horizontal="center" vertical="center"/>
    </xf>
    <xf numFmtId="43" fontId="17" fillId="11" borderId="2" xfId="3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35" fillId="7" borderId="0" xfId="0" applyFont="1" applyFill="1"/>
    <xf numFmtId="0" fontId="35" fillId="27" borderId="0" xfId="0" applyFont="1" applyFill="1"/>
    <xf numFmtId="0" fontId="36" fillId="7" borderId="0" xfId="0" applyFont="1" applyFill="1" applyAlignment="1">
      <alignment horizontal="center" vertical="center"/>
    </xf>
    <xf numFmtId="0" fontId="35" fillId="7" borderId="0" xfId="0" applyFont="1" applyFill="1" applyAlignment="1">
      <alignment horizontal="center"/>
    </xf>
    <xf numFmtId="0" fontId="36" fillId="7" borderId="0" xfId="0" applyFont="1" applyFill="1" applyAlignment="1">
      <alignment horizontal="center" vertical="center" wrapText="1"/>
    </xf>
    <xf numFmtId="1" fontId="35" fillId="7" borderId="0" xfId="0" applyNumberFormat="1" applyFont="1" applyFill="1" applyAlignment="1">
      <alignment horizontal="center"/>
    </xf>
    <xf numFmtId="0" fontId="37" fillId="7" borderId="0" xfId="0" applyFont="1" applyFill="1" applyAlignment="1">
      <alignment horizontal="center" vertical="center" wrapText="1"/>
    </xf>
    <xf numFmtId="0" fontId="35" fillId="3" borderId="0" xfId="0" applyFont="1" applyFill="1"/>
    <xf numFmtId="0" fontId="35" fillId="3" borderId="0" xfId="0" applyFont="1" applyFill="1" applyAlignment="1">
      <alignment horizontal="center"/>
    </xf>
    <xf numFmtId="0" fontId="35" fillId="8" borderId="0" xfId="0" applyFont="1" applyFill="1"/>
    <xf numFmtId="0" fontId="35" fillId="8" borderId="0" xfId="0" applyFont="1" applyFill="1" applyAlignment="1">
      <alignment horizontal="center"/>
    </xf>
    <xf numFmtId="0" fontId="35" fillId="9" borderId="0" xfId="0" applyFont="1" applyFill="1"/>
    <xf numFmtId="0" fontId="35" fillId="9" borderId="0" xfId="0" applyFont="1" applyFill="1" applyAlignment="1">
      <alignment horizontal="center"/>
    </xf>
    <xf numFmtId="0" fontId="35" fillId="24" borderId="0" xfId="0" applyFont="1" applyFill="1"/>
    <xf numFmtId="0" fontId="35" fillId="25" borderId="0" xfId="0" applyFont="1" applyFill="1"/>
    <xf numFmtId="0" fontId="35" fillId="24" borderId="0" xfId="0" applyFont="1" applyFill="1" applyAlignment="1">
      <alignment horizontal="center"/>
    </xf>
    <xf numFmtId="0" fontId="35" fillId="26" borderId="0" xfId="0" applyFont="1" applyFill="1" applyAlignment="1">
      <alignment horizontal="center"/>
    </xf>
    <xf numFmtId="0" fontId="38" fillId="0" borderId="0" xfId="2" applyFont="1"/>
    <xf numFmtId="0" fontId="39" fillId="0" borderId="0" xfId="2" applyFont="1" applyAlignment="1">
      <alignment horizontal="center"/>
    </xf>
    <xf numFmtId="0" fontId="35" fillId="28" borderId="0" xfId="0" applyFont="1" applyFill="1"/>
    <xf numFmtId="0" fontId="35" fillId="28" borderId="0" xfId="0" applyFont="1" applyFill="1" applyAlignment="1">
      <alignment horizontal="center"/>
    </xf>
    <xf numFmtId="43" fontId="16" fillId="0" borderId="2" xfId="3" applyFont="1" applyFill="1" applyBorder="1" applyAlignment="1">
      <alignment vertical="center"/>
    </xf>
    <xf numFmtId="44" fontId="16" fillId="0" borderId="2" xfId="4" applyFont="1" applyFill="1" applyBorder="1" applyAlignment="1">
      <alignment vertical="center"/>
    </xf>
    <xf numFmtId="0" fontId="22" fillId="0" borderId="7" xfId="0" applyFont="1" applyBorder="1" applyAlignment="1">
      <alignment horizontal="center" vertical="center"/>
    </xf>
    <xf numFmtId="44" fontId="13" fillId="0" borderId="2" xfId="4" applyFont="1" applyFill="1" applyBorder="1" applyAlignment="1">
      <alignment horizontal="center" vertical="center"/>
    </xf>
    <xf numFmtId="0" fontId="24" fillId="29" borderId="2" xfId="0" applyFont="1" applyFill="1" applyBorder="1" applyAlignment="1">
      <alignment horizontal="center" vertical="center"/>
    </xf>
    <xf numFmtId="168" fontId="24" fillId="29" borderId="2" xfId="0" applyNumberFormat="1" applyFont="1" applyFill="1" applyBorder="1" applyAlignment="1">
      <alignment horizontal="center" vertical="center"/>
    </xf>
    <xf numFmtId="167" fontId="22" fillId="29" borderId="2" xfId="4" applyNumberFormat="1" applyFont="1" applyFill="1" applyBorder="1" applyAlignment="1">
      <alignment horizontal="center" vertical="center"/>
    </xf>
    <xf numFmtId="0" fontId="41" fillId="31" borderId="2" xfId="5" applyFont="1" applyFill="1" applyBorder="1" applyAlignment="1">
      <alignment horizontal="center" vertical="center" wrapText="1"/>
    </xf>
    <xf numFmtId="0" fontId="41" fillId="31" borderId="2" xfId="5" applyFont="1" applyFill="1" applyBorder="1" applyAlignment="1">
      <alignment horizontal="center" vertical="center"/>
    </xf>
    <xf numFmtId="0" fontId="40" fillId="31" borderId="2" xfId="5" applyFill="1" applyBorder="1" applyAlignment="1">
      <alignment horizontal="center" vertical="center"/>
    </xf>
    <xf numFmtId="0" fontId="42" fillId="31" borderId="2" xfId="5" applyFont="1" applyFill="1" applyBorder="1" applyAlignment="1">
      <alignment horizontal="center" vertical="center"/>
    </xf>
    <xf numFmtId="2" fontId="42" fillId="31" borderId="2" xfId="5" applyNumberFormat="1" applyFont="1" applyFill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43" fillId="7" borderId="0" xfId="0" applyFont="1" applyFill="1" applyAlignment="1">
      <alignment vertical="center"/>
    </xf>
    <xf numFmtId="169" fontId="24" fillId="29" borderId="2" xfId="0" applyNumberFormat="1" applyFont="1" applyFill="1" applyBorder="1" applyAlignment="1">
      <alignment horizontal="center" vertical="center"/>
    </xf>
    <xf numFmtId="16" fontId="30" fillId="0" borderId="0" xfId="1" applyNumberFormat="1" applyFont="1" applyAlignment="1">
      <alignment horizontal="center" vertical="center"/>
    </xf>
    <xf numFmtId="166" fontId="30" fillId="4" borderId="1" xfId="1" applyNumberFormat="1" applyFont="1" applyFill="1" applyBorder="1" applyAlignment="1">
      <alignment horizontal="center" vertical="center"/>
    </xf>
    <xf numFmtId="0" fontId="30" fillId="0" borderId="0" xfId="1" applyFont="1" applyAlignment="1">
      <alignment horizontal="center" vertical="center"/>
    </xf>
    <xf numFmtId="0" fontId="44" fillId="16" borderId="1" xfId="1" applyFont="1" applyFill="1" applyBorder="1" applyAlignment="1">
      <alignment horizontal="center" vertical="center" wrapText="1"/>
    </xf>
    <xf numFmtId="14" fontId="30" fillId="0" borderId="0" xfId="1" applyNumberFormat="1" applyFont="1"/>
    <xf numFmtId="44" fontId="34" fillId="0" borderId="0" xfId="4" applyFont="1"/>
    <xf numFmtId="44" fontId="34" fillId="0" borderId="2" xfId="4" applyFont="1" applyBorder="1" applyAlignment="1">
      <alignment vertical="center"/>
    </xf>
    <xf numFmtId="0" fontId="4" fillId="32" borderId="1" xfId="1" applyFill="1" applyBorder="1"/>
    <xf numFmtId="0" fontId="4" fillId="32" borderId="1" xfId="1" applyFill="1" applyBorder="1" applyAlignment="1">
      <alignment wrapText="1"/>
    </xf>
    <xf numFmtId="166" fontId="30" fillId="32" borderId="1" xfId="1" applyNumberFormat="1" applyFont="1" applyFill="1" applyBorder="1" applyAlignment="1">
      <alignment horizontal="center" vertical="center"/>
    </xf>
    <xf numFmtId="166" fontId="4" fillId="32" borderId="1" xfId="1" applyNumberFormat="1" applyFill="1" applyBorder="1" applyAlignment="1">
      <alignment horizontal="center" vertical="center"/>
    </xf>
    <xf numFmtId="0" fontId="6" fillId="32" borderId="1" xfId="1" applyFont="1" applyFill="1" applyBorder="1"/>
    <xf numFmtId="0" fontId="4" fillId="32" borderId="0" xfId="1" applyFill="1"/>
    <xf numFmtId="0" fontId="4" fillId="16" borderId="1" xfId="1" applyFill="1" applyBorder="1"/>
    <xf numFmtId="0" fontId="4" fillId="16" borderId="1" xfId="1" applyFill="1" applyBorder="1" applyAlignment="1">
      <alignment wrapText="1"/>
    </xf>
    <xf numFmtId="166" fontId="30" fillId="16" borderId="1" xfId="1" applyNumberFormat="1" applyFont="1" applyFill="1" applyBorder="1" applyAlignment="1">
      <alignment horizontal="center" vertical="center"/>
    </xf>
    <xf numFmtId="166" fontId="4" fillId="16" borderId="1" xfId="1" applyNumberFormat="1" applyFill="1" applyBorder="1" applyAlignment="1">
      <alignment horizontal="center" vertical="center"/>
    </xf>
    <xf numFmtId="0" fontId="6" fillId="16" borderId="1" xfId="1" applyFont="1" applyFill="1" applyBorder="1"/>
    <xf numFmtId="0" fontId="4" fillId="16" borderId="0" xfId="1" applyFill="1"/>
    <xf numFmtId="0" fontId="45" fillId="7" borderId="0" xfId="0" applyFont="1" applyFill="1"/>
    <xf numFmtId="0" fontId="46" fillId="0" borderId="0" xfId="0" applyFont="1"/>
    <xf numFmtId="0" fontId="47" fillId="7" borderId="0" xfId="0" applyFont="1" applyFill="1" applyAlignment="1">
      <alignment vertical="center"/>
    </xf>
    <xf numFmtId="0" fontId="48" fillId="7" borderId="0" xfId="0" applyFont="1" applyFill="1" applyAlignment="1">
      <alignment horizontal="center" vertical="center"/>
    </xf>
    <xf numFmtId="0" fontId="39" fillId="7" borderId="0" xfId="0" applyFont="1" applyFill="1" applyAlignment="1">
      <alignment vertical="center"/>
    </xf>
    <xf numFmtId="0" fontId="49" fillId="7" borderId="0" xfId="0" applyFont="1" applyFill="1"/>
    <xf numFmtId="0" fontId="50" fillId="7" borderId="0" xfId="0" applyFont="1" applyFill="1" applyAlignment="1">
      <alignment vertical="center"/>
    </xf>
    <xf numFmtId="14" fontId="47" fillId="7" borderId="0" xfId="0" applyNumberFormat="1" applyFont="1" applyFill="1" applyAlignment="1">
      <alignment horizontal="left" vertical="center"/>
    </xf>
    <xf numFmtId="0" fontId="47" fillId="0" borderId="2" xfId="0" applyFont="1" applyBorder="1" applyAlignment="1">
      <alignment horizontal="center" vertical="center"/>
    </xf>
    <xf numFmtId="164" fontId="47" fillId="0" borderId="2" xfId="0" applyNumberFormat="1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1" fontId="47" fillId="0" borderId="2" xfId="0" applyNumberFormat="1" applyFont="1" applyBorder="1" applyAlignment="1">
      <alignment horizontal="center" vertical="center"/>
    </xf>
    <xf numFmtId="0" fontId="52" fillId="29" borderId="2" xfId="0" applyFont="1" applyFill="1" applyBorder="1" applyAlignment="1">
      <alignment horizontal="center" vertical="center"/>
    </xf>
    <xf numFmtId="168" fontId="52" fillId="29" borderId="2" xfId="0" applyNumberFormat="1" applyFont="1" applyFill="1" applyBorder="1" applyAlignment="1">
      <alignment horizontal="center" vertical="center"/>
    </xf>
    <xf numFmtId="0" fontId="52" fillId="12" borderId="2" xfId="0" applyFont="1" applyFill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43" fontId="49" fillId="0" borderId="2" xfId="3" applyFont="1" applyBorder="1" applyAlignment="1">
      <alignment vertical="center"/>
    </xf>
    <xf numFmtId="165" fontId="49" fillId="0" borderId="2" xfId="0" applyNumberFormat="1" applyFont="1" applyBorder="1" applyAlignment="1">
      <alignment vertical="center"/>
    </xf>
    <xf numFmtId="44" fontId="49" fillId="0" borderId="2" xfId="4" applyFont="1" applyBorder="1" applyAlignment="1">
      <alignment vertical="center"/>
    </xf>
    <xf numFmtId="0" fontId="53" fillId="0" borderId="2" xfId="0" applyFont="1" applyBorder="1" applyAlignment="1">
      <alignment horizontal="center" vertical="center"/>
    </xf>
    <xf numFmtId="44" fontId="53" fillId="0" borderId="2" xfId="4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0" fillId="11" borderId="2" xfId="0" applyFont="1" applyFill="1" applyBorder="1" applyAlignment="1">
      <alignment horizontal="center" vertical="center"/>
    </xf>
    <xf numFmtId="0" fontId="50" fillId="11" borderId="2" xfId="0" applyFont="1" applyFill="1" applyBorder="1" applyAlignment="1">
      <alignment horizontal="center" vertical="center" wrapText="1"/>
    </xf>
    <xf numFmtId="0" fontId="50" fillId="11" borderId="2" xfId="0" applyFont="1" applyFill="1" applyBorder="1" applyAlignment="1">
      <alignment horizontal="right" vertical="center"/>
    </xf>
    <xf numFmtId="1" fontId="50" fillId="11" borderId="2" xfId="0" applyNumberFormat="1" applyFont="1" applyFill="1" applyBorder="1" applyAlignment="1">
      <alignment horizontal="center" vertical="center" wrapText="1"/>
    </xf>
    <xf numFmtId="0" fontId="50" fillId="18" borderId="2" xfId="0" applyFont="1" applyFill="1" applyBorder="1" applyAlignment="1">
      <alignment horizontal="center" vertical="center" wrapText="1"/>
    </xf>
    <xf numFmtId="0" fontId="50" fillId="17" borderId="2" xfId="0" applyFont="1" applyFill="1" applyBorder="1" applyAlignment="1">
      <alignment horizontal="center" vertical="center" wrapText="1"/>
    </xf>
    <xf numFmtId="43" fontId="50" fillId="11" borderId="2" xfId="3" applyFont="1" applyFill="1" applyBorder="1" applyAlignment="1">
      <alignment vertical="center" wrapText="1"/>
    </xf>
    <xf numFmtId="0" fontId="50" fillId="11" borderId="2" xfId="0" applyFont="1" applyFill="1" applyBorder="1" applyAlignment="1">
      <alignment vertical="center" wrapText="1"/>
    </xf>
    <xf numFmtId="44" fontId="50" fillId="11" borderId="2" xfId="4" applyFont="1" applyFill="1" applyBorder="1" applyAlignment="1">
      <alignment vertical="center" wrapText="1"/>
    </xf>
    <xf numFmtId="164" fontId="47" fillId="0" borderId="2" xfId="0" applyNumberFormat="1" applyFont="1" applyBorder="1" applyAlignment="1">
      <alignment horizontal="right" vertical="center"/>
    </xf>
    <xf numFmtId="165" fontId="47" fillId="0" borderId="2" xfId="0" applyNumberFormat="1" applyFont="1" applyBorder="1" applyAlignment="1">
      <alignment horizontal="center" vertical="center"/>
    </xf>
    <xf numFmtId="168" fontId="52" fillId="0" borderId="2" xfId="0" applyNumberFormat="1" applyFont="1" applyBorder="1" applyAlignment="1">
      <alignment horizontal="center" vertical="center"/>
    </xf>
    <xf numFmtId="0" fontId="49" fillId="0" borderId="2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7" fillId="0" borderId="0" xfId="0" applyFont="1" applyAlignment="1">
      <alignment horizontal="center" vertical="center"/>
    </xf>
    <xf numFmtId="0" fontId="48" fillId="7" borderId="0" xfId="0" applyFont="1" applyFill="1" applyAlignment="1">
      <alignment horizontal="right" vertical="center"/>
    </xf>
    <xf numFmtId="0" fontId="49" fillId="0" borderId="0" xfId="0" applyFont="1"/>
    <xf numFmtId="44" fontId="49" fillId="0" borderId="0" xfId="4" applyFont="1" applyAlignment="1"/>
    <xf numFmtId="44" fontId="49" fillId="0" borderId="0" xfId="4" applyFont="1"/>
    <xf numFmtId="0" fontId="50" fillId="11" borderId="0" xfId="0" applyFont="1" applyFill="1" applyAlignment="1">
      <alignment vertical="center"/>
    </xf>
    <xf numFmtId="0" fontId="50" fillId="13" borderId="0" xfId="0" applyFont="1" applyFill="1" applyAlignment="1">
      <alignment vertical="center"/>
    </xf>
    <xf numFmtId="44" fontId="50" fillId="13" borderId="0" xfId="4" applyFont="1" applyFill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50" fillId="11" borderId="0" xfId="0" applyFont="1" applyFill="1" applyAlignment="1">
      <alignment horizontal="left" vertical="center"/>
    </xf>
    <xf numFmtId="44" fontId="50" fillId="7" borderId="0" xfId="4" applyFont="1" applyFill="1" applyAlignment="1">
      <alignment vertical="center"/>
    </xf>
    <xf numFmtId="44" fontId="49" fillId="0" borderId="2" xfId="4" applyFont="1" applyBorder="1" applyAlignment="1">
      <alignment horizontal="center" vertical="center"/>
    </xf>
    <xf numFmtId="166" fontId="30" fillId="33" borderId="1" xfId="1" applyNumberFormat="1" applyFont="1" applyFill="1" applyBorder="1" applyAlignment="1">
      <alignment horizontal="center" vertical="center"/>
    </xf>
    <xf numFmtId="165" fontId="6" fillId="6" borderId="1" xfId="1" applyNumberFormat="1" applyFont="1" applyFill="1" applyBorder="1"/>
    <xf numFmtId="165" fontId="6" fillId="16" borderId="1" xfId="1" applyNumberFormat="1" applyFont="1" applyFill="1" applyBorder="1"/>
    <xf numFmtId="165" fontId="6" fillId="32" borderId="1" xfId="1" applyNumberFormat="1" applyFont="1" applyFill="1" applyBorder="1"/>
    <xf numFmtId="44" fontId="27" fillId="0" borderId="2" xfId="4" applyFont="1" applyFill="1" applyBorder="1" applyAlignment="1">
      <alignment horizontal="center" vertical="center"/>
    </xf>
    <xf numFmtId="0" fontId="33" fillId="0" borderId="2" xfId="0" applyFont="1" applyBorder="1" applyAlignment="1">
      <alignment horizontal="left" vertical="center"/>
    </xf>
    <xf numFmtId="43" fontId="11" fillId="22" borderId="0" xfId="3" applyFont="1" applyFill="1" applyAlignment="1">
      <alignment vertical="center"/>
    </xf>
    <xf numFmtId="43" fontId="12" fillId="12" borderId="0" xfId="3" applyFont="1" applyFill="1"/>
    <xf numFmtId="43" fontId="16" fillId="12" borderId="0" xfId="3" applyFont="1" applyFill="1"/>
    <xf numFmtId="43" fontId="50" fillId="18" borderId="2" xfId="3" applyFont="1" applyFill="1" applyBorder="1" applyAlignment="1">
      <alignment horizontal="center" vertical="center" wrapText="1"/>
    </xf>
    <xf numFmtId="43" fontId="47" fillId="29" borderId="2" xfId="3" applyFont="1" applyFill="1" applyBorder="1" applyAlignment="1">
      <alignment horizontal="center" vertical="center"/>
    </xf>
    <xf numFmtId="43" fontId="47" fillId="0" borderId="2" xfId="3" applyFont="1" applyFill="1" applyBorder="1" applyAlignment="1">
      <alignment horizontal="center" vertical="center"/>
    </xf>
    <xf numFmtId="43" fontId="48" fillId="7" borderId="0" xfId="3" applyFont="1" applyFill="1" applyAlignment="1">
      <alignment horizontal="right" vertical="center"/>
    </xf>
    <xf numFmtId="43" fontId="15" fillId="7" borderId="0" xfId="3" applyFont="1" applyFill="1" applyAlignment="1">
      <alignment horizontal="right" vertical="center"/>
    </xf>
    <xf numFmtId="0" fontId="42" fillId="31" borderId="0" xfId="5" applyFont="1" applyFill="1" applyBorder="1" applyAlignment="1">
      <alignment horizontal="center" vertical="center"/>
    </xf>
    <xf numFmtId="0" fontId="40" fillId="31" borderId="0" xfId="5" applyFill="1" applyBorder="1" applyAlignment="1">
      <alignment horizontal="center" vertical="center"/>
    </xf>
    <xf numFmtId="2" fontId="42" fillId="31" borderId="0" xfId="5" applyNumberFormat="1" applyFont="1" applyFill="1" applyBorder="1" applyAlignment="1">
      <alignment horizontal="center" vertical="center"/>
    </xf>
    <xf numFmtId="164" fontId="33" fillId="0" borderId="2" xfId="0" applyNumberFormat="1" applyFont="1" applyBorder="1" applyAlignment="1">
      <alignment horizontal="left" vertical="center"/>
    </xf>
    <xf numFmtId="169" fontId="24" fillId="19" borderId="2" xfId="0" applyNumberFormat="1" applyFont="1" applyFill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0" fontId="54" fillId="17" borderId="2" xfId="0" applyFont="1" applyFill="1" applyBorder="1" applyAlignment="1">
      <alignment horizontal="center" vertical="center" wrapText="1"/>
    </xf>
    <xf numFmtId="164" fontId="47" fillId="0" borderId="2" xfId="0" applyNumberFormat="1" applyFont="1" applyBorder="1" applyAlignment="1">
      <alignment horizontal="center" vertical="center" wrapText="1"/>
    </xf>
    <xf numFmtId="169" fontId="11" fillId="22" borderId="0" xfId="0" applyNumberFormat="1" applyFont="1" applyFill="1" applyAlignment="1">
      <alignment vertical="center"/>
    </xf>
    <xf numFmtId="169" fontId="16" fillId="12" borderId="0" xfId="0" applyNumberFormat="1" applyFont="1" applyFill="1"/>
    <xf numFmtId="169" fontId="16" fillId="16" borderId="0" xfId="0" applyNumberFormat="1" applyFont="1" applyFill="1"/>
    <xf numFmtId="169" fontId="50" fillId="18" borderId="2" xfId="0" applyNumberFormat="1" applyFont="1" applyFill="1" applyBorder="1" applyAlignment="1">
      <alignment horizontal="center" vertical="center" wrapText="1"/>
    </xf>
    <xf numFmtId="169" fontId="52" fillId="29" borderId="2" xfId="0" applyNumberFormat="1" applyFont="1" applyFill="1" applyBorder="1" applyAlignment="1">
      <alignment horizontal="center" vertical="center"/>
    </xf>
    <xf numFmtId="169" fontId="52" fillId="0" borderId="2" xfId="0" applyNumberFormat="1" applyFont="1" applyBorder="1" applyAlignment="1">
      <alignment horizontal="center" vertical="center"/>
    </xf>
    <xf numFmtId="169" fontId="49" fillId="0" borderId="0" xfId="0" applyNumberFormat="1" applyFont="1"/>
    <xf numFmtId="169" fontId="16" fillId="0" borderId="0" xfId="0" applyNumberFormat="1" applyFont="1"/>
    <xf numFmtId="169" fontId="12" fillId="0" borderId="0" xfId="0" applyNumberFormat="1" applyFont="1"/>
    <xf numFmtId="0" fontId="47" fillId="31" borderId="2" xfId="0" applyFont="1" applyFill="1" applyBorder="1" applyAlignment="1">
      <alignment horizontal="center" vertical="center"/>
    </xf>
    <xf numFmtId="164" fontId="47" fillId="31" borderId="2" xfId="0" applyNumberFormat="1" applyFont="1" applyFill="1" applyBorder="1" applyAlignment="1">
      <alignment horizontal="center" vertical="center" wrapText="1"/>
    </xf>
    <xf numFmtId="164" fontId="47" fillId="31" borderId="2" xfId="0" applyNumberFormat="1" applyFont="1" applyFill="1" applyBorder="1" applyAlignment="1">
      <alignment horizontal="center" vertical="center"/>
    </xf>
    <xf numFmtId="0" fontId="49" fillId="31" borderId="2" xfId="0" applyFont="1" applyFill="1" applyBorder="1" applyAlignment="1">
      <alignment horizontal="center" vertical="center"/>
    </xf>
    <xf numFmtId="0" fontId="48" fillId="31" borderId="2" xfId="0" applyFont="1" applyFill="1" applyBorder="1" applyAlignment="1">
      <alignment horizontal="center" vertical="center"/>
    </xf>
    <xf numFmtId="1" fontId="47" fillId="31" borderId="2" xfId="0" applyNumberFormat="1" applyFont="1" applyFill="1" applyBorder="1" applyAlignment="1">
      <alignment horizontal="center" vertical="center"/>
    </xf>
    <xf numFmtId="43" fontId="47" fillId="31" borderId="2" xfId="3" applyFont="1" applyFill="1" applyBorder="1" applyAlignment="1">
      <alignment horizontal="center" vertical="center"/>
    </xf>
    <xf numFmtId="0" fontId="52" fillId="31" borderId="2" xfId="0" applyFont="1" applyFill="1" applyBorder="1" applyAlignment="1">
      <alignment horizontal="center" vertical="center"/>
    </xf>
    <xf numFmtId="169" fontId="52" fillId="31" borderId="2" xfId="0" applyNumberFormat="1" applyFont="1" applyFill="1" applyBorder="1" applyAlignment="1">
      <alignment horizontal="center" vertical="center"/>
    </xf>
    <xf numFmtId="168" fontId="52" fillId="31" borderId="2" xfId="0" applyNumberFormat="1" applyFont="1" applyFill="1" applyBorder="1" applyAlignment="1">
      <alignment horizontal="center" vertical="center"/>
    </xf>
    <xf numFmtId="43" fontId="49" fillId="31" borderId="2" xfId="3" applyFont="1" applyFill="1" applyBorder="1" applyAlignment="1">
      <alignment vertical="center"/>
    </xf>
    <xf numFmtId="165" fontId="49" fillId="31" borderId="2" xfId="0" applyNumberFormat="1" applyFont="1" applyFill="1" applyBorder="1" applyAlignment="1">
      <alignment vertical="center"/>
    </xf>
    <xf numFmtId="44" fontId="49" fillId="31" borderId="2" xfId="4" applyFont="1" applyFill="1" applyBorder="1" applyAlignment="1">
      <alignment vertical="center"/>
    </xf>
    <xf numFmtId="44" fontId="49" fillId="31" borderId="2" xfId="4" applyFont="1" applyFill="1" applyBorder="1" applyAlignment="1">
      <alignment horizontal="center" vertical="center"/>
    </xf>
    <xf numFmtId="0" fontId="49" fillId="31" borderId="0" xfId="0" applyFont="1" applyFill="1" applyAlignment="1">
      <alignment vertical="center"/>
    </xf>
    <xf numFmtId="43" fontId="47" fillId="29" borderId="2" xfId="3" applyFont="1" applyFill="1" applyBorder="1" applyAlignment="1">
      <alignment horizontal="center" vertical="center" wrapText="1"/>
    </xf>
    <xf numFmtId="0" fontId="35" fillId="34" borderId="0" xfId="0" applyFont="1" applyFill="1"/>
    <xf numFmtId="0" fontId="21" fillId="29" borderId="0" xfId="0" applyFont="1" applyFill="1" applyAlignment="1">
      <alignment vertical="center"/>
    </xf>
    <xf numFmtId="0" fontId="0" fillId="29" borderId="0" xfId="0" applyFill="1"/>
    <xf numFmtId="0" fontId="35" fillId="29" borderId="0" xfId="0" applyFont="1" applyFill="1" applyAlignment="1">
      <alignment horizontal="center"/>
    </xf>
    <xf numFmtId="0" fontId="35" fillId="35" borderId="0" xfId="0" applyFont="1" applyFill="1" applyAlignment="1">
      <alignment horizontal="center"/>
    </xf>
    <xf numFmtId="44" fontId="17" fillId="11" borderId="2" xfId="4" applyFont="1" applyFill="1" applyBorder="1" applyAlignment="1">
      <alignment horizontal="center" vertical="center" wrapText="1"/>
    </xf>
    <xf numFmtId="9" fontId="30" fillId="33" borderId="1" xfId="6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64" fontId="24" fillId="29" borderId="2" xfId="0" applyNumberFormat="1" applyFont="1" applyFill="1" applyBorder="1" applyAlignment="1">
      <alignment horizontal="center" vertical="center"/>
    </xf>
    <xf numFmtId="16" fontId="47" fillId="0" borderId="2" xfId="0" applyNumberFormat="1" applyFont="1" applyBorder="1" applyAlignment="1">
      <alignment horizontal="center" vertical="center"/>
    </xf>
    <xf numFmtId="0" fontId="56" fillId="0" borderId="2" xfId="0" applyFont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/>
    </xf>
    <xf numFmtId="0" fontId="57" fillId="0" borderId="2" xfId="0" applyFont="1" applyBorder="1" applyAlignment="1">
      <alignment horizontal="center" vertical="center"/>
    </xf>
    <xf numFmtId="1" fontId="56" fillId="0" borderId="2" xfId="0" applyNumberFormat="1" applyFont="1" applyBorder="1" applyAlignment="1">
      <alignment horizontal="center" vertical="center"/>
    </xf>
    <xf numFmtId="43" fontId="56" fillId="29" borderId="2" xfId="3" applyFont="1" applyFill="1" applyBorder="1" applyAlignment="1">
      <alignment horizontal="center" vertical="center"/>
    </xf>
    <xf numFmtId="0" fontId="56" fillId="29" borderId="2" xfId="0" applyFont="1" applyFill="1" applyBorder="1" applyAlignment="1">
      <alignment horizontal="center" vertical="center"/>
    </xf>
    <xf numFmtId="169" fontId="56" fillId="29" borderId="2" xfId="0" applyNumberFormat="1" applyFont="1" applyFill="1" applyBorder="1" applyAlignment="1">
      <alignment horizontal="center" vertical="center"/>
    </xf>
    <xf numFmtId="168" fontId="56" fillId="29" borderId="2" xfId="0" applyNumberFormat="1" applyFont="1" applyFill="1" applyBorder="1" applyAlignment="1">
      <alignment horizontal="center" vertical="center"/>
    </xf>
    <xf numFmtId="0" fontId="56" fillId="12" borderId="2" xfId="0" applyFont="1" applyFill="1" applyBorder="1" applyAlignment="1">
      <alignment horizontal="center" vertical="center"/>
    </xf>
    <xf numFmtId="43" fontId="56" fillId="0" borderId="2" xfId="3" applyFont="1" applyBorder="1" applyAlignment="1">
      <alignment vertical="center"/>
    </xf>
    <xf numFmtId="165" fontId="56" fillId="0" borderId="2" xfId="0" applyNumberFormat="1" applyFont="1" applyBorder="1" applyAlignment="1">
      <alignment vertical="center"/>
    </xf>
    <xf numFmtId="44" fontId="56" fillId="0" borderId="2" xfId="4" applyFont="1" applyBorder="1" applyAlignment="1">
      <alignment vertical="center"/>
    </xf>
    <xf numFmtId="44" fontId="57" fillId="0" borderId="2" xfId="4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166" fontId="30" fillId="36" borderId="1" xfId="1" applyNumberFormat="1" applyFont="1" applyFill="1" applyBorder="1" applyAlignment="1">
      <alignment horizontal="center" vertical="center"/>
    </xf>
    <xf numFmtId="43" fontId="49" fillId="0" borderId="2" xfId="3" applyFont="1" applyFill="1" applyBorder="1" applyAlignment="1">
      <alignment vertical="center"/>
    </xf>
    <xf numFmtId="44" fontId="49" fillId="0" borderId="2" xfId="4" applyFont="1" applyFill="1" applyBorder="1" applyAlignment="1">
      <alignment vertical="center"/>
    </xf>
    <xf numFmtId="44" fontId="53" fillId="0" borderId="2" xfId="4" applyFont="1" applyFill="1" applyBorder="1" applyAlignment="1">
      <alignment horizontal="center" vertical="center"/>
    </xf>
    <xf numFmtId="0" fontId="50" fillId="11" borderId="0" xfId="0" applyFont="1" applyFill="1" applyAlignment="1">
      <alignment horizontal="left" vertical="center"/>
    </xf>
    <xf numFmtId="0" fontId="17" fillId="11" borderId="0" xfId="0" applyFont="1" applyFill="1" applyAlignment="1">
      <alignment horizontal="left" vertical="center"/>
    </xf>
    <xf numFmtId="0" fontId="47" fillId="0" borderId="0" xfId="0" applyFont="1" applyAlignment="1">
      <alignment vertical="center"/>
    </xf>
    <xf numFmtId="0" fontId="22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22" fillId="7" borderId="0" xfId="0" applyFont="1" applyFill="1" applyAlignment="1">
      <alignment vertical="center"/>
    </xf>
    <xf numFmtId="0" fontId="22" fillId="0" borderId="0" xfId="0" applyFont="1" applyAlignment="1">
      <alignment vertical="center"/>
    </xf>
  </cellXfs>
  <cellStyles count="8">
    <cellStyle name="Comma" xfId="3" builtinId="3"/>
    <cellStyle name="Currency" xfId="4" builtinId="4"/>
    <cellStyle name="Neutral" xfId="5" builtinId="28"/>
    <cellStyle name="Normal" xfId="0" builtinId="0"/>
    <cellStyle name="Normal 2" xfId="1" xr:uid="{ABFEF822-30BC-4B65-B3B0-D493A75AFCC3}"/>
    <cellStyle name="Normal 3" xfId="7" xr:uid="{9675CCA8-379B-4566-8091-9268B54AC043}"/>
    <cellStyle name="Normal 5" xfId="2" xr:uid="{A8E92A9A-AF9B-4C83-87A3-77091ACC3838}"/>
    <cellStyle name="Percent" xfId="6" builtinId="5"/>
  </cellStyles>
  <dxfs count="54">
    <dxf>
      <font>
        <color rgb="FFFF0000"/>
      </font>
      <fill>
        <patternFill patternType="solid">
          <fgColor rgb="FFFEF2CB"/>
          <bgColor rgb="FFFEF2CB"/>
        </patternFill>
      </fill>
    </dxf>
    <dxf>
      <font>
        <color rgb="FFFFFF00"/>
      </font>
      <fill>
        <patternFill patternType="solid">
          <fgColor rgb="FFC00000"/>
          <bgColor rgb="FFC00000"/>
        </patternFill>
      </fill>
    </dxf>
    <dxf>
      <font>
        <color rgb="FFFFFF00"/>
      </font>
      <fill>
        <patternFill patternType="solid">
          <fgColor rgb="FF7030A0"/>
          <bgColor rgb="FF7030A0"/>
        </patternFill>
      </fill>
    </dxf>
    <dxf>
      <font>
        <color rgb="FF002A7E"/>
      </font>
      <fill>
        <patternFill patternType="solid">
          <fgColor rgb="FF92D050"/>
          <bgColor rgb="FF92D050"/>
        </patternFill>
      </fill>
    </dxf>
    <dxf>
      <font>
        <color theme="1"/>
      </font>
      <fill>
        <patternFill patternType="solid">
          <fgColor rgb="FF00B0F0"/>
          <bgColor rgb="FF00B0F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EF2CB"/>
          <bgColor rgb="FFFEF2CB"/>
        </patternFill>
      </fill>
    </dxf>
    <dxf>
      <font>
        <color rgb="FFFFFF00"/>
      </font>
      <fill>
        <patternFill patternType="solid">
          <fgColor rgb="FFC00000"/>
          <bgColor rgb="FFC00000"/>
        </patternFill>
      </fill>
    </dxf>
    <dxf>
      <font>
        <color rgb="FFFFFF00"/>
      </font>
      <fill>
        <patternFill patternType="solid">
          <fgColor rgb="FF7030A0"/>
          <bgColor rgb="FF7030A0"/>
        </patternFill>
      </fill>
    </dxf>
    <dxf>
      <font>
        <color rgb="FF002A7E"/>
      </font>
      <fill>
        <patternFill patternType="solid">
          <fgColor rgb="FF92D050"/>
          <bgColor rgb="FF92D050"/>
        </patternFill>
      </fill>
    </dxf>
    <dxf>
      <font>
        <color theme="1"/>
      </font>
      <fill>
        <patternFill patternType="solid">
          <fgColor rgb="FF00B0F0"/>
          <bgColor rgb="FF00B0F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EF2CB"/>
          <bgColor rgb="FFFEF2CB"/>
        </patternFill>
      </fill>
    </dxf>
    <dxf>
      <font>
        <color rgb="FFFFFF00"/>
      </font>
      <fill>
        <patternFill patternType="solid">
          <fgColor rgb="FFC00000"/>
          <bgColor rgb="FFC00000"/>
        </patternFill>
      </fill>
    </dxf>
    <dxf>
      <font>
        <color rgb="FFFFFF00"/>
      </font>
      <fill>
        <patternFill patternType="solid">
          <fgColor rgb="FF7030A0"/>
          <bgColor rgb="FF7030A0"/>
        </patternFill>
      </fill>
    </dxf>
    <dxf>
      <font>
        <color rgb="FF002A7E"/>
      </font>
      <fill>
        <patternFill patternType="solid">
          <fgColor rgb="FF92D050"/>
          <bgColor rgb="FF92D050"/>
        </patternFill>
      </fill>
    </dxf>
    <dxf>
      <font>
        <color theme="1"/>
      </font>
      <fill>
        <patternFill patternType="solid">
          <fgColor rgb="FF00B0F0"/>
          <bgColor rgb="FF00B0F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EF2CB"/>
          <bgColor rgb="FFFEF2CB"/>
        </patternFill>
      </fill>
    </dxf>
    <dxf>
      <font>
        <color rgb="FFFFFF00"/>
      </font>
      <fill>
        <patternFill patternType="solid">
          <fgColor rgb="FFC00000"/>
          <bgColor rgb="FFC00000"/>
        </patternFill>
      </fill>
    </dxf>
    <dxf>
      <font>
        <color rgb="FFFFFF00"/>
      </font>
      <fill>
        <patternFill patternType="solid">
          <fgColor rgb="FF7030A0"/>
          <bgColor rgb="FF7030A0"/>
        </patternFill>
      </fill>
    </dxf>
    <dxf>
      <font>
        <color rgb="FF002A7E"/>
      </font>
      <fill>
        <patternFill patternType="solid">
          <fgColor rgb="FF92D050"/>
          <bgColor rgb="FF92D050"/>
        </patternFill>
      </fill>
    </dxf>
    <dxf>
      <font>
        <color theme="1"/>
      </font>
      <fill>
        <patternFill patternType="solid">
          <fgColor rgb="FF00B0F0"/>
          <bgColor rgb="FF00B0F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EF2CB"/>
          <bgColor rgb="FFFEF2CB"/>
        </patternFill>
      </fill>
    </dxf>
    <dxf>
      <font>
        <color rgb="FFFFFF00"/>
      </font>
      <fill>
        <patternFill patternType="solid">
          <fgColor rgb="FFC00000"/>
          <bgColor rgb="FFC00000"/>
        </patternFill>
      </fill>
    </dxf>
    <dxf>
      <font>
        <color rgb="FFFFFF00"/>
      </font>
      <fill>
        <patternFill patternType="solid">
          <fgColor rgb="FF7030A0"/>
          <bgColor rgb="FF7030A0"/>
        </patternFill>
      </fill>
    </dxf>
    <dxf>
      <font>
        <color rgb="FF002A7E"/>
      </font>
      <fill>
        <patternFill patternType="solid">
          <fgColor rgb="FF92D050"/>
          <bgColor rgb="FF92D050"/>
        </patternFill>
      </fill>
    </dxf>
    <dxf>
      <font>
        <color theme="1"/>
      </font>
      <fill>
        <patternFill patternType="solid">
          <fgColor rgb="FF00B0F0"/>
          <bgColor rgb="FF00B0F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EF2CB"/>
          <bgColor rgb="FFFEF2CB"/>
        </patternFill>
      </fill>
    </dxf>
    <dxf>
      <font>
        <color rgb="FFFFFF00"/>
      </font>
      <fill>
        <patternFill patternType="solid">
          <fgColor rgb="FFC00000"/>
          <bgColor rgb="FFC00000"/>
        </patternFill>
      </fill>
    </dxf>
    <dxf>
      <font>
        <color rgb="FFFFFF00"/>
      </font>
      <fill>
        <patternFill patternType="solid">
          <fgColor rgb="FF7030A0"/>
          <bgColor rgb="FF7030A0"/>
        </patternFill>
      </fill>
    </dxf>
    <dxf>
      <font>
        <color rgb="FF002A7E"/>
      </font>
      <fill>
        <patternFill patternType="solid">
          <fgColor rgb="FF92D050"/>
          <bgColor rgb="FF92D050"/>
        </patternFill>
      </fill>
    </dxf>
    <dxf>
      <font>
        <color theme="1"/>
      </font>
      <fill>
        <patternFill patternType="solid">
          <fgColor rgb="FF00B0F0"/>
          <bgColor rgb="FF00B0F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numFmt numFmtId="165" formatCode="0.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numFmt numFmtId="165" formatCode="0.000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Trebuchet M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Trebuchet MS"/>
        <family val="2"/>
        <scheme val="none"/>
      </font>
      <numFmt numFmtId="165" formatCode="0.0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name val="Trebuchet MS"/>
        <family val="2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name val="Trebuchet MS"/>
        <family val="2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name val="Trebuchet MS"/>
        <family val="2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name val="Trebuchet MS"/>
        <family val="2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name val="Trebuchet MS"/>
        <family val="2"/>
      </font>
      <fill>
        <patternFill patternType="solid">
          <fgColor indexed="64"/>
          <bgColor rgb="FFD9EAF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name val="Trebuchet MS"/>
        <family val="2"/>
      </font>
      <fill>
        <patternFill patternType="solid">
          <fgColor indexed="64"/>
          <bgColor rgb="FFD9EAF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name val="Trebuchet MS"/>
        <family val="2"/>
      </font>
      <fill>
        <patternFill patternType="solid">
          <fgColor indexed="64"/>
          <bgColor rgb="FFD9EAF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name val="Trebuchet MS"/>
        <family val="2"/>
      </font>
      <fill>
        <patternFill patternType="solid">
          <fgColor indexed="64"/>
          <bgColor rgb="FFD9EAF7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DEBF7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3F6FA"/>
      <rgbColor rgb="FFE2F0D9"/>
      <rgbColor rgb="FFFBFBFB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06/relationships/rdRichValueTypes" Target="richData/rdRichValueTypes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30725</xdr:colOff>
      <xdr:row>0</xdr:row>
      <xdr:rowOff>0</xdr:rowOff>
    </xdr:from>
    <xdr:to>
      <xdr:col>4</xdr:col>
      <xdr:colOff>289234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C591AF7-0AFF-4D2C-A25D-9BDF901FB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725" y="0"/>
          <a:ext cx="1902340" cy="7232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258164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0C13D6-48BF-4555-BAB2-589F4E56B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6464" cy="7281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365187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69729B-F8FB-47FE-B4E7-3D003E8DFC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8712" cy="7281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1460696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DC585C-8957-4421-93BB-F655DB430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6464" cy="72812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258164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636233A-42E7-4384-957C-22D0012AC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6464" cy="7281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258164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3F866C-0412-484D-BAFC-1C1884CC2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6464" cy="72812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257538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BDAA270-1184-4842-9607-9BB554DA8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5838" cy="72812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365187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D7188-5150-407E-9F1F-497096668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8712" cy="72812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258164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B87C00F-59C7-44AA-B155-52679AC2A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6464" cy="72812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365187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63C104-D07F-484D-9F51-F418D22AB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8712" cy="72812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258164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CF5E9E-6059-495A-9494-D0AC84CD7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6464" cy="72812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258164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50ADB50-C1EF-4D46-AA1F-FCF2DA226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6464" cy="72812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1456816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16AF5F-8ED3-4254-A9C8-BEB2AA406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8712" cy="72812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258164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49D8F8-B55D-47AA-9713-9B9FEAE51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6464" cy="72812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1456816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B8064EA-AAB6-4026-B93A-4FB24CADB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6464" cy="72812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258164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56886F-A837-4AAC-80CD-D34FAC6CF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6464" cy="72812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258164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33B3E2D-8F70-4AC7-AEBF-E1F56F8A6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8846" cy="72812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30725</xdr:colOff>
      <xdr:row>0</xdr:row>
      <xdr:rowOff>0</xdr:rowOff>
    </xdr:from>
    <xdr:to>
      <xdr:col>4</xdr:col>
      <xdr:colOff>289234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BB6730-1147-4633-8279-7A9CDE3D0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725" y="0"/>
          <a:ext cx="1896809" cy="72812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1456816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83C5F1-574F-4761-BC4E-A6341B474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4966" cy="72812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603446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73FE10-1152-4E39-A558-2CF867EEE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6464" cy="72812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365187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AEED48-7B0B-4C60-A63E-46FFC7BC5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4966" cy="72812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258164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0580BB-F815-4B7B-9100-830BFAD0F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6464" cy="72812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254354</xdr:colOff>
      <xdr:row>1</xdr:row>
      <xdr:rowOff>389034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2CB1C0-8545-4569-8B5C-3585EE436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6464" cy="72812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1456816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CB3288-F39A-4718-8374-73501F579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4966" cy="72812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250544</xdr:colOff>
      <xdr:row>1</xdr:row>
      <xdr:rowOff>396654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F8119E-36D1-443B-B16C-1983EAE2B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42184" cy="73002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1464436</xdr:colOff>
      <xdr:row>1</xdr:row>
      <xdr:rowOff>396654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2E7B74A-A21A-4722-B758-FABFD0880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06396" cy="73002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365187</xdr:colOff>
      <xdr:row>1</xdr:row>
      <xdr:rowOff>400464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9C69C36-B6D4-4DD9-A5CA-B2671E404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33002" cy="73002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1468246</xdr:colOff>
      <xdr:row>1</xdr:row>
      <xdr:rowOff>400464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4A73AD-F2D0-4472-9C12-06964E7F9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15921" cy="743364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254354</xdr:colOff>
      <xdr:row>1</xdr:row>
      <xdr:rowOff>400464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BD5669-72AF-4639-A4D0-4D0461529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88844" cy="739554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258164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D57E4A7-5424-4AF5-9442-04468C587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6464" cy="728124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258164</xdr:colOff>
      <xdr:row>1</xdr:row>
      <xdr:rowOff>385224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F1CAC7-10F0-4A47-958F-14D9192F4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6464" cy="728124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254354</xdr:colOff>
      <xdr:row>1</xdr:row>
      <xdr:rowOff>400464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0BA5A15-A365-45A8-B64D-374FD7519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92654" cy="74336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/My%20Drive/18.%20Foam%20SO/OBS/foam_order_customer_template_v2_final.xlsx" TargetMode="External"/><Relationship Id="rId1" Type="http://schemas.openxmlformats.org/officeDocument/2006/relationships/externalLinkPath" Target="file:///G:/My%20Drive/18.%20Foam%20SO/OBS/foam_order_customer_template_v2_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DE_PRICE"/>
      <sheetName val="CODE_MASTER_AS"/>
      <sheetName val="SIZE GUIDE"/>
      <sheetName val="COSICANA-TX0121-005"/>
      <sheetName val="MD MATTRESS"/>
      <sheetName val="OD"/>
      <sheetName val="NAP QUEEN-TRUCK_W16"/>
      <sheetName val="SOUTHWESTTERN-PO 8087"/>
      <sheetName val="DICKSON-11-70917-01"/>
      <sheetName val="DICKSON-11-70917-02"/>
      <sheetName val="MD-42226-1"/>
      <sheetName val="COSICANA-TX0121-006"/>
      <sheetName val="COSICANA-TX0121-008"/>
      <sheetName val="MD-42326-2"/>
      <sheetName val="STERLING-PO 041620261"/>
      <sheetName val="STERLING-PO 041620262"/>
      <sheetName val="MD-42426-2"/>
      <sheetName val="COSICANA-TX0121-007"/>
      <sheetName val="DICKSON-11-71076-01"/>
      <sheetName val="DICKSON-11-71076-02"/>
      <sheetName val="DICKSON-11-71076-03"/>
      <sheetName val="DICKSON-11-71076-04_11-71222-01"/>
      <sheetName val="MD-42326-1"/>
      <sheetName val="NAP QUEEN-TRUCK_W18_01"/>
      <sheetName val="NAP QUEEN-TRUCK_W18_02"/>
      <sheetName val="COSICANA-TX0121-009"/>
      <sheetName val="COSICANA-TX0121-010"/>
      <sheetName val="DICKSON-11-71213-01"/>
      <sheetName val="MD-42426-1"/>
      <sheetName val="DICKSON-W18-06"/>
      <sheetName val="COSICANA-TX0121-011"/>
      <sheetName val="COSICANA-TX0121-012"/>
      <sheetName val="DICKSON-W18-07"/>
      <sheetName val="DICKSON-W18-08"/>
      <sheetName val="STERLING-W19-01"/>
      <sheetName val="DICKSON-W19-02"/>
      <sheetName val="COSICANA-TX0121-013"/>
      <sheetName val="MD-50426-1"/>
      <sheetName val="COSICANA-TX0121-015"/>
      <sheetName val="MD-50726-1"/>
      <sheetName val="DICKSON-W19-03"/>
      <sheetName val="NAP QUEEN-TRUCK_W19-01"/>
      <sheetName val="NAP QUEEN-TRUCK_W19-02"/>
      <sheetName val="STERLING-W19-02"/>
      <sheetName val="MD-50726-1 BAD CONDITION"/>
      <sheetName val="MD50526-1-BAD CONDITION"/>
      <sheetName val="MD50826-1"/>
      <sheetName val="COSICANA-TX0121-001"/>
      <sheetName val="STERLING-W19-03"/>
      <sheetName val="COSICANA-TX0121-016"/>
      <sheetName val="DIAMOND"/>
      <sheetName val="COSICANA-TX0121-017"/>
      <sheetName val="STERLING-W20-01"/>
      <sheetName val="SIMON BEDDING-TR-W20-01"/>
      <sheetName val="PRODUCT_DB"/>
      <sheetName val="SIZE_DB"/>
      <sheetName val="LISTS"/>
    </sheetNames>
    <sheetDataSet>
      <sheetData sheetId="0">
        <row r="2">
          <cell r="A2" t="str">
            <v>CUSTOMER NAME</v>
          </cell>
          <cell r="B2" t="str">
            <v>AS CODE (KEY)</v>
          </cell>
          <cell r="C2" t="str">
            <v>CUSTOMER CODE</v>
          </cell>
        </row>
        <row r="3">
          <cell r="A3" t="str">
            <v>CORSICANA</v>
          </cell>
          <cell r="B3" t="str">
            <v>CFN50131W</v>
          </cell>
          <cell r="C3" t="str">
            <v>BNF13050</v>
          </cell>
        </row>
        <row r="4">
          <cell r="A4" t="str">
            <v>CORSICANA</v>
          </cell>
          <cell r="B4" t="str">
            <v>CFN30100W</v>
          </cell>
          <cell r="C4" t="str">
            <v>BNF100030</v>
          </cell>
        </row>
        <row r="5">
          <cell r="A5" t="str">
            <v>CORSICANA</v>
          </cell>
          <cell r="B5" t="str">
            <v>CFN17138W</v>
          </cell>
          <cell r="C5"/>
        </row>
        <row r="6">
          <cell r="A6" t="str">
            <v>CORSICANA</v>
          </cell>
          <cell r="B6" t="str">
            <v>CFN34150W</v>
          </cell>
          <cell r="C6"/>
        </row>
        <row r="7">
          <cell r="A7" t="str">
            <v>CORSICANA</v>
          </cell>
          <cell r="B7" t="str">
            <v>CFN39180W</v>
          </cell>
          <cell r="C7"/>
        </row>
        <row r="8">
          <cell r="A8" t="str">
            <v>DICKSON</v>
          </cell>
          <cell r="B8" t="str">
            <v>CFN34150W</v>
          </cell>
          <cell r="C8" t="str">
            <v>FM1540</v>
          </cell>
        </row>
        <row r="9">
          <cell r="A9" t="str">
            <v>DICKSON</v>
          </cell>
          <cell r="B9" t="str">
            <v>CFN39180W</v>
          </cell>
          <cell r="C9" t="str">
            <v>FM1836</v>
          </cell>
        </row>
        <row r="10">
          <cell r="A10" t="str">
            <v>DICKSON</v>
          </cell>
          <cell r="B10" t="str">
            <v>CFN30100W</v>
          </cell>
          <cell r="C10" t="str">
            <v>FM1030</v>
          </cell>
        </row>
        <row r="11">
          <cell r="A11" t="str">
            <v>DICKSON</v>
          </cell>
          <cell r="B11" t="str">
            <v>CFN17138W</v>
          </cell>
          <cell r="C11" t="str">
            <v>FM1515</v>
          </cell>
        </row>
        <row r="12">
          <cell r="A12" t="str">
            <v>DICKSON</v>
          </cell>
          <cell r="B12" t="str">
            <v>CFN50180W</v>
          </cell>
          <cell r="C12" t="str">
            <v>FM1850</v>
          </cell>
        </row>
        <row r="13">
          <cell r="A13"/>
          <cell r="B13" t="str">
            <v>CFN28112W</v>
          </cell>
          <cell r="C13"/>
        </row>
        <row r="14">
          <cell r="A14"/>
          <cell r="B14" t="str">
            <v>CFN38173W</v>
          </cell>
          <cell r="C14"/>
        </row>
        <row r="15">
          <cell r="A15"/>
          <cell r="B15" t="str">
            <v>CFN32140W</v>
          </cell>
          <cell r="C15"/>
        </row>
        <row r="16">
          <cell r="A16"/>
          <cell r="B16" t="str">
            <v>CFN34156W</v>
          </cell>
          <cell r="C16"/>
        </row>
        <row r="17">
          <cell r="A17"/>
          <cell r="B17" t="str">
            <v>CFN39190W</v>
          </cell>
          <cell r="C17"/>
        </row>
        <row r="18">
          <cell r="A18"/>
          <cell r="B18" t="str">
            <v>CFN35180W</v>
          </cell>
          <cell r="C18"/>
        </row>
        <row r="19">
          <cell r="A19" t="str">
            <v>MD MATTRESS</v>
          </cell>
          <cell r="B19" t="str">
            <v>CFN30100W</v>
          </cell>
          <cell r="C19"/>
        </row>
        <row r="20">
          <cell r="A20" t="str">
            <v>SOUTHWESTERN</v>
          </cell>
          <cell r="B20" t="str">
            <v>CFN30100W</v>
          </cell>
          <cell r="C20"/>
        </row>
        <row r="21">
          <cell r="A21" t="str">
            <v>SOUTHWESTERN</v>
          </cell>
          <cell r="B21" t="str">
            <v>CFN34150W</v>
          </cell>
          <cell r="C21"/>
        </row>
        <row r="22">
          <cell r="A22" t="str">
            <v>STERLING FOAM</v>
          </cell>
          <cell r="B22" t="str">
            <v>CFN30100W</v>
          </cell>
          <cell r="C22"/>
        </row>
        <row r="23">
          <cell r="A23" t="str">
            <v>STERLING FOAM</v>
          </cell>
          <cell r="B23" t="str">
            <v>CFN17138W</v>
          </cell>
          <cell r="C23"/>
        </row>
        <row r="24">
          <cell r="A24" t="str">
            <v>STERLING FOAM</v>
          </cell>
          <cell r="B24" t="str">
            <v>CFN34150W</v>
          </cell>
          <cell r="C24"/>
        </row>
        <row r="25">
          <cell r="A25" t="str">
            <v>STERLING FOAM</v>
          </cell>
          <cell r="B25" t="str">
            <v>CFN35180W</v>
          </cell>
          <cell r="C25"/>
        </row>
        <row r="26">
          <cell r="A26" t="str">
            <v>NAP QUEEN</v>
          </cell>
          <cell r="B26" t="str">
            <v>CFN34150W</v>
          </cell>
          <cell r="C26"/>
        </row>
        <row r="27">
          <cell r="A27" t="str">
            <v>NAP QUEEN</v>
          </cell>
          <cell r="B27" t="str">
            <v>CFN30100W</v>
          </cell>
          <cell r="C27"/>
        </row>
        <row r="28">
          <cell r="A28" t="str">
            <v>MD MATTRESS</v>
          </cell>
          <cell r="B28" t="str">
            <v>CFN34150W</v>
          </cell>
          <cell r="C28"/>
        </row>
        <row r="29">
          <cell r="A29" t="str">
            <v>SIMON BEDDING</v>
          </cell>
          <cell r="B29" t="str">
            <v>CFN30100W</v>
          </cell>
          <cell r="C29"/>
        </row>
        <row r="30">
          <cell r="A30" t="str">
            <v>SIMON BEDDING</v>
          </cell>
          <cell r="B30" t="str">
            <v>CFN50131W</v>
          </cell>
          <cell r="C30"/>
        </row>
        <row r="31">
          <cell r="A31"/>
          <cell r="B31"/>
          <cell r="C31"/>
        </row>
        <row r="32">
          <cell r="A32"/>
          <cell r="B32"/>
          <cell r="C32"/>
        </row>
        <row r="33">
          <cell r="A33"/>
          <cell r="B33"/>
          <cell r="C33"/>
        </row>
        <row r="34">
          <cell r="A34"/>
          <cell r="B34"/>
          <cell r="C34"/>
        </row>
        <row r="35">
          <cell r="A35"/>
          <cell r="B35"/>
          <cell r="C35"/>
        </row>
        <row r="36">
          <cell r="A36"/>
          <cell r="B36"/>
          <cell r="C36"/>
        </row>
        <row r="37">
          <cell r="A37"/>
          <cell r="B37"/>
          <cell r="C37"/>
        </row>
        <row r="38">
          <cell r="A38"/>
          <cell r="B38"/>
          <cell r="C38"/>
        </row>
        <row r="39">
          <cell r="A39"/>
          <cell r="B39"/>
          <cell r="C39"/>
        </row>
        <row r="40">
          <cell r="A40"/>
          <cell r="B40"/>
          <cell r="C40"/>
        </row>
        <row r="41">
          <cell r="A41"/>
          <cell r="B41"/>
          <cell r="C41"/>
        </row>
        <row r="42">
          <cell r="A42"/>
          <cell r="B42"/>
          <cell r="C42"/>
        </row>
        <row r="43">
          <cell r="A43"/>
          <cell r="B43"/>
          <cell r="C43"/>
        </row>
        <row r="44">
          <cell r="A44"/>
          <cell r="B44"/>
          <cell r="C44"/>
        </row>
        <row r="45">
          <cell r="A45"/>
          <cell r="B45"/>
          <cell r="C45"/>
        </row>
        <row r="46">
          <cell r="A46"/>
          <cell r="B46"/>
          <cell r="C46"/>
        </row>
        <row r="47">
          <cell r="A47"/>
          <cell r="B47"/>
          <cell r="C47"/>
        </row>
        <row r="48">
          <cell r="A48"/>
          <cell r="B48"/>
          <cell r="C48"/>
        </row>
        <row r="49">
          <cell r="A49"/>
          <cell r="B49"/>
          <cell r="C49"/>
        </row>
        <row r="50">
          <cell r="A50"/>
          <cell r="B50"/>
          <cell r="C50"/>
        </row>
        <row r="51">
          <cell r="A51"/>
          <cell r="B51"/>
          <cell r="C51"/>
        </row>
        <row r="52">
          <cell r="A52"/>
          <cell r="B52"/>
          <cell r="C52"/>
        </row>
        <row r="53">
          <cell r="A53"/>
          <cell r="B53"/>
          <cell r="C53"/>
        </row>
        <row r="54">
          <cell r="A54"/>
          <cell r="B54"/>
          <cell r="C54"/>
        </row>
        <row r="55">
          <cell r="A55"/>
          <cell r="B55"/>
          <cell r="C55"/>
        </row>
        <row r="56">
          <cell r="A56"/>
          <cell r="B56"/>
          <cell r="C56"/>
        </row>
        <row r="57">
          <cell r="A57"/>
          <cell r="B57"/>
          <cell r="C57"/>
        </row>
        <row r="58">
          <cell r="A58"/>
          <cell r="B58"/>
          <cell r="C58"/>
        </row>
        <row r="59">
          <cell r="A59"/>
          <cell r="B59"/>
          <cell r="C59"/>
        </row>
        <row r="60">
          <cell r="A60"/>
          <cell r="B60"/>
          <cell r="C60"/>
        </row>
        <row r="61">
          <cell r="A61"/>
          <cell r="B61"/>
          <cell r="C61"/>
        </row>
        <row r="62">
          <cell r="A62"/>
          <cell r="B62"/>
          <cell r="C62"/>
        </row>
        <row r="63">
          <cell r="A63"/>
          <cell r="B63"/>
          <cell r="C63"/>
        </row>
        <row r="64">
          <cell r="A64"/>
          <cell r="B64"/>
          <cell r="C64"/>
        </row>
        <row r="65">
          <cell r="A65"/>
          <cell r="B65"/>
          <cell r="C65"/>
        </row>
        <row r="66">
          <cell r="A66"/>
          <cell r="B66"/>
          <cell r="C66"/>
        </row>
        <row r="67">
          <cell r="A67"/>
          <cell r="B67"/>
          <cell r="C67"/>
        </row>
        <row r="68">
          <cell r="A68"/>
          <cell r="B68"/>
          <cell r="C68"/>
        </row>
        <row r="69">
          <cell r="A69"/>
          <cell r="B69"/>
          <cell r="C69"/>
        </row>
        <row r="70">
          <cell r="A70"/>
          <cell r="B70"/>
          <cell r="C70"/>
        </row>
        <row r="71">
          <cell r="A71"/>
          <cell r="B71"/>
          <cell r="C71"/>
        </row>
        <row r="72">
          <cell r="A72"/>
          <cell r="B72"/>
          <cell r="C72"/>
        </row>
        <row r="73">
          <cell r="A73"/>
          <cell r="B73"/>
          <cell r="C73"/>
        </row>
        <row r="74">
          <cell r="A74"/>
          <cell r="B74"/>
          <cell r="C74"/>
        </row>
        <row r="75">
          <cell r="A75"/>
          <cell r="B75"/>
          <cell r="C75"/>
        </row>
        <row r="76">
          <cell r="A76"/>
          <cell r="B76"/>
          <cell r="C76"/>
        </row>
        <row r="77">
          <cell r="A77"/>
          <cell r="B77"/>
          <cell r="C77"/>
        </row>
        <row r="78">
          <cell r="A78"/>
          <cell r="B78"/>
          <cell r="C78"/>
        </row>
        <row r="79">
          <cell r="A79"/>
          <cell r="B79"/>
          <cell r="C79"/>
        </row>
        <row r="80">
          <cell r="A80"/>
          <cell r="B80"/>
          <cell r="C80"/>
        </row>
        <row r="81">
          <cell r="A81"/>
          <cell r="B81"/>
          <cell r="C81"/>
        </row>
        <row r="82">
          <cell r="A82"/>
          <cell r="B82"/>
          <cell r="C82"/>
        </row>
        <row r="83">
          <cell r="A83"/>
          <cell r="B83"/>
          <cell r="C83"/>
        </row>
        <row r="84">
          <cell r="A84"/>
          <cell r="B84"/>
          <cell r="C84"/>
        </row>
        <row r="85">
          <cell r="A85"/>
          <cell r="B85"/>
          <cell r="C85"/>
        </row>
        <row r="86">
          <cell r="A86"/>
          <cell r="B86"/>
          <cell r="C86"/>
        </row>
        <row r="87">
          <cell r="A87"/>
          <cell r="B87"/>
          <cell r="C87"/>
        </row>
        <row r="88">
          <cell r="A88"/>
          <cell r="B88"/>
          <cell r="C88"/>
        </row>
        <row r="89">
          <cell r="A89"/>
          <cell r="B89"/>
          <cell r="C89"/>
        </row>
        <row r="90">
          <cell r="A90"/>
          <cell r="B90"/>
          <cell r="C90"/>
        </row>
        <row r="91">
          <cell r="A91"/>
          <cell r="B91"/>
          <cell r="C91"/>
        </row>
        <row r="92">
          <cell r="A92"/>
          <cell r="B92"/>
          <cell r="C92"/>
        </row>
        <row r="93">
          <cell r="A93"/>
          <cell r="B93"/>
          <cell r="C93"/>
        </row>
        <row r="94">
          <cell r="A94"/>
          <cell r="B94"/>
          <cell r="C94"/>
        </row>
        <row r="95">
          <cell r="A95"/>
          <cell r="B95"/>
          <cell r="C95"/>
        </row>
        <row r="96">
          <cell r="A96"/>
          <cell r="B96"/>
          <cell r="C96"/>
        </row>
        <row r="97">
          <cell r="A97"/>
          <cell r="B97"/>
          <cell r="C97"/>
        </row>
        <row r="98">
          <cell r="A98"/>
          <cell r="B98"/>
          <cell r="C98"/>
        </row>
        <row r="99">
          <cell r="A99"/>
          <cell r="B99"/>
          <cell r="C99"/>
        </row>
        <row r="100">
          <cell r="A100"/>
          <cell r="B100"/>
          <cell r="C100"/>
        </row>
        <row r="101">
          <cell r="A101"/>
          <cell r="B101"/>
          <cell r="C101"/>
        </row>
        <row r="102">
          <cell r="A102"/>
          <cell r="B102"/>
          <cell r="C102"/>
        </row>
        <row r="103">
          <cell r="A103"/>
          <cell r="B103"/>
          <cell r="C103"/>
        </row>
        <row r="104">
          <cell r="A104"/>
          <cell r="B104"/>
          <cell r="C104"/>
        </row>
        <row r="105">
          <cell r="A105"/>
          <cell r="B105"/>
          <cell r="C105"/>
        </row>
        <row r="106">
          <cell r="A106"/>
          <cell r="B106"/>
          <cell r="C106"/>
        </row>
        <row r="107">
          <cell r="A107"/>
          <cell r="B107"/>
          <cell r="C107"/>
        </row>
        <row r="108">
          <cell r="A108"/>
          <cell r="B108"/>
          <cell r="C108"/>
        </row>
        <row r="109">
          <cell r="A109"/>
          <cell r="B109"/>
          <cell r="C109"/>
        </row>
        <row r="110">
          <cell r="A110"/>
          <cell r="B110"/>
          <cell r="C110"/>
        </row>
        <row r="111">
          <cell r="A111"/>
          <cell r="B111"/>
          <cell r="C111"/>
        </row>
        <row r="112">
          <cell r="A112"/>
          <cell r="B112"/>
          <cell r="C112"/>
        </row>
        <row r="113">
          <cell r="A113"/>
          <cell r="B113"/>
          <cell r="C113"/>
        </row>
        <row r="114">
          <cell r="A114"/>
          <cell r="B114"/>
          <cell r="C114"/>
        </row>
        <row r="115">
          <cell r="A115"/>
          <cell r="B115"/>
          <cell r="C115"/>
        </row>
        <row r="116">
          <cell r="A116"/>
          <cell r="B116"/>
          <cell r="C116"/>
        </row>
        <row r="117">
          <cell r="A117"/>
          <cell r="B117"/>
          <cell r="C117"/>
        </row>
        <row r="118">
          <cell r="A118"/>
          <cell r="B118"/>
          <cell r="C118"/>
        </row>
        <row r="119">
          <cell r="A119"/>
          <cell r="B119"/>
          <cell r="C119"/>
        </row>
        <row r="120">
          <cell r="A120"/>
          <cell r="B120"/>
          <cell r="C120"/>
        </row>
        <row r="121">
          <cell r="A121"/>
          <cell r="B121"/>
          <cell r="C121"/>
        </row>
        <row r="122">
          <cell r="A122"/>
          <cell r="B122"/>
          <cell r="C122"/>
        </row>
        <row r="123">
          <cell r="A123"/>
          <cell r="B123"/>
          <cell r="C123"/>
        </row>
        <row r="124">
          <cell r="A124"/>
          <cell r="B124"/>
          <cell r="C124"/>
        </row>
        <row r="125">
          <cell r="A125"/>
          <cell r="B125"/>
          <cell r="C125"/>
        </row>
        <row r="126">
          <cell r="A126"/>
          <cell r="B126"/>
          <cell r="C126"/>
        </row>
        <row r="127">
          <cell r="A127"/>
          <cell r="B127"/>
          <cell r="C127"/>
        </row>
        <row r="128">
          <cell r="A128"/>
          <cell r="B128"/>
          <cell r="C128"/>
        </row>
        <row r="129">
          <cell r="A129"/>
          <cell r="B129"/>
          <cell r="C129"/>
        </row>
        <row r="130">
          <cell r="A130"/>
          <cell r="B130"/>
          <cell r="C130"/>
        </row>
        <row r="131">
          <cell r="A131"/>
          <cell r="B131"/>
          <cell r="C131"/>
        </row>
        <row r="132">
          <cell r="A132"/>
          <cell r="B132"/>
          <cell r="C132"/>
        </row>
        <row r="133">
          <cell r="A133"/>
          <cell r="B133"/>
          <cell r="C133"/>
        </row>
        <row r="134">
          <cell r="A134"/>
          <cell r="B134"/>
          <cell r="C134"/>
        </row>
        <row r="135">
          <cell r="A135"/>
          <cell r="B135"/>
          <cell r="C135"/>
        </row>
        <row r="136">
          <cell r="A136"/>
          <cell r="B136"/>
          <cell r="C136"/>
        </row>
        <row r="137">
          <cell r="A137"/>
          <cell r="B137"/>
          <cell r="C137"/>
        </row>
        <row r="138">
          <cell r="A138"/>
          <cell r="B138"/>
          <cell r="C138"/>
        </row>
        <row r="139">
          <cell r="A139"/>
          <cell r="B139"/>
          <cell r="C139"/>
        </row>
        <row r="140">
          <cell r="A140"/>
          <cell r="B140"/>
          <cell r="C140"/>
        </row>
        <row r="141">
          <cell r="A141"/>
          <cell r="B141"/>
          <cell r="C141"/>
        </row>
        <row r="142">
          <cell r="A142"/>
          <cell r="B142"/>
          <cell r="C142"/>
        </row>
        <row r="143">
          <cell r="A143"/>
          <cell r="B143"/>
          <cell r="C143"/>
        </row>
        <row r="144">
          <cell r="A144"/>
          <cell r="B144"/>
          <cell r="C144"/>
        </row>
        <row r="145">
          <cell r="A145"/>
          <cell r="B145"/>
          <cell r="C145"/>
        </row>
        <row r="146">
          <cell r="A146"/>
          <cell r="B146"/>
          <cell r="C146"/>
        </row>
        <row r="147">
          <cell r="A147"/>
          <cell r="B147"/>
          <cell r="C147"/>
        </row>
        <row r="148">
          <cell r="A148"/>
          <cell r="B148"/>
          <cell r="C148"/>
        </row>
        <row r="149">
          <cell r="A149"/>
          <cell r="B149"/>
          <cell r="C149"/>
        </row>
        <row r="150">
          <cell r="A150"/>
          <cell r="B150"/>
          <cell r="C150"/>
        </row>
        <row r="151">
          <cell r="A151"/>
          <cell r="B151"/>
          <cell r="C151"/>
        </row>
        <row r="152">
          <cell r="A152"/>
          <cell r="B152"/>
          <cell r="C152"/>
        </row>
        <row r="153">
          <cell r="A153"/>
          <cell r="B153"/>
          <cell r="C153"/>
        </row>
        <row r="154">
          <cell r="A154"/>
          <cell r="B154"/>
          <cell r="C154"/>
        </row>
        <row r="155">
          <cell r="A155"/>
          <cell r="B155"/>
          <cell r="C155"/>
        </row>
        <row r="156">
          <cell r="A156"/>
          <cell r="B156"/>
          <cell r="C156"/>
        </row>
        <row r="157">
          <cell r="A157"/>
          <cell r="B157"/>
          <cell r="C157"/>
        </row>
        <row r="158">
          <cell r="A158"/>
          <cell r="B158"/>
          <cell r="C158"/>
        </row>
        <row r="159">
          <cell r="A159"/>
          <cell r="B159"/>
          <cell r="C159"/>
        </row>
        <row r="160">
          <cell r="A160"/>
          <cell r="B160"/>
          <cell r="C160"/>
        </row>
        <row r="161">
          <cell r="A161"/>
          <cell r="B161"/>
          <cell r="C161"/>
        </row>
        <row r="162">
          <cell r="A162"/>
          <cell r="B162"/>
          <cell r="C162"/>
        </row>
        <row r="163">
          <cell r="A163"/>
          <cell r="B163"/>
          <cell r="C163"/>
        </row>
        <row r="164">
          <cell r="A164"/>
          <cell r="B164"/>
          <cell r="C164"/>
        </row>
        <row r="165">
          <cell r="A165"/>
          <cell r="B165"/>
          <cell r="C165"/>
        </row>
        <row r="166">
          <cell r="A166"/>
          <cell r="B166"/>
          <cell r="C166"/>
        </row>
        <row r="167">
          <cell r="A167"/>
          <cell r="B167"/>
          <cell r="C167"/>
        </row>
        <row r="168">
          <cell r="A168"/>
          <cell r="B168"/>
          <cell r="C168"/>
        </row>
        <row r="169">
          <cell r="A169"/>
          <cell r="B169"/>
          <cell r="C169"/>
        </row>
        <row r="170">
          <cell r="A170"/>
          <cell r="B170"/>
          <cell r="C170"/>
        </row>
        <row r="171">
          <cell r="A171"/>
          <cell r="B171"/>
          <cell r="C171"/>
        </row>
        <row r="172">
          <cell r="A172"/>
          <cell r="B172"/>
          <cell r="C172"/>
        </row>
        <row r="173">
          <cell r="A173"/>
          <cell r="B173"/>
          <cell r="C173"/>
        </row>
        <row r="174">
          <cell r="A174"/>
          <cell r="B174"/>
          <cell r="C174"/>
        </row>
        <row r="175">
          <cell r="A175"/>
          <cell r="B175"/>
          <cell r="C175"/>
        </row>
        <row r="176">
          <cell r="A176"/>
          <cell r="B176"/>
          <cell r="C176"/>
        </row>
        <row r="177">
          <cell r="A177"/>
          <cell r="B177"/>
          <cell r="C177"/>
        </row>
        <row r="178">
          <cell r="A178"/>
          <cell r="B178"/>
          <cell r="C178"/>
        </row>
        <row r="179">
          <cell r="A179"/>
          <cell r="B179"/>
          <cell r="C179"/>
        </row>
        <row r="180">
          <cell r="A180"/>
          <cell r="B180"/>
          <cell r="C180"/>
        </row>
        <row r="181">
          <cell r="A181"/>
          <cell r="B181"/>
          <cell r="C181"/>
        </row>
        <row r="182">
          <cell r="A182"/>
          <cell r="B182"/>
          <cell r="C182"/>
        </row>
        <row r="183">
          <cell r="A183"/>
          <cell r="B183"/>
          <cell r="C183"/>
        </row>
        <row r="184">
          <cell r="A184"/>
          <cell r="B184"/>
          <cell r="C184"/>
        </row>
        <row r="185">
          <cell r="A185"/>
          <cell r="B185"/>
          <cell r="C185"/>
        </row>
        <row r="186">
          <cell r="A186"/>
          <cell r="B186"/>
          <cell r="C186"/>
        </row>
        <row r="187">
          <cell r="A187"/>
          <cell r="B187"/>
          <cell r="C187"/>
        </row>
        <row r="188">
          <cell r="A188"/>
          <cell r="B188"/>
          <cell r="C188"/>
        </row>
        <row r="189">
          <cell r="A189"/>
          <cell r="B189"/>
          <cell r="C189"/>
        </row>
        <row r="190">
          <cell r="A190"/>
          <cell r="B190"/>
          <cell r="C190"/>
        </row>
        <row r="191">
          <cell r="A191"/>
          <cell r="B191"/>
          <cell r="C191"/>
        </row>
        <row r="192">
          <cell r="A192"/>
          <cell r="B192"/>
          <cell r="C192"/>
        </row>
        <row r="193">
          <cell r="A193"/>
          <cell r="B193"/>
          <cell r="C193"/>
        </row>
        <row r="194">
          <cell r="A194"/>
          <cell r="B194"/>
          <cell r="C194"/>
        </row>
        <row r="195">
          <cell r="A195"/>
          <cell r="B195"/>
          <cell r="C195"/>
        </row>
        <row r="196">
          <cell r="A196"/>
          <cell r="B196"/>
          <cell r="C196"/>
        </row>
        <row r="197">
          <cell r="A197"/>
          <cell r="B197"/>
          <cell r="C197"/>
        </row>
        <row r="198">
          <cell r="A198"/>
          <cell r="B198"/>
          <cell r="C198"/>
        </row>
        <row r="199">
          <cell r="A199"/>
          <cell r="B199"/>
          <cell r="C199"/>
        </row>
        <row r="200">
          <cell r="A200"/>
          <cell r="B200"/>
          <cell r="C200"/>
        </row>
        <row r="201">
          <cell r="A201"/>
          <cell r="B201"/>
          <cell r="C201"/>
        </row>
        <row r="202">
          <cell r="A202"/>
          <cell r="B202"/>
          <cell r="C202"/>
        </row>
        <row r="203">
          <cell r="A203"/>
          <cell r="B203"/>
          <cell r="C203"/>
        </row>
        <row r="204">
          <cell r="A204"/>
          <cell r="B204"/>
          <cell r="C204"/>
        </row>
        <row r="205">
          <cell r="A205"/>
          <cell r="B205"/>
          <cell r="C205"/>
        </row>
        <row r="206">
          <cell r="A206"/>
          <cell r="B206"/>
          <cell r="C206"/>
        </row>
      </sheetData>
      <sheetData sheetId="1"/>
      <sheetData sheetId="2">
        <row r="1">
          <cell r="A1" t="str">
            <v>SIZE GUIDE</v>
          </cell>
          <cell r="B1"/>
          <cell r="C1"/>
          <cell r="E1"/>
        </row>
        <row r="2">
          <cell r="A2" t="str">
            <v>Size Basis</v>
          </cell>
          <cell r="B2"/>
          <cell r="C2" t="str">
            <v>Size Code</v>
          </cell>
          <cell r="E2" t="str">
            <v>W</v>
          </cell>
        </row>
        <row r="3">
          <cell r="A3" t="str">
            <v>UNTRIM</v>
          </cell>
          <cell r="B3" t="str">
            <v>AS</v>
          </cell>
          <cell r="C3" t="str">
            <v>T</v>
          </cell>
          <cell r="D3">
            <v>76</v>
          </cell>
          <cell r="E3">
            <v>39</v>
          </cell>
        </row>
        <row r="4">
          <cell r="A4" t="str">
            <v>UNTRIM</v>
          </cell>
          <cell r="B4" t="str">
            <v>AS</v>
          </cell>
          <cell r="C4" t="str">
            <v>TXL</v>
          </cell>
          <cell r="D4">
            <v>81</v>
          </cell>
          <cell r="E4">
            <v>39</v>
          </cell>
        </row>
        <row r="5">
          <cell r="A5" t="str">
            <v>UNTRIM</v>
          </cell>
          <cell r="B5" t="str">
            <v>AS</v>
          </cell>
          <cell r="C5" t="str">
            <v>F</v>
          </cell>
          <cell r="D5">
            <v>76</v>
          </cell>
          <cell r="E5">
            <v>55</v>
          </cell>
        </row>
        <row r="6">
          <cell r="A6" t="str">
            <v>UNTRIM</v>
          </cell>
          <cell r="B6" t="str">
            <v>AS</v>
          </cell>
          <cell r="C6" t="str">
            <v>FXL</v>
          </cell>
          <cell r="D6">
            <v>81</v>
          </cell>
          <cell r="E6">
            <v>55</v>
          </cell>
        </row>
        <row r="7">
          <cell r="A7" t="str">
            <v>UNTRIM</v>
          </cell>
          <cell r="B7" t="str">
            <v>AS</v>
          </cell>
          <cell r="C7" t="str">
            <v>Q</v>
          </cell>
          <cell r="D7">
            <v>81</v>
          </cell>
          <cell r="E7">
            <v>61</v>
          </cell>
        </row>
        <row r="8">
          <cell r="A8" t="str">
            <v>UNTRIM</v>
          </cell>
          <cell r="B8" t="str">
            <v>AS</v>
          </cell>
          <cell r="C8" t="str">
            <v>K</v>
          </cell>
          <cell r="D8">
            <v>81</v>
          </cell>
          <cell r="E8">
            <v>77</v>
          </cell>
        </row>
        <row r="9">
          <cell r="A9" t="str">
            <v>UNTRIM</v>
          </cell>
          <cell r="B9" t="str">
            <v>AS</v>
          </cell>
          <cell r="C9" t="str">
            <v>CK</v>
          </cell>
          <cell r="D9">
            <v>84.5</v>
          </cell>
          <cell r="E9">
            <v>72.5</v>
          </cell>
        </row>
        <row r="10">
          <cell r="A10" t="str">
            <v>UNTRIM</v>
          </cell>
          <cell r="B10" t="str">
            <v>AS</v>
          </cell>
          <cell r="C10" t="str">
            <v>S</v>
          </cell>
          <cell r="D10">
            <v>108</v>
          </cell>
          <cell r="E10">
            <v>82</v>
          </cell>
        </row>
        <row r="11">
          <cell r="A11" t="str">
            <v>TRIM</v>
          </cell>
          <cell r="B11" t="str">
            <v>AS</v>
          </cell>
          <cell r="C11" t="str">
            <v>T</v>
          </cell>
          <cell r="D11">
            <v>74.5</v>
          </cell>
          <cell r="E11">
            <v>37.5</v>
          </cell>
        </row>
        <row r="12">
          <cell r="A12" t="str">
            <v>TRIM</v>
          </cell>
          <cell r="B12" t="str">
            <v>AS</v>
          </cell>
          <cell r="C12" t="str">
            <v>TXL</v>
          </cell>
          <cell r="D12">
            <v>79.5</v>
          </cell>
          <cell r="E12">
            <v>37.5</v>
          </cell>
        </row>
        <row r="13">
          <cell r="A13" t="str">
            <v>TRIM</v>
          </cell>
          <cell r="B13" t="str">
            <v>AS</v>
          </cell>
          <cell r="C13" t="str">
            <v>F</v>
          </cell>
          <cell r="D13">
            <v>74.5</v>
          </cell>
          <cell r="E13">
            <v>53.5</v>
          </cell>
        </row>
        <row r="14">
          <cell r="A14" t="str">
            <v>TRIM</v>
          </cell>
          <cell r="B14" t="str">
            <v>AS</v>
          </cell>
          <cell r="C14" t="str">
            <v>FXL</v>
          </cell>
          <cell r="D14">
            <v>79.5</v>
          </cell>
          <cell r="E14">
            <v>53.5</v>
          </cell>
        </row>
        <row r="15">
          <cell r="A15" t="str">
            <v>TRIM</v>
          </cell>
          <cell r="B15" t="str">
            <v>AS</v>
          </cell>
          <cell r="C15" t="str">
            <v>Q</v>
          </cell>
          <cell r="D15">
            <v>79.5</v>
          </cell>
          <cell r="E15">
            <v>59.5</v>
          </cell>
        </row>
        <row r="16">
          <cell r="A16" t="str">
            <v>TRIM</v>
          </cell>
          <cell r="B16" t="str">
            <v>AS</v>
          </cell>
          <cell r="C16" t="str">
            <v>K</v>
          </cell>
          <cell r="D16">
            <v>79.5</v>
          </cell>
          <cell r="E16">
            <v>75.5</v>
          </cell>
        </row>
        <row r="17">
          <cell r="A17" t="str">
            <v>TRIM</v>
          </cell>
          <cell r="B17" t="str">
            <v>AS</v>
          </cell>
          <cell r="C17" t="str">
            <v>CK</v>
          </cell>
          <cell r="D17">
            <v>83</v>
          </cell>
          <cell r="E17">
            <v>71</v>
          </cell>
        </row>
        <row r="18">
          <cell r="A18" t="str">
            <v>TRIM</v>
          </cell>
          <cell r="B18" t="str">
            <v>AS</v>
          </cell>
          <cell r="C18" t="str">
            <v>S</v>
          </cell>
          <cell r="D18">
            <v>107</v>
          </cell>
          <cell r="E18">
            <v>81</v>
          </cell>
        </row>
        <row r="19">
          <cell r="A19" t="str">
            <v>TRIM</v>
          </cell>
          <cell r="B19" t="str">
            <v>MD MATTRESS</v>
          </cell>
          <cell r="C19" t="str">
            <v>T</v>
          </cell>
          <cell r="D19">
            <v>74</v>
          </cell>
          <cell r="E19">
            <v>37</v>
          </cell>
        </row>
        <row r="20">
          <cell r="A20" t="str">
            <v>TRIM</v>
          </cell>
          <cell r="B20" t="str">
            <v>MD MATTRESS</v>
          </cell>
          <cell r="C20" t="str">
            <v>TXL</v>
          </cell>
          <cell r="D20"/>
          <cell r="E20"/>
        </row>
        <row r="21">
          <cell r="A21" t="str">
            <v>TRIM</v>
          </cell>
          <cell r="B21" t="str">
            <v>MD MATTRESS</v>
          </cell>
          <cell r="C21" t="str">
            <v>F</v>
          </cell>
          <cell r="D21">
            <v>74</v>
          </cell>
          <cell r="E21">
            <v>52</v>
          </cell>
        </row>
        <row r="22">
          <cell r="A22" t="str">
            <v>TRIM</v>
          </cell>
          <cell r="B22" t="str">
            <v>MD MATTRESS</v>
          </cell>
          <cell r="C22" t="str">
            <v>Q-SH</v>
          </cell>
          <cell r="D22">
            <v>74</v>
          </cell>
          <cell r="E22">
            <v>59</v>
          </cell>
        </row>
        <row r="23">
          <cell r="A23" t="str">
            <v>TRIM</v>
          </cell>
          <cell r="B23" t="str">
            <v>MD MATTRESS</v>
          </cell>
          <cell r="C23" t="str">
            <v>Q</v>
          </cell>
          <cell r="D23">
            <v>79</v>
          </cell>
          <cell r="E23">
            <v>59</v>
          </cell>
        </row>
        <row r="24">
          <cell r="A24" t="str">
            <v>TRIM</v>
          </cell>
          <cell r="B24" t="str">
            <v>MD MATTRESS</v>
          </cell>
          <cell r="C24" t="str">
            <v>K</v>
          </cell>
          <cell r="D24">
            <v>79</v>
          </cell>
          <cell r="E24">
            <v>75</v>
          </cell>
        </row>
        <row r="25">
          <cell r="A25" t="str">
            <v>TRIM</v>
          </cell>
          <cell r="B25" t="str">
            <v>MD MATTRESS</v>
          </cell>
          <cell r="C25"/>
          <cell r="D25"/>
          <cell r="E25"/>
        </row>
        <row r="26">
          <cell r="A26" t="str">
            <v>TRIM</v>
          </cell>
          <cell r="B26" t="str">
            <v>NAP QUEEN</v>
          </cell>
          <cell r="C26" t="str">
            <v>T</v>
          </cell>
          <cell r="D26">
            <v>75</v>
          </cell>
          <cell r="E26">
            <v>38</v>
          </cell>
        </row>
        <row r="27">
          <cell r="A27" t="str">
            <v>TRIM</v>
          </cell>
          <cell r="B27" t="str">
            <v>NAP QUEEN</v>
          </cell>
          <cell r="C27" t="str">
            <v>TXL</v>
          </cell>
          <cell r="D27"/>
          <cell r="E27"/>
        </row>
        <row r="28">
          <cell r="A28" t="str">
            <v>TRIM</v>
          </cell>
          <cell r="B28" t="str">
            <v>NAP QUEEN</v>
          </cell>
          <cell r="C28" t="str">
            <v>F</v>
          </cell>
          <cell r="D28">
            <v>75</v>
          </cell>
          <cell r="E28">
            <v>54</v>
          </cell>
        </row>
        <row r="29">
          <cell r="A29" t="str">
            <v>TRIM</v>
          </cell>
          <cell r="B29" t="str">
            <v>NAP QUEEN</v>
          </cell>
          <cell r="C29" t="str">
            <v>FXL</v>
          </cell>
          <cell r="D29"/>
          <cell r="E29"/>
        </row>
        <row r="30">
          <cell r="A30" t="str">
            <v>TRIM</v>
          </cell>
          <cell r="B30" t="str">
            <v>NAP QUEEN</v>
          </cell>
          <cell r="C30" t="str">
            <v>Q</v>
          </cell>
          <cell r="D30">
            <v>80</v>
          </cell>
          <cell r="E30">
            <v>60</v>
          </cell>
        </row>
        <row r="31">
          <cell r="A31" t="str">
            <v>TRIM</v>
          </cell>
          <cell r="B31" t="str">
            <v>NAP QUEEN</v>
          </cell>
          <cell r="C31" t="str">
            <v>K</v>
          </cell>
          <cell r="D31"/>
          <cell r="E31"/>
        </row>
        <row r="32">
          <cell r="A32" t="str">
            <v>TRIM</v>
          </cell>
          <cell r="B32" t="str">
            <v>NAP QUEEN</v>
          </cell>
          <cell r="C32"/>
          <cell r="D32"/>
          <cell r="E32"/>
        </row>
        <row r="33">
          <cell r="A33" t="str">
            <v>TRIM</v>
          </cell>
          <cell r="B33" t="str">
            <v>SOUTHWESTERN</v>
          </cell>
          <cell r="C33" t="str">
            <v>T</v>
          </cell>
          <cell r="D33">
            <v>74</v>
          </cell>
          <cell r="E33">
            <v>38</v>
          </cell>
        </row>
        <row r="34">
          <cell r="A34" t="str">
            <v>TRIM</v>
          </cell>
          <cell r="B34" t="str">
            <v>SOUTHWESTERN</v>
          </cell>
          <cell r="C34" t="str">
            <v>TXL</v>
          </cell>
          <cell r="D34">
            <v>80</v>
          </cell>
          <cell r="E34">
            <v>38</v>
          </cell>
        </row>
        <row r="35">
          <cell r="A35" t="str">
            <v>TRIM</v>
          </cell>
          <cell r="B35" t="str">
            <v>SOUTHWESTERN</v>
          </cell>
          <cell r="C35" t="str">
            <v>F</v>
          </cell>
          <cell r="D35">
            <v>74</v>
          </cell>
          <cell r="E35">
            <v>53</v>
          </cell>
        </row>
        <row r="36">
          <cell r="A36" t="str">
            <v>TRIM</v>
          </cell>
          <cell r="B36" t="str">
            <v>SOUTHWESTERN</v>
          </cell>
          <cell r="C36" t="str">
            <v>FXL</v>
          </cell>
          <cell r="D36"/>
          <cell r="E36"/>
        </row>
        <row r="37">
          <cell r="A37" t="str">
            <v>TRIM</v>
          </cell>
          <cell r="B37" t="str">
            <v>SOUTHWESTERN</v>
          </cell>
          <cell r="C37" t="str">
            <v>Q</v>
          </cell>
          <cell r="D37">
            <v>80</v>
          </cell>
          <cell r="E37">
            <v>60</v>
          </cell>
        </row>
        <row r="38">
          <cell r="A38" t="str">
            <v>TRIM</v>
          </cell>
          <cell r="B38" t="str">
            <v>SOUTHWESTERN</v>
          </cell>
          <cell r="C38" t="str">
            <v>K</v>
          </cell>
          <cell r="D38">
            <v>80</v>
          </cell>
          <cell r="E38">
            <v>76</v>
          </cell>
        </row>
        <row r="39">
          <cell r="A39" t="str">
            <v>UNTRIM</v>
          </cell>
          <cell r="B39" t="str">
            <v>DICKSON</v>
          </cell>
          <cell r="C39" t="str">
            <v>S</v>
          </cell>
          <cell r="D39">
            <v>107</v>
          </cell>
          <cell r="E39">
            <v>81</v>
          </cell>
        </row>
        <row r="40">
          <cell r="A40" t="str">
            <v>UNTRIM</v>
          </cell>
          <cell r="B40" t="str">
            <v>STERLING</v>
          </cell>
          <cell r="C40" t="str">
            <v>S</v>
          </cell>
          <cell r="D40">
            <v>108</v>
          </cell>
          <cell r="E40">
            <v>81</v>
          </cell>
        </row>
        <row r="41">
          <cell r="A41" t="str">
            <v>TRIM</v>
          </cell>
          <cell r="B41" t="str">
            <v>DIAMOND</v>
          </cell>
          <cell r="C41" t="str">
            <v>S1</v>
          </cell>
          <cell r="D41">
            <v>79.5</v>
          </cell>
          <cell r="E41">
            <v>43.5</v>
          </cell>
        </row>
        <row r="42">
          <cell r="A42" t="str">
            <v>TRIM</v>
          </cell>
          <cell r="B42" t="str">
            <v>DIAMOND</v>
          </cell>
          <cell r="C42" t="str">
            <v>S2</v>
          </cell>
          <cell r="D42">
            <v>79.5</v>
          </cell>
          <cell r="E42">
            <v>59.5</v>
          </cell>
        </row>
        <row r="43">
          <cell r="A43" t="str">
            <v>TRIM</v>
          </cell>
          <cell r="B43" t="str">
            <v>SIMON BEDDING</v>
          </cell>
          <cell r="C43" t="str">
            <v>T</v>
          </cell>
          <cell r="D43">
            <v>74.5</v>
          </cell>
          <cell r="E43">
            <v>37.5</v>
          </cell>
        </row>
        <row r="44">
          <cell r="A44" t="str">
            <v>TRIM</v>
          </cell>
          <cell r="B44" t="str">
            <v>SIMON BEDDING</v>
          </cell>
          <cell r="C44" t="str">
            <v>Q</v>
          </cell>
          <cell r="D44">
            <v>79.5</v>
          </cell>
          <cell r="E44">
            <v>59.5</v>
          </cell>
        </row>
        <row r="45">
          <cell r="A45" t="str">
            <v>TRIM</v>
          </cell>
          <cell r="B45" t="str">
            <v>SIMON BEDDING</v>
          </cell>
          <cell r="C45" t="str">
            <v>K</v>
          </cell>
          <cell r="D45">
            <v>79.5</v>
          </cell>
          <cell r="E45">
            <v>75.5</v>
          </cell>
        </row>
        <row r="46">
          <cell r="A46" t="str">
            <v>TRIM</v>
          </cell>
          <cell r="B46" t="str">
            <v>SIMON BEDDING</v>
          </cell>
          <cell r="C46"/>
          <cell r="D46"/>
          <cell r="E46"/>
        </row>
        <row r="47">
          <cell r="A47" t="str">
            <v>TRIM</v>
          </cell>
          <cell r="B47" t="str">
            <v>SIMON BEDDING</v>
          </cell>
          <cell r="C47"/>
          <cell r="D47"/>
          <cell r="E47"/>
        </row>
        <row r="48">
          <cell r="A48" t="str">
            <v>TRIM</v>
          </cell>
          <cell r="B48" t="str">
            <v>SIMON BEDDING</v>
          </cell>
          <cell r="C48"/>
          <cell r="D48"/>
          <cell r="E48"/>
        </row>
        <row r="49">
          <cell r="A49" t="str">
            <v>TRIM</v>
          </cell>
          <cell r="B49" t="str">
            <v>SIMON BEDDING</v>
          </cell>
          <cell r="C49"/>
          <cell r="D49"/>
          <cell r="E49"/>
        </row>
        <row r="52">
          <cell r="A52" t="str">
            <v>AS SIZE ECOFLEX UNTRIM</v>
          </cell>
          <cell r="B52"/>
          <cell r="C52"/>
          <cell r="D52"/>
          <cell r="E52"/>
        </row>
        <row r="53">
          <cell r="A53" t="str">
            <v>Size Basis</v>
          </cell>
          <cell r="B53"/>
          <cell r="C53" t="str">
            <v>Size</v>
          </cell>
          <cell r="D53" t="str">
            <v>Length
(inch)</v>
          </cell>
          <cell r="E53" t="str">
            <v>Width
(inch)</v>
          </cell>
        </row>
        <row r="54">
          <cell r="A54" t="str">
            <v>UNTRIM</v>
          </cell>
          <cell r="B54"/>
          <cell r="C54" t="str">
            <v>T-TXL</v>
          </cell>
          <cell r="D54">
            <v>82</v>
          </cell>
          <cell r="E54">
            <v>39</v>
          </cell>
        </row>
        <row r="55">
          <cell r="A55" t="str">
            <v>UNTRIM</v>
          </cell>
          <cell r="B55"/>
          <cell r="C55" t="str">
            <v>F-XL</v>
          </cell>
          <cell r="D55">
            <v>82</v>
          </cell>
          <cell r="E55">
            <v>56.5</v>
          </cell>
        </row>
        <row r="56">
          <cell r="A56" t="str">
            <v>UNTRIM</v>
          </cell>
          <cell r="B56"/>
          <cell r="C56" t="str">
            <v>QUEEN</v>
          </cell>
          <cell r="D56">
            <v>82</v>
          </cell>
          <cell r="E56">
            <v>63.5</v>
          </cell>
        </row>
        <row r="57">
          <cell r="A57" t="str">
            <v>UNTRIM</v>
          </cell>
          <cell r="B57"/>
          <cell r="C57" t="str">
            <v>KING</v>
          </cell>
          <cell r="D57">
            <v>82</v>
          </cell>
          <cell r="E57">
            <v>78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0</v>
    <v>3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949FBE-0952-4D0B-A55A-2111FD0C103E}" name="tblMasterAS" displayName="tblMasterAS" ref="A2:T15" headerRowDxfId="50" headerRowBorderDxfId="49" headerRowCellStyle="Normal 2">
  <autoFilter ref="A2:T15" xr:uid="{00000000-0009-0000-0100-000001000000}"/>
  <tableColumns count="20">
    <tableColumn id="1" xr3:uid="{00000000-0010-0000-0000-000001000000}" name="Stt" dataDxfId="48" dataCellStyle="Normal 2"/>
    <tableColumn id="9" xr3:uid="{E24E55DF-ECF3-4288-A885-262D81A23F5C}" name="Mã Foam Theo HV" dataDxfId="47" dataCellStyle="Normal 2"/>
    <tableColumn id="10" xr3:uid="{4C9BA241-DCE8-44BC-8C53-CAD314EE2E00}" name="Mã Foam tại ASW" dataDxfId="46" dataCellStyle="Normal 2"/>
    <tableColumn id="11" xr3:uid="{750131DC-2455-453A-BBFD-76FF53DC5180}" name="Khách hàng thường đặt" dataDxfId="45" dataCellStyle="Normal 2"/>
    <tableColumn id="2" xr3:uid="{00000000-0010-0000-0000-000002000000}" name="Mô tả" dataDxfId="44"/>
    <tableColumn id="3" xr3:uid="{00000000-0010-0000-0000-000003000000}" name="Tỷ trọng_x000a_(kg/m3)" dataDxfId="43"/>
    <tableColumn id="4" xr3:uid="{00000000-0010-0000-0000-000004000000}" name="Tỷ trọng (lbs/ft^3)" dataDxfId="42"/>
    <tableColumn id="5" xr3:uid="{00000000-0010-0000-0000-000005000000}" name="IFD" dataDxfId="41"/>
    <tableColumn id="12" xr3:uid="{96520327-9C4B-49E5-A3E4-1E4F2AF40286}" name="Curent active" dataDxfId="40"/>
    <tableColumn id="21" xr3:uid="{135EBD0E-2FC2-4DF7-961A-52EDE172CFB1}" name="Curent active2" dataDxfId="39"/>
    <tableColumn id="6" xr3:uid="{00000000-0010-0000-0000-000006000000}" name="Usd/bft" dataDxfId="38"/>
    <tableColumn id="7" xr3:uid="{00000000-0010-0000-0000-000007000000}" name="Usd/bft2" dataDxfId="37"/>
    <tableColumn id="8" xr3:uid="{00000000-0010-0000-0000-000008000000}" name="Remark" dataDxfId="36"/>
    <tableColumn id="13" xr3:uid="{72908D12-1E1E-4BAF-BA44-82FB6ABC1D4C}" name="V7"/>
    <tableColumn id="14" xr3:uid="{FF921834-4023-4793-9429-DE1BEC162A44}" name="V5"/>
    <tableColumn id="15" xr3:uid="{9B8E6D03-3EF6-468E-ABBA-74E3A8826B46}" name="V3"/>
    <tableColumn id="16" xr3:uid="{ABFB6E8A-1E3B-4B6E-A3BE-93571272CBDE}" name="G"/>
    <tableColumn id="17" xr3:uid="{E2304145-85BC-4E28-B1F6-6239B2D17DC6}" name="R"/>
    <tableColumn id="18" xr3:uid="{FDF8D65A-FF67-4C76-A616-AE60C5954694}" name="T"/>
    <tableColumn id="19" xr3:uid="{BC6ACC7F-9BF9-4937-BDC5-FC8414CEFAB2}" name="C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A96B3-C7BE-485A-92D7-2696231AB6DB}">
  <sheetPr codeName="Sheet1">
    <pageSetUpPr fitToPage="1"/>
  </sheetPr>
  <dimension ref="A1:AG54"/>
  <sheetViews>
    <sheetView showGridLines="0" view="pageBreakPreview" zoomScale="62" zoomScaleNormal="68" zoomScaleSheetLayoutView="62" workbookViewId="0">
      <selection activeCell="F15" sqref="F15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18" style="16" hidden="1" customWidth="1"/>
    <col min="5" max="5" width="15.1640625" style="16" customWidth="1"/>
    <col min="6" max="6" width="13.6640625" style="16" customWidth="1"/>
    <col min="7" max="7" width="16.5" style="16" customWidth="1"/>
    <col min="8" max="8" width="27.6640625" style="16" customWidth="1"/>
    <col min="9" max="10" width="8" style="16" customWidth="1"/>
    <col min="11" max="14" width="10.6640625" style="16" hidden="1" customWidth="1"/>
    <col min="15" max="17" width="10.6640625" style="16" customWidth="1"/>
    <col min="18" max="20" width="8.1640625" style="16" customWidth="1"/>
    <col min="21" max="21" width="13.5" style="16" bestFit="1" customWidth="1"/>
    <col min="22" max="22" width="12.5" style="16" customWidth="1"/>
    <col min="23" max="23" width="13.1640625" style="98" customWidth="1"/>
    <col min="24" max="24" width="52.83203125" style="16" customWidth="1"/>
    <col min="25" max="25" width="12.83203125" style="23" hidden="1" customWidth="1"/>
    <col min="26" max="16384" width="8.6640625" style="16"/>
  </cols>
  <sheetData>
    <row r="1" spans="1:29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13"/>
      <c r="K1" s="29"/>
      <c r="L1" s="29"/>
      <c r="M1" s="29"/>
      <c r="N1" s="29"/>
      <c r="O1" s="27"/>
      <c r="P1" s="27"/>
      <c r="Q1" s="27"/>
      <c r="R1" s="13"/>
      <c r="S1" s="13"/>
      <c r="T1" s="13"/>
      <c r="U1" s="13"/>
      <c r="V1" s="13"/>
      <c r="W1" s="22"/>
      <c r="X1" s="13"/>
      <c r="Y1" s="22"/>
    </row>
    <row r="2" spans="1:29" s="14" customFormat="1" ht="33.75" customHeight="1" x14ac:dyDescent="0.2">
      <c r="A2" s="13"/>
      <c r="B2" s="13"/>
      <c r="C2" s="13"/>
      <c r="D2" s="13"/>
      <c r="E2" s="13"/>
      <c r="F2" s="13"/>
      <c r="G2" s="13"/>
      <c r="K2" s="30"/>
      <c r="L2" s="31"/>
      <c r="M2" s="29"/>
      <c r="N2" s="32" t="s">
        <v>161</v>
      </c>
      <c r="O2" s="27"/>
      <c r="P2" s="27"/>
      <c r="Q2" s="28" t="s">
        <v>160</v>
      </c>
      <c r="S2" s="20"/>
      <c r="T2" s="21"/>
      <c r="V2" s="13"/>
      <c r="X2" s="20" t="s">
        <v>151</v>
      </c>
      <c r="Y2" s="22"/>
    </row>
    <row r="3" spans="1:29" ht="15" customHeight="1" x14ac:dyDescent="0.25">
      <c r="A3" s="33" t="s">
        <v>144</v>
      </c>
      <c r="B3" s="34"/>
      <c r="C3" s="35"/>
      <c r="D3" s="35"/>
      <c r="E3" s="35"/>
      <c r="F3" s="35"/>
      <c r="G3" s="36"/>
      <c r="H3" s="35"/>
      <c r="I3" s="35"/>
      <c r="J3" s="35"/>
      <c r="K3" s="37"/>
      <c r="L3" s="37"/>
      <c r="M3" s="37"/>
      <c r="N3" s="37"/>
      <c r="O3" s="38"/>
      <c r="P3" s="38"/>
      <c r="Q3" s="38"/>
      <c r="R3" s="39"/>
      <c r="S3" s="39"/>
      <c r="T3" s="39"/>
      <c r="U3" s="35"/>
      <c r="V3" s="36"/>
      <c r="W3" s="39"/>
      <c r="X3" s="13"/>
      <c r="Y3" s="22"/>
    </row>
    <row r="4" spans="1:29" ht="21" customHeight="1" x14ac:dyDescent="0.25">
      <c r="A4" s="33" t="s">
        <v>145</v>
      </c>
      <c r="B4" s="34"/>
      <c r="C4" s="40"/>
      <c r="D4" s="40"/>
      <c r="E4" s="35"/>
      <c r="F4" s="35"/>
      <c r="G4" s="36"/>
      <c r="H4" s="35"/>
      <c r="I4" s="35"/>
      <c r="J4" s="35"/>
      <c r="K4" s="37"/>
      <c r="L4" s="37"/>
      <c r="M4" s="37"/>
      <c r="N4" s="37"/>
      <c r="O4" s="38"/>
      <c r="P4" s="38"/>
      <c r="Q4" s="38"/>
      <c r="R4" s="39"/>
      <c r="S4" s="39"/>
      <c r="T4" s="39"/>
      <c r="U4" s="35"/>
      <c r="V4" s="36"/>
      <c r="W4" s="39"/>
      <c r="X4" s="13"/>
      <c r="Y4" s="22"/>
    </row>
    <row r="5" spans="1:29" ht="21" customHeight="1" x14ac:dyDescent="0.25">
      <c r="A5" s="33" t="s">
        <v>146</v>
      </c>
      <c r="B5" s="34"/>
      <c r="C5" s="34"/>
      <c r="D5" s="34"/>
      <c r="E5" s="35"/>
      <c r="F5" s="35"/>
      <c r="G5" s="36"/>
      <c r="H5" s="35"/>
      <c r="I5" s="35"/>
      <c r="J5" s="35"/>
      <c r="K5" s="37"/>
      <c r="L5" s="37"/>
      <c r="M5" s="37"/>
      <c r="N5" s="37"/>
      <c r="O5" s="38"/>
      <c r="P5" s="38"/>
      <c r="Q5" s="38"/>
      <c r="R5" s="39"/>
      <c r="S5" s="39"/>
      <c r="T5" s="39"/>
      <c r="U5" s="35"/>
      <c r="V5" s="36"/>
      <c r="W5" s="39"/>
      <c r="X5" s="13"/>
      <c r="Y5" s="22"/>
    </row>
    <row r="6" spans="1:29" ht="21" customHeight="1" x14ac:dyDescent="0.25">
      <c r="A6" s="41"/>
      <c r="B6" s="34"/>
      <c r="C6" s="34"/>
      <c r="D6" s="34"/>
      <c r="E6" s="35"/>
      <c r="F6" s="35"/>
      <c r="G6" s="36"/>
      <c r="H6" s="35"/>
      <c r="I6" s="35"/>
      <c r="J6" s="35"/>
      <c r="K6" s="37"/>
      <c r="L6" s="37"/>
      <c r="M6" s="37"/>
      <c r="N6" s="37"/>
      <c r="O6" s="38"/>
      <c r="P6" s="38"/>
      <c r="Q6" s="38"/>
      <c r="R6" s="39"/>
      <c r="S6" s="39"/>
      <c r="T6" s="39"/>
      <c r="U6" s="35"/>
      <c r="V6" s="36"/>
      <c r="W6" s="39"/>
      <c r="X6" s="13"/>
      <c r="Y6" s="22"/>
    </row>
    <row r="7" spans="1:29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16"/>
      <c r="I7" s="35"/>
      <c r="J7" s="35"/>
      <c r="K7" s="37"/>
      <c r="L7" s="37"/>
      <c r="M7" s="37"/>
      <c r="N7" s="37"/>
      <c r="O7" s="38"/>
      <c r="P7" s="38"/>
      <c r="Q7" s="38"/>
      <c r="R7" s="43" t="s">
        <v>147</v>
      </c>
      <c r="S7" s="43"/>
      <c r="T7" s="43"/>
      <c r="U7" s="43"/>
      <c r="V7" s="43"/>
      <c r="W7" s="43" t="s">
        <v>148</v>
      </c>
      <c r="X7" s="43"/>
      <c r="Y7" s="43"/>
    </row>
    <row r="8" spans="1:29" ht="15" customHeight="1" x14ac:dyDescent="0.25">
      <c r="A8" s="44" t="s">
        <v>224</v>
      </c>
      <c r="B8" s="45"/>
      <c r="C8" s="45"/>
      <c r="D8" s="45"/>
      <c r="E8" s="46"/>
      <c r="F8" s="46"/>
      <c r="G8" s="36"/>
      <c r="H8" s="46"/>
      <c r="I8" s="35"/>
      <c r="J8" s="35"/>
      <c r="K8" s="37"/>
      <c r="L8" s="37"/>
      <c r="M8" s="37"/>
      <c r="N8" s="37"/>
      <c r="O8" s="38"/>
      <c r="P8" s="38"/>
      <c r="Q8" s="38"/>
      <c r="R8" s="105" t="s">
        <v>239</v>
      </c>
      <c r="S8" s="87"/>
      <c r="T8" s="106"/>
      <c r="U8" s="46"/>
      <c r="V8" s="107"/>
      <c r="W8" s="108">
        <v>46171</v>
      </c>
      <c r="X8" s="13"/>
      <c r="Y8" s="22"/>
    </row>
    <row r="9" spans="1:29" ht="15" customHeight="1" x14ac:dyDescent="0.25">
      <c r="A9" s="46"/>
      <c r="B9" s="45"/>
      <c r="C9" s="46"/>
      <c r="D9" s="46"/>
      <c r="E9" s="35"/>
      <c r="F9" s="46"/>
      <c r="G9" s="36"/>
      <c r="H9" s="46"/>
      <c r="I9" s="35"/>
      <c r="J9" s="35"/>
      <c r="K9" s="37"/>
      <c r="L9" s="37"/>
      <c r="M9" s="37"/>
      <c r="N9" s="37"/>
      <c r="O9" s="38"/>
      <c r="P9" s="38"/>
      <c r="Q9" s="38"/>
      <c r="R9" s="86"/>
      <c r="S9" s="320"/>
      <c r="T9" s="320"/>
      <c r="U9" s="46"/>
      <c r="V9" s="107"/>
      <c r="W9" s="33"/>
      <c r="X9" s="13"/>
      <c r="Y9" s="22"/>
    </row>
    <row r="10" spans="1:29" ht="15" customHeight="1" x14ac:dyDescent="0.25">
      <c r="A10" s="46"/>
      <c r="B10" s="45"/>
      <c r="C10" s="46"/>
      <c r="D10" s="46"/>
      <c r="E10" s="35"/>
      <c r="F10" s="46"/>
      <c r="G10" s="36"/>
      <c r="H10" s="46"/>
      <c r="I10" s="35"/>
      <c r="J10" s="35"/>
      <c r="K10" s="37"/>
      <c r="L10" s="37"/>
      <c r="M10" s="37"/>
      <c r="N10" s="37"/>
      <c r="O10" s="38"/>
      <c r="P10" s="38"/>
      <c r="Q10" s="38"/>
      <c r="R10" s="42" t="s">
        <v>149</v>
      </c>
      <c r="S10" s="43"/>
      <c r="T10" s="43"/>
      <c r="U10" s="43"/>
      <c r="V10" s="43"/>
      <c r="W10" s="43" t="s">
        <v>150</v>
      </c>
      <c r="X10" s="43"/>
      <c r="Y10" s="43"/>
    </row>
    <row r="11" spans="1:29" ht="15" customHeight="1" x14ac:dyDescent="0.25">
      <c r="A11" s="46"/>
      <c r="B11" s="34"/>
      <c r="C11" s="35"/>
      <c r="D11" s="35"/>
      <c r="E11" s="35"/>
      <c r="F11" s="46"/>
      <c r="G11" s="46"/>
      <c r="H11" s="46"/>
      <c r="I11" s="35"/>
      <c r="J11" s="35"/>
      <c r="K11" s="37"/>
      <c r="L11" s="37"/>
      <c r="M11" s="37"/>
      <c r="N11" s="37"/>
      <c r="O11" s="38"/>
      <c r="P11" s="38"/>
      <c r="Q11" s="38"/>
      <c r="R11" s="105" t="s">
        <v>240</v>
      </c>
      <c r="S11" s="86"/>
      <c r="T11" s="86"/>
      <c r="U11" s="46"/>
      <c r="V11" s="107"/>
      <c r="W11" s="86"/>
      <c r="X11" s="13"/>
      <c r="Y11" s="22"/>
    </row>
    <row r="12" spans="1:29" ht="17.25" customHeight="1" x14ac:dyDescent="0.25">
      <c r="A12" s="46"/>
      <c r="B12" s="34"/>
      <c r="C12" s="35"/>
      <c r="D12" s="35"/>
      <c r="E12" s="35"/>
      <c r="F12" s="46"/>
      <c r="G12" s="46"/>
      <c r="H12" s="46"/>
      <c r="I12" s="35"/>
      <c r="J12" s="35"/>
      <c r="K12" s="37"/>
      <c r="L12" s="37"/>
      <c r="M12" s="37"/>
      <c r="N12" s="37"/>
      <c r="O12" s="38"/>
      <c r="P12" s="38"/>
      <c r="Q12" s="38"/>
      <c r="R12" s="35"/>
      <c r="S12" s="35"/>
      <c r="T12" s="48"/>
      <c r="U12" s="48"/>
      <c r="V12" s="47"/>
      <c r="W12" s="49"/>
      <c r="X12" s="13"/>
      <c r="Y12" s="22"/>
    </row>
    <row r="13" spans="1:29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5"/>
      <c r="K13" s="35"/>
      <c r="L13" s="50"/>
      <c r="M13" s="50" t="s">
        <v>137</v>
      </c>
      <c r="N13" s="50"/>
      <c r="O13" s="51"/>
      <c r="P13" s="51" t="s">
        <v>138</v>
      </c>
      <c r="Q13" s="51"/>
      <c r="R13" s="52"/>
      <c r="S13" s="52" t="s">
        <v>134</v>
      </c>
      <c r="T13" s="52"/>
      <c r="U13" s="35"/>
      <c r="V13" s="35"/>
      <c r="W13" s="89"/>
      <c r="X13" s="16" t="s">
        <v>142</v>
      </c>
    </row>
    <row r="14" spans="1:29" s="17" customFormat="1" ht="41.25" customHeight="1" x14ac:dyDescent="0.2">
      <c r="A14" s="53" t="s">
        <v>158</v>
      </c>
      <c r="B14" s="53" t="s">
        <v>0</v>
      </c>
      <c r="C14" s="53" t="s">
        <v>1</v>
      </c>
      <c r="D14" s="53" t="s">
        <v>217</v>
      </c>
      <c r="E14" s="54" t="s">
        <v>135</v>
      </c>
      <c r="F14" s="54" t="s">
        <v>157</v>
      </c>
      <c r="G14" s="54" t="s">
        <v>3</v>
      </c>
      <c r="H14" s="54" t="s">
        <v>152</v>
      </c>
      <c r="I14" s="54" t="s">
        <v>105</v>
      </c>
      <c r="J14" s="54" t="s">
        <v>5</v>
      </c>
      <c r="K14" s="55" t="s">
        <v>64</v>
      </c>
      <c r="L14" s="55" t="s">
        <v>136</v>
      </c>
      <c r="M14" s="55" t="s">
        <v>24</v>
      </c>
      <c r="N14" s="55" t="s">
        <v>108</v>
      </c>
      <c r="O14" s="56" t="s">
        <v>136</v>
      </c>
      <c r="P14" s="56" t="s">
        <v>24</v>
      </c>
      <c r="Q14" s="56" t="s">
        <v>108</v>
      </c>
      <c r="R14" s="54" t="s">
        <v>136</v>
      </c>
      <c r="S14" s="54" t="s">
        <v>24</v>
      </c>
      <c r="T14" s="54" t="s">
        <v>108</v>
      </c>
      <c r="U14" s="131" t="s">
        <v>159</v>
      </c>
      <c r="V14" s="91" t="s">
        <v>6</v>
      </c>
      <c r="W14" s="92" t="s">
        <v>7</v>
      </c>
      <c r="X14" s="53" t="s">
        <v>214</v>
      </c>
      <c r="Y14" s="26" t="s">
        <v>141</v>
      </c>
      <c r="AC14" s="16"/>
    </row>
    <row r="15" spans="1:29" s="17" customFormat="1" ht="36" customHeight="1" x14ac:dyDescent="0.2">
      <c r="A15" s="57">
        <v>1</v>
      </c>
      <c r="B15" s="57" t="str" cm="1">
        <f t="array" ref="B15">_xlfn.LET(_xlpm.r,_xlfn.XLOOKUP(1,
(TRIM([1]CODE_PRICE!$A$3:$A$2000)=TRIM($C$4))*
(TRIM([1]CODE_PRICE!$B$3:$B$2000)=TRIM(C15)),
[1]CODE_PRICE!$C$3:$C$2000,
""),
IF(OR(_xlpm.r="",_xlpm.r=0),"",_xlpm.r))</f>
        <v/>
      </c>
      <c r="C15" s="57" t="s">
        <v>45</v>
      </c>
      <c r="D15" s="57" t="s">
        <v>234</v>
      </c>
      <c r="E15" s="58" t="s">
        <v>235</v>
      </c>
      <c r="F15" s="58" t="s">
        <v>124</v>
      </c>
      <c r="G15" s="58" t="s">
        <v>224</v>
      </c>
      <c r="H15" s="60" t="str">
        <f>IF(COUNTIFS($C$15:C15,C15,$I$15:I15,I15)=1,
SUMIFS($J$15:$J$43,$C$15:$C$43,C15,$I$15:$I$43,I15)&amp;I15&amp;" "&amp;C15,
"")</f>
        <v>3Q CFN28112W</v>
      </c>
      <c r="I15" s="58" t="s">
        <v>16</v>
      </c>
      <c r="J15" s="61">
        <v>1</v>
      </c>
      <c r="K15" s="62"/>
      <c r="L15" s="63"/>
      <c r="M15" s="64"/>
      <c r="N15" s="63"/>
      <c r="O15" s="65">
        <v>79.5</v>
      </c>
      <c r="P15" s="65">
        <v>59.5</v>
      </c>
      <c r="Q15" s="65">
        <v>41</v>
      </c>
      <c r="R15" s="59">
        <v>79.5</v>
      </c>
      <c r="S15" s="59">
        <v>43.5</v>
      </c>
      <c r="T15" s="59">
        <f t="shared" ref="T15:T20" si="0">IF(F15="untrim",N15-0.5,Q15-0.5)</f>
        <v>40.5</v>
      </c>
      <c r="U15" s="93">
        <f t="shared" ref="U15:U20" si="1">IFERROR(R15*S15*T15/144*J15,"")</f>
        <v>972.6328125</v>
      </c>
      <c r="V15" s="94">
        <v>0.23230000000000001</v>
      </c>
      <c r="W15" s="95">
        <f t="shared" ref="W15:W20" si="2">U15*V15</f>
        <v>225.94260234375</v>
      </c>
      <c r="X15" s="244" t="s">
        <v>242</v>
      </c>
      <c r="Y15" s="24">
        <f>IF(COUNTIF($C$15:C15,C15)=1,ROUND(SUMIF($C:$C,C15,$W:$W),2), "")</f>
        <v>2996.57</v>
      </c>
    </row>
    <row r="16" spans="1:29" s="17" customFormat="1" ht="36" customHeight="1" x14ac:dyDescent="0.2">
      <c r="A16" s="57">
        <f>A15+1</f>
        <v>2</v>
      </c>
      <c r="B16" s="57" t="str" cm="1">
        <f t="array" ref="B16">_xlfn.LET(_xlpm.r,_xlfn.XLOOKUP(1,
(TRIM([1]CODE_PRICE!$A$3:$A$2000)=TRIM($C$4))*
(TRIM([1]CODE_PRICE!$B$3:$B$2000)=TRIM(C16)),
[1]CODE_PRICE!$C$3:$C$2000,
""),
IF(OR(_xlpm.r="",_xlpm.r=0),"",_xlpm.r))</f>
        <v/>
      </c>
      <c r="C16" s="57" t="s">
        <v>45</v>
      </c>
      <c r="D16" s="57" t="s">
        <v>234</v>
      </c>
      <c r="E16" s="58" t="s">
        <v>235</v>
      </c>
      <c r="F16" s="58" t="s">
        <v>124</v>
      </c>
      <c r="G16" s="58" t="s">
        <v>224</v>
      </c>
      <c r="H16" s="60" t="str">
        <f>IF(COUNTIFS($C$15:C16,C16,$I$15:I16,I16)=1,
SUMIFS($J$15:$J$43,$C$15:$C$43,C16,$I$15:$I$43,I16)&amp;I16&amp;" "&amp;C16,
"")</f>
        <v/>
      </c>
      <c r="I16" s="58" t="s">
        <v>16</v>
      </c>
      <c r="J16" s="61">
        <v>1</v>
      </c>
      <c r="K16" s="62"/>
      <c r="L16" s="63"/>
      <c r="M16" s="64"/>
      <c r="N16" s="63"/>
      <c r="O16" s="65">
        <v>79.5</v>
      </c>
      <c r="P16" s="65">
        <v>59.5</v>
      </c>
      <c r="Q16" s="65">
        <v>40</v>
      </c>
      <c r="R16" s="59">
        <v>79.5</v>
      </c>
      <c r="S16" s="59">
        <v>43.5</v>
      </c>
      <c r="T16" s="59">
        <f t="shared" si="0"/>
        <v>39.5</v>
      </c>
      <c r="U16" s="93">
        <f t="shared" si="1"/>
        <v>948.6171875</v>
      </c>
      <c r="V16" s="94">
        <v>0.23230000000000001</v>
      </c>
      <c r="W16" s="95">
        <f t="shared" si="2"/>
        <v>220.36377265625001</v>
      </c>
      <c r="X16" s="244" t="str">
        <f>IF(OR(E16="",C16=""),"",IF(COUNTIFS($E$15:E16,E16,$C$15:C16,C16)=1,E16&amp;" - "&amp;C16&amp;" - "&amp;SUMIFS($J$15:$J$4996,$E$15:$E$4996,E16,$C$15:$C$4996,C16)&amp;I16&amp;" - "&amp;TEXT(SUMIFS($U$15:$U$4996,$E$15:$E$4996,E16,$C$15:$C$4996,C16),"0.00")&amp;" Bf",""))</f>
        <v/>
      </c>
      <c r="Y16" s="24" t="str">
        <f>IF(COUNTIF($C$15:C16,C16)=1,ROUND(SUMIF($C:$C,C16,$W:$W),2), "")</f>
        <v/>
      </c>
    </row>
    <row r="17" spans="1:25" s="17" customFormat="1" ht="36" customHeight="1" x14ac:dyDescent="0.2">
      <c r="A17" s="57">
        <f t="shared" ref="A17:A22" si="3">A16+1</f>
        <v>3</v>
      </c>
      <c r="B17" s="57" t="str" cm="1">
        <f t="array" ref="B17">_xlfn.LET(_xlpm.r,_xlfn.XLOOKUP(1,
(TRIM([1]CODE_PRICE!$A$3:$A$2000)=TRIM($C$4))*
(TRIM([1]CODE_PRICE!$B$3:$B$2000)=TRIM(C17)),
[1]CODE_PRICE!$C$3:$C$2000,
""),
IF(OR(_xlpm.r="",_xlpm.r=0),"",_xlpm.r))</f>
        <v/>
      </c>
      <c r="C17" s="57" t="s">
        <v>45</v>
      </c>
      <c r="D17" s="57" t="s">
        <v>234</v>
      </c>
      <c r="E17" s="58" t="s">
        <v>235</v>
      </c>
      <c r="F17" s="58" t="s">
        <v>124</v>
      </c>
      <c r="G17" s="58" t="s">
        <v>224</v>
      </c>
      <c r="H17" s="60" t="str">
        <f>IF(COUNTIFS($C$15:C17,C17,$I$15:I17,I17)=1,
SUMIFS($J$15:$J$43,$C$15:$C$43,C17,$I$15:$I$43,I17)&amp;I17&amp;" "&amp;C17,
"")</f>
        <v/>
      </c>
      <c r="I17" s="58" t="s">
        <v>16</v>
      </c>
      <c r="J17" s="61">
        <v>1</v>
      </c>
      <c r="K17" s="62"/>
      <c r="L17" s="63"/>
      <c r="M17" s="64"/>
      <c r="N17" s="63"/>
      <c r="O17" s="65">
        <v>79.5</v>
      </c>
      <c r="P17" s="65">
        <v>59.5</v>
      </c>
      <c r="Q17" s="65">
        <v>41</v>
      </c>
      <c r="R17" s="59">
        <v>79.5</v>
      </c>
      <c r="S17" s="59">
        <v>43.5</v>
      </c>
      <c r="T17" s="59">
        <f t="shared" si="0"/>
        <v>40.5</v>
      </c>
      <c r="U17" s="93">
        <f t="shared" si="1"/>
        <v>972.6328125</v>
      </c>
      <c r="V17" s="94">
        <v>0.23230000000000001</v>
      </c>
      <c r="W17" s="95">
        <f t="shared" si="2"/>
        <v>225.94260234375</v>
      </c>
      <c r="X17" s="244" t="str">
        <f>IF(OR(E17="",C17=""),"",IF(COUNTIFS($E$15:E17,E17,$C$15:C17,C17)=1,E17&amp;" - "&amp;C17&amp;" - "&amp;SUMIFS($J$15:$J$4996,$E$15:$E$4996,E17,$C$15:$C$4996,C17)&amp;I17&amp;" - "&amp;TEXT(SUMIFS($U$15:$U$4996,$E$15:$E$4996,E17,$C$15:$C$4996,C17),"0.00")&amp;" Bf",""))</f>
        <v/>
      </c>
      <c r="Y17" s="24" t="str">
        <f>IF(COUNTIF($C$15:C17,C17)=1,ROUND(SUMIF($C:$C,C17,$W:$W),2), "")</f>
        <v/>
      </c>
    </row>
    <row r="18" spans="1:25" s="17" customFormat="1" ht="36" customHeight="1" x14ac:dyDescent="0.2">
      <c r="A18" s="57">
        <f t="shared" si="3"/>
        <v>4</v>
      </c>
      <c r="B18" s="57" t="str" cm="1">
        <f t="array" ref="B18">_xlfn.LET(_xlpm.r,_xlfn.XLOOKUP(1,
(TRIM([1]CODE_PRICE!$A$3:$A$2000)=TRIM($C$4))*
(TRIM([1]CODE_PRICE!$B$3:$B$2000)=TRIM(C18)),
[1]CODE_PRICE!$C$3:$C$2000,
""),
IF(OR(_xlpm.r="",_xlpm.r=0),"",_xlpm.r))</f>
        <v/>
      </c>
      <c r="C18" s="57" t="s">
        <v>45</v>
      </c>
      <c r="D18" s="57" t="s">
        <v>234</v>
      </c>
      <c r="E18" s="58" t="s">
        <v>235</v>
      </c>
      <c r="F18" s="58" t="s">
        <v>124</v>
      </c>
      <c r="G18" s="58" t="s">
        <v>224</v>
      </c>
      <c r="H18" s="60" t="str">
        <f>IF(COUNTIFS($C$15:C18,C18,$I$15:I18,I18)=1,
SUMIFS($J$15:$J$43,$C$15:$C$43,C18,$I$15:$I$43,I18)&amp;I18&amp;" "&amp;C18,
"")</f>
        <v>3K CFN28112W</v>
      </c>
      <c r="I18" s="58" t="s">
        <v>18</v>
      </c>
      <c r="J18" s="61">
        <v>1</v>
      </c>
      <c r="K18" s="62"/>
      <c r="L18" s="63"/>
      <c r="M18" s="64"/>
      <c r="N18" s="63"/>
      <c r="O18" s="65">
        <v>79.5</v>
      </c>
      <c r="P18" s="65">
        <v>75.5</v>
      </c>
      <c r="Q18" s="65">
        <v>42.5</v>
      </c>
      <c r="R18" s="59">
        <v>79.5</v>
      </c>
      <c r="S18" s="59">
        <v>43.5</v>
      </c>
      <c r="T18" s="59">
        <f t="shared" si="0"/>
        <v>42</v>
      </c>
      <c r="U18" s="154">
        <f t="shared" si="1"/>
        <v>1008.65625</v>
      </c>
      <c r="V18" s="94">
        <v>0.23230000000000001</v>
      </c>
      <c r="W18" s="155">
        <f t="shared" si="2"/>
        <v>234.31084687500001</v>
      </c>
      <c r="X18" s="244" t="s">
        <v>243</v>
      </c>
      <c r="Y18" s="157" t="str">
        <f>IF(COUNTIF($C$15:C18,C18)=1,ROUND(SUMIF($C:$C,C18,$W:$W),2), "")</f>
        <v/>
      </c>
    </row>
    <row r="19" spans="1:25" s="17" customFormat="1" ht="36" customHeight="1" x14ac:dyDescent="0.2">
      <c r="A19" s="57">
        <f t="shared" si="3"/>
        <v>5</v>
      </c>
      <c r="B19" s="57" t="str" cm="1">
        <f t="array" ref="B19">_xlfn.LET(_xlpm.r,_xlfn.XLOOKUP(1,
(TRIM([1]CODE_PRICE!$A$3:$A$2000)=TRIM($C$4))*
(TRIM([1]CODE_PRICE!$B$3:$B$2000)=TRIM(C19)),
[1]CODE_PRICE!$C$3:$C$2000,
""),
IF(OR(_xlpm.r="",_xlpm.r=0),"",_xlpm.r))</f>
        <v/>
      </c>
      <c r="C19" s="57" t="s">
        <v>45</v>
      </c>
      <c r="D19" s="57" t="s">
        <v>234</v>
      </c>
      <c r="E19" s="58" t="s">
        <v>235</v>
      </c>
      <c r="F19" s="58" t="s">
        <v>124</v>
      </c>
      <c r="G19" s="58" t="s">
        <v>224</v>
      </c>
      <c r="H19" s="60" t="str">
        <f>IF(COUNTIFS($C$15:C19,C19,$I$15:I19,I19)=1,
SUMIFS($J$15:$J$43,$C$15:$C$43,C19,$I$15:$I$43,I19)&amp;I19&amp;" "&amp;C19,
"")</f>
        <v/>
      </c>
      <c r="I19" s="58" t="s">
        <v>18</v>
      </c>
      <c r="J19" s="61">
        <v>1</v>
      </c>
      <c r="K19" s="62"/>
      <c r="L19" s="63"/>
      <c r="M19" s="64"/>
      <c r="N19" s="63"/>
      <c r="O19" s="65">
        <v>79.5</v>
      </c>
      <c r="P19" s="65">
        <v>75.5</v>
      </c>
      <c r="Q19" s="65">
        <v>43</v>
      </c>
      <c r="R19" s="59">
        <v>79.5</v>
      </c>
      <c r="S19" s="59">
        <v>43.5</v>
      </c>
      <c r="T19" s="59">
        <f t="shared" si="0"/>
        <v>42.5</v>
      </c>
      <c r="U19" s="154">
        <f t="shared" si="1"/>
        <v>1020.6640625</v>
      </c>
      <c r="V19" s="94">
        <v>0.23230000000000001</v>
      </c>
      <c r="W19" s="155">
        <f t="shared" si="2"/>
        <v>237.10026171875001</v>
      </c>
      <c r="X19" s="244" t="str">
        <f>IF(OR(E19="",C19=""),"",IF(COUNTIFS($E$15:E19,E19,$C$15:C19,C19)=1,E19&amp;" - "&amp;C19&amp;" - "&amp;SUMIFS($J$15:$J$4996,$E$15:$E$4996,E19,$C$15:$C$4996,C19)&amp;I19&amp;" - "&amp;TEXT(SUMIFS($U$15:$U$4996,$E$15:$E$4996,E19,$C$15:$C$4996,C19),"0.00")&amp;" Bf",""))</f>
        <v/>
      </c>
      <c r="Y19" s="157" t="str">
        <f>IF(COUNTIF($C$15:C19,C19)=1,ROUND(SUMIF($C:$C,C19,$W:$W),2), "")</f>
        <v/>
      </c>
    </row>
    <row r="20" spans="1:25" s="17" customFormat="1" ht="36" customHeight="1" x14ac:dyDescent="0.2">
      <c r="A20" s="57">
        <f t="shared" si="3"/>
        <v>6</v>
      </c>
      <c r="B20" s="57" t="str" cm="1">
        <f t="array" ref="B20">_xlfn.LET(_xlpm.r,_xlfn.XLOOKUP(1,
(TRIM([1]CODE_PRICE!$A$3:$A$2000)=TRIM($C$4))*
(TRIM([1]CODE_PRICE!$B$3:$B$2000)=TRIM(C20)),
[1]CODE_PRICE!$C$3:$C$2000,
""),
IF(OR(_xlpm.r="",_xlpm.r=0),"",_xlpm.r))</f>
        <v/>
      </c>
      <c r="C20" s="57" t="s">
        <v>45</v>
      </c>
      <c r="D20" s="57" t="s">
        <v>234</v>
      </c>
      <c r="E20" s="58" t="s">
        <v>235</v>
      </c>
      <c r="F20" s="58" t="s">
        <v>124</v>
      </c>
      <c r="G20" s="58" t="s">
        <v>224</v>
      </c>
      <c r="H20" s="60" t="str">
        <f>IF(COUNTIFS($C$15:C20,C20,$I$15:I20,I20)=1,
SUMIFS($J$15:$J$43,$C$15:$C$43,C20,$I$15:$I$43,I20)&amp;I20&amp;" "&amp;C20,
"")</f>
        <v/>
      </c>
      <c r="I20" s="58" t="s">
        <v>18</v>
      </c>
      <c r="J20" s="61">
        <v>1</v>
      </c>
      <c r="K20" s="62"/>
      <c r="L20" s="63"/>
      <c r="M20" s="64"/>
      <c r="N20" s="63"/>
      <c r="O20" s="65">
        <v>79.5</v>
      </c>
      <c r="P20" s="65">
        <v>75.5</v>
      </c>
      <c r="Q20" s="65">
        <v>42.5</v>
      </c>
      <c r="R20" s="59">
        <v>79.5</v>
      </c>
      <c r="S20" s="59">
        <v>43.5</v>
      </c>
      <c r="T20" s="59">
        <f t="shared" si="0"/>
        <v>42</v>
      </c>
      <c r="U20" s="154">
        <f t="shared" si="1"/>
        <v>1008.65625</v>
      </c>
      <c r="V20" s="94">
        <v>0.23230000000000001</v>
      </c>
      <c r="W20" s="155">
        <f t="shared" si="2"/>
        <v>234.31084687500001</v>
      </c>
      <c r="X20" s="244" t="str">
        <f>IF(OR(E20="",C20=""),"",IF(COUNTIFS($E$15:E20,E20,$C$15:C20,C20)=1,E20&amp;" - "&amp;C20&amp;" - "&amp;SUMIFS($J$15:$J$4996,$E$15:$E$4996,E20,$C$15:$C$4996,C20)&amp;I20&amp;" - "&amp;TEXT(SUMIFS($U$15:$U$4996,$E$15:$E$4996,E20,$C$15:$C$4996,C20),"0.00")&amp;" Bf",""))</f>
        <v/>
      </c>
      <c r="Y20" s="157" t="str">
        <f>IF(COUNTIF($C$15:C20,C20)=1,ROUND(SUMIF($C:$C,C20,$W:$W),2), "")</f>
        <v/>
      </c>
    </row>
    <row r="21" spans="1:25" s="17" customFormat="1" ht="36" customHeight="1" x14ac:dyDescent="0.2">
      <c r="A21" s="57">
        <f t="shared" si="3"/>
        <v>7</v>
      </c>
      <c r="B21" s="57" t="str" cm="1">
        <f t="array" ref="B21">_xlfn.LET(_xlpm.r,_xlfn.XLOOKUP(1,
(TRIM([1]CODE_PRICE!$A$3:$A$2000)=TRIM($C$4))*
(TRIM([1]CODE_PRICE!$B$3:$B$2000)=TRIM(C21)),
[1]CODE_PRICE!$C$3:$C$2000,
""),
IF(OR(_xlpm.r="",_xlpm.r=0),"",_xlpm.r))</f>
        <v/>
      </c>
      <c r="C21" s="57" t="s">
        <v>45</v>
      </c>
      <c r="D21" s="57" t="s">
        <v>236</v>
      </c>
      <c r="E21" s="58" t="s">
        <v>238</v>
      </c>
      <c r="F21" s="58" t="s">
        <v>124</v>
      </c>
      <c r="G21" s="58" t="s">
        <v>224</v>
      </c>
      <c r="H21" s="60" t="str">
        <f>IF(COUNTIFS($C$15:C21,C21,$I$15:I21,I21)=1,
SUMIFS($J$15:$J$43,$C$15:$C$43,C21,$I$15:$I$43,I21)&amp;I21&amp;" "&amp;C21,
"")</f>
        <v>100S1 CFN28112W</v>
      </c>
      <c r="I21" s="58" t="s">
        <v>225</v>
      </c>
      <c r="J21" s="61">
        <v>100</v>
      </c>
      <c r="K21" s="62"/>
      <c r="L21" s="63"/>
      <c r="M21" s="64"/>
      <c r="N21" s="63"/>
      <c r="O21" s="65">
        <v>71</v>
      </c>
      <c r="P21" s="65">
        <v>51</v>
      </c>
      <c r="Q21" s="65">
        <v>1</v>
      </c>
      <c r="R21" s="59">
        <v>71</v>
      </c>
      <c r="S21" s="59">
        <v>51</v>
      </c>
      <c r="T21" s="59">
        <v>1</v>
      </c>
      <c r="U21" s="154">
        <f>IFERROR(R21*S21*T21*100/144,"")</f>
        <v>2514.5833333333335</v>
      </c>
      <c r="V21" s="94">
        <v>0.30130000000000001</v>
      </c>
      <c r="W21" s="155">
        <f>V21*U21</f>
        <v>757.64395833333344</v>
      </c>
      <c r="X21" s="256" t="s">
        <v>244</v>
      </c>
      <c r="Y21" s="157" t="str">
        <f>IF(COUNTIF($C$15:C21,C21)=1,ROUND(SUMIF($C:$C,C21,$W:$W),2), "")</f>
        <v/>
      </c>
    </row>
    <row r="22" spans="1:25" s="17" customFormat="1" ht="36" customHeight="1" x14ac:dyDescent="0.2">
      <c r="A22" s="57">
        <f t="shared" si="3"/>
        <v>8</v>
      </c>
      <c r="B22" s="57" t="str" cm="1">
        <f t="array" ref="B22">_xlfn.LET(_xlpm.r,_xlfn.XLOOKUP(1,
(TRIM([1]CODE_PRICE!$A$3:$A$2000)=TRIM($C$4))*
(TRIM([1]CODE_PRICE!$B$3:$B$2000)=TRIM(C22)),
[1]CODE_PRICE!$C$3:$C$2000,
""),
IF(OR(_xlpm.r="",_xlpm.r=0),"",_xlpm.r))</f>
        <v/>
      </c>
      <c r="C22" s="57" t="s">
        <v>45</v>
      </c>
      <c r="D22" s="57" t="s">
        <v>237</v>
      </c>
      <c r="E22" s="58" t="s">
        <v>238</v>
      </c>
      <c r="F22" s="58" t="s">
        <v>124</v>
      </c>
      <c r="G22" s="58" t="s">
        <v>224</v>
      </c>
      <c r="H22" s="60" t="str">
        <f>IF(COUNTIFS($C$15:C22,C22,$I$15:I22,I22)=1,
SUMIFS($J$15:$J$43,$C$15:$C$43,C22,$I$15:$I$43,I22)&amp;I22&amp;" "&amp;C22,
"")</f>
        <v>100S2 CFN28112W</v>
      </c>
      <c r="I22" s="58" t="s">
        <v>226</v>
      </c>
      <c r="J22" s="61">
        <v>100</v>
      </c>
      <c r="K22" s="62"/>
      <c r="L22" s="63"/>
      <c r="M22" s="64"/>
      <c r="N22" s="63"/>
      <c r="O22" s="65">
        <v>76</v>
      </c>
      <c r="P22" s="65">
        <v>56</v>
      </c>
      <c r="Q22" s="65">
        <v>1</v>
      </c>
      <c r="R22" s="59">
        <v>76</v>
      </c>
      <c r="S22" s="59">
        <v>56</v>
      </c>
      <c r="T22" s="59">
        <v>1</v>
      </c>
      <c r="U22" s="154">
        <f>IFERROR(R22*S22*T22*100/144,"")</f>
        <v>2955.5555555555557</v>
      </c>
      <c r="V22" s="94">
        <v>0.2913</v>
      </c>
      <c r="W22" s="155">
        <f>V22*U22</f>
        <v>860.95333333333338</v>
      </c>
      <c r="X22" s="256" t="s">
        <v>245</v>
      </c>
      <c r="Y22" s="157" t="str">
        <f>IF(COUNTIF($C$15:C22,C22)=1,ROUND(SUMIF($C:$C,C22,$W:$W),2), "")</f>
        <v/>
      </c>
    </row>
    <row r="23" spans="1:25" s="17" customFormat="1" ht="36" hidden="1" customHeight="1" x14ac:dyDescent="0.2">
      <c r="A23" s="57"/>
      <c r="B23" s="57"/>
      <c r="C23" s="57"/>
      <c r="D23" s="57" t="str" cm="1">
        <f t="array" ref="D23">IFERROR(
_xlfn.XLOOKUP(1,
([1]CODE_PRICE!$A$2:$A$1000=$A$8)*
([1]CODE_PRICE!$B$2:$B$1000=C23),
[1]CODE_PRICE!$C$2:$C$1000
),
"")</f>
        <v/>
      </c>
      <c r="E23" s="58"/>
      <c r="F23" s="58"/>
      <c r="G23" s="58"/>
      <c r="H23" s="57"/>
      <c r="I23" s="58"/>
      <c r="J23" s="61"/>
      <c r="K23" s="62"/>
      <c r="L23" s="63"/>
      <c r="M23" s="64"/>
      <c r="N23" s="63"/>
      <c r="O23" s="65"/>
      <c r="P23" s="65"/>
      <c r="Q23" s="65"/>
      <c r="R23" s="59"/>
      <c r="S23" s="59"/>
      <c r="T23" s="59"/>
      <c r="U23" s="154"/>
      <c r="V23" s="94"/>
      <c r="W23" s="155"/>
      <c r="X23" s="166" t="str">
        <f>IF(OR(E23="",C23=""),"",IF(COUNTIFS($E$15:E23,E23,$C$15:C23,C23)=1,E23&amp;" - "&amp;C23&amp;" - "&amp;SUMIFS($J$15:$J$4996,$E$15:$E$4996,E23,$C$15:$C$4996,C23)&amp;I23&amp;" - "&amp;TEXT(SUMIFS($U$15:$U$4996,$E$15:$E$4996,E23,$C$15:$C$4996,C23),"0.00")&amp;" Bf",""))</f>
        <v/>
      </c>
      <c r="Y23" s="157" t="str">
        <f>IF(COUNTIF($C$15:C23,C23)=1,ROUND(SUMIF($C:$C,C23,$W:$W),2), "")</f>
        <v/>
      </c>
    </row>
    <row r="24" spans="1:25" s="17" customFormat="1" ht="36" hidden="1" customHeight="1" x14ac:dyDescent="0.2">
      <c r="A24" s="57"/>
      <c r="B24" s="57"/>
      <c r="C24" s="57"/>
      <c r="D24" s="57" t="str" cm="1">
        <f t="array" ref="D24">IFERROR(
_xlfn.XLOOKUP(1,
([1]CODE_PRICE!$A$2:$A$1000=$A$8)*
([1]CODE_PRICE!$B$2:$B$1000=C24),
[1]CODE_PRICE!$C$2:$C$1000
),
"")</f>
        <v/>
      </c>
      <c r="E24" s="58"/>
      <c r="F24" s="58"/>
      <c r="G24" s="59"/>
      <c r="H24" s="60"/>
      <c r="I24" s="58"/>
      <c r="J24" s="61"/>
      <c r="K24" s="62"/>
      <c r="L24" s="63"/>
      <c r="M24" s="64"/>
      <c r="N24" s="63"/>
      <c r="O24" s="65"/>
      <c r="P24" s="65"/>
      <c r="Q24" s="65"/>
      <c r="R24" s="66"/>
      <c r="S24" s="59"/>
      <c r="T24" s="59"/>
      <c r="U24" s="93"/>
      <c r="V24" s="99"/>
      <c r="W24" s="95"/>
      <c r="X24" s="59" t="str">
        <f>IF(OR(E24="",C24=""),"",IF(COUNTIFS($E$15:E24,E24,$C$15:C24,C24)=1,E24&amp;" - "&amp;C24&amp;" - "&amp;SUMIFS($J$15:$J$4996,$E$15:$E$4996,E24,$C$15:$C$4996,C24)&amp;I24&amp;" - "&amp;TEXT(SUMIFS($U$15:$U$4996,$E$15:$E$4996,E24,$C$15:$C$4996,C24),"0.00")&amp;" Bf",""))</f>
        <v/>
      </c>
      <c r="Y24" s="103" t="str">
        <f>IF(COUNTIF($C$15:C24,C24)=1,ROUND(SUMIF($C:$C,C24,$W:$W),2), "")</f>
        <v/>
      </c>
    </row>
    <row r="25" spans="1:25" s="17" customFormat="1" ht="36" hidden="1" customHeight="1" x14ac:dyDescent="0.2">
      <c r="A25" s="57"/>
      <c r="B25" s="57"/>
      <c r="C25" s="57"/>
      <c r="D25" s="57" t="str" cm="1">
        <f t="array" ref="D25">IFERROR(
_xlfn.XLOOKUP(1,
([1]CODE_PRICE!$A$2:$A$1000=$A$8)*
([1]CODE_PRICE!$B$2:$B$1000=C25),
[1]CODE_PRICE!$C$2:$C$1000
),
"")</f>
        <v/>
      </c>
      <c r="E25" s="58"/>
      <c r="F25" s="58"/>
      <c r="G25" s="59"/>
      <c r="H25" s="60"/>
      <c r="I25" s="58"/>
      <c r="J25" s="61"/>
      <c r="K25" s="62"/>
      <c r="L25" s="63"/>
      <c r="M25" s="64"/>
      <c r="N25" s="63"/>
      <c r="O25" s="65"/>
      <c r="P25" s="65"/>
      <c r="Q25" s="65"/>
      <c r="R25" s="66"/>
      <c r="S25" s="59"/>
      <c r="T25" s="59"/>
      <c r="U25" s="93"/>
      <c r="V25" s="99"/>
      <c r="W25" s="95"/>
      <c r="X25" s="59" t="str">
        <f>IF(OR(E25="",C25=""),"",IF(COUNTIFS($E$15:E25,E25,$C$15:C25,C25)=1,E25&amp;" - "&amp;C25&amp;" - "&amp;SUMIFS($J$15:$J$4996,$E$15:$E$4996,E25,$C$15:$C$4996,C25)&amp;I25&amp;" - "&amp;TEXT(SUMIFS($U$15:$U$4996,$E$15:$E$4996,E25,$C$15:$C$4996,C25),"0.00")&amp;" Bf",""))</f>
        <v/>
      </c>
      <c r="Y25" s="103" t="str">
        <f>IF(COUNTIF($C$15:C25,C25)=1,ROUND(SUMIF($C:$C,C25,$W:$W),2), "")</f>
        <v/>
      </c>
    </row>
    <row r="26" spans="1:25" s="17" customFormat="1" ht="36" hidden="1" customHeight="1" x14ac:dyDescent="0.2">
      <c r="A26" s="57"/>
      <c r="B26" s="57"/>
      <c r="C26" s="57"/>
      <c r="D26" s="57" t="str" cm="1">
        <f t="array" ref="D26">IFERROR(
_xlfn.XLOOKUP(1,
([1]CODE_PRICE!$A$2:$A$1000=$A$8)*
([1]CODE_PRICE!$B$2:$B$1000=C26),
[1]CODE_PRICE!$C$2:$C$1000
),
"")</f>
        <v/>
      </c>
      <c r="E26" s="58"/>
      <c r="F26" s="58"/>
      <c r="G26" s="59"/>
      <c r="H26" s="60"/>
      <c r="I26" s="58"/>
      <c r="J26" s="61"/>
      <c r="K26" s="62"/>
      <c r="L26" s="63"/>
      <c r="M26" s="64"/>
      <c r="N26" s="63"/>
      <c r="O26" s="65"/>
      <c r="P26" s="65"/>
      <c r="Q26" s="65"/>
      <c r="R26" s="66"/>
      <c r="S26" s="59"/>
      <c r="T26" s="59"/>
      <c r="U26" s="93"/>
      <c r="V26" s="99"/>
      <c r="W26" s="95"/>
      <c r="X26" s="59" t="str">
        <f>IF(OR(E26="",C26=""),"",IF(COUNTIFS($E$15:E26,E26,$C$15:C26,C26)=1,E26&amp;" - "&amp;C26&amp;" - "&amp;SUMIFS($J$15:$J$4996,$E$15:$E$4996,E26,$C$15:$C$4996,C26)&amp;I26&amp;" - "&amp;TEXT(SUMIFS($U$15:$U$4996,$E$15:$E$4996,E26,$C$15:$C$4996,C26),"0.00")&amp;" Bf",""))</f>
        <v/>
      </c>
      <c r="Y26" s="103" t="str">
        <f>IF(COUNTIF($C$15:C26,C26)=1,ROUND(SUMIF($C:$C,C26,$W:$W),2), "")</f>
        <v/>
      </c>
    </row>
    <row r="27" spans="1:25" s="17" customFormat="1" ht="36" hidden="1" customHeight="1" x14ac:dyDescent="0.2">
      <c r="A27" s="57"/>
      <c r="B27" s="57"/>
      <c r="C27" s="57"/>
      <c r="D27" s="57" t="str" cm="1">
        <f t="array" ref="D27">IFERROR(
_xlfn.XLOOKUP(1,
([1]CODE_PRICE!$A$2:$A$1000=$A$8)*
([1]CODE_PRICE!$B$2:$B$1000=C27),
[1]CODE_PRICE!$C$2:$C$1000
),
"")</f>
        <v/>
      </c>
      <c r="E27" s="58"/>
      <c r="F27" s="58"/>
      <c r="G27" s="59"/>
      <c r="H27" s="60"/>
      <c r="I27" s="58"/>
      <c r="J27" s="61"/>
      <c r="K27" s="62"/>
      <c r="L27" s="63"/>
      <c r="M27" s="64"/>
      <c r="N27" s="63"/>
      <c r="O27" s="65"/>
      <c r="P27" s="65"/>
      <c r="Q27" s="65"/>
      <c r="R27" s="66"/>
      <c r="S27" s="59"/>
      <c r="T27" s="59"/>
      <c r="U27" s="93"/>
      <c r="V27" s="99"/>
      <c r="W27" s="95"/>
      <c r="X27" s="59" t="str">
        <f>IF(OR(E27="",C27=""),"",IF(COUNTIFS($E$15:E27,E27,$C$15:C27,C27)=1,E27&amp;" - "&amp;C27&amp;" - "&amp;SUMIFS($J$15:$J$4996,$E$15:$E$4996,E27,$C$15:$C$4996,C27)&amp;I27&amp;" - "&amp;TEXT(SUMIFS($U$15:$U$4996,$E$15:$E$4996,E27,$C$15:$C$4996,C27),"0.00")&amp;" Bf",""))</f>
        <v/>
      </c>
      <c r="Y27" s="103" t="str">
        <f>IF(COUNTIF($C$15:C27,C27)=1,ROUND(SUMIF($C:$C,C27,$W:$W),2), "")</f>
        <v/>
      </c>
    </row>
    <row r="28" spans="1:25" s="17" customFormat="1" ht="36" hidden="1" customHeight="1" x14ac:dyDescent="0.2">
      <c r="A28" s="57"/>
      <c r="B28" s="57"/>
      <c r="C28" s="57"/>
      <c r="D28" s="57" t="str" cm="1">
        <f t="array" ref="D28">IFERROR(
_xlfn.XLOOKUP(1,
([1]CODE_PRICE!$A$2:$A$1000=$A$8)*
([1]CODE_PRICE!$B$2:$B$1000=C28),
[1]CODE_PRICE!$C$2:$C$1000
),
"")</f>
        <v/>
      </c>
      <c r="E28" s="58"/>
      <c r="F28" s="58"/>
      <c r="G28" s="59"/>
      <c r="H28" s="60"/>
      <c r="I28" s="58"/>
      <c r="J28" s="61"/>
      <c r="K28" s="62"/>
      <c r="L28" s="63"/>
      <c r="M28" s="64"/>
      <c r="N28" s="63"/>
      <c r="O28" s="65"/>
      <c r="P28" s="65"/>
      <c r="Q28" s="65"/>
      <c r="R28" s="66"/>
      <c r="S28" s="59"/>
      <c r="T28" s="59"/>
      <c r="U28" s="93"/>
      <c r="V28" s="99"/>
      <c r="W28" s="95"/>
      <c r="X28" s="59" t="str">
        <f>IF(OR(E28="",C28=""),"",IF(COUNTIFS($E$15:E28,E28,$C$15:C28,C28)=1,E28&amp;" - "&amp;C28&amp;" - "&amp;SUMIFS($J$15:$J$4996,$E$15:$E$4996,E28,$C$15:$C$4996,C28)&amp;I28&amp;" - "&amp;TEXT(SUMIFS($U$15:$U$4996,$E$15:$E$4996,E28,$C$15:$C$4996,C28),"0.00")&amp;" Bf",""))</f>
        <v/>
      </c>
      <c r="Y28" s="103" t="str">
        <f>IF(COUNTIF($C$15:C28,C28)=1,ROUND(SUMIF($C:$C,C28,$W:$W),2), "")</f>
        <v/>
      </c>
    </row>
    <row r="29" spans="1:25" s="17" customFormat="1" ht="36" hidden="1" customHeight="1" x14ac:dyDescent="0.2">
      <c r="A29" s="57"/>
      <c r="B29" s="57"/>
      <c r="C29" s="57"/>
      <c r="D29" s="57" t="str" cm="1">
        <f t="array" ref="D29">IFERROR(
_xlfn.XLOOKUP(1,
([1]CODE_PRICE!$A$2:$A$1000=$A$8)*
([1]CODE_PRICE!$B$2:$B$1000=C29),
[1]CODE_PRICE!$C$2:$C$1000
),
"")</f>
        <v/>
      </c>
      <c r="E29" s="58"/>
      <c r="F29" s="58"/>
      <c r="G29" s="59"/>
      <c r="H29" s="60"/>
      <c r="I29" s="58"/>
      <c r="J29" s="61"/>
      <c r="K29" s="62"/>
      <c r="L29" s="63"/>
      <c r="M29" s="64"/>
      <c r="N29" s="63"/>
      <c r="O29" s="65"/>
      <c r="P29" s="65"/>
      <c r="Q29" s="65"/>
      <c r="R29" s="66"/>
      <c r="S29" s="59"/>
      <c r="T29" s="59"/>
      <c r="U29" s="93"/>
      <c r="V29" s="99"/>
      <c r="W29" s="95"/>
      <c r="X29" s="59" t="str">
        <f>IF(OR(E29="",C29=""),"",IF(COUNTIFS($E$15:E29,E29,$C$15:C29,C29)=1,E29&amp;" - "&amp;C29&amp;" - "&amp;SUMIFS($J$15:$J$4996,$E$15:$E$4996,E29,$C$15:$C$4996,C29)&amp;I29&amp;" - "&amp;TEXT(SUMIFS($U$15:$U$4996,$E$15:$E$4996,E29,$C$15:$C$4996,C29),"0.00")&amp;" Bf",""))</f>
        <v/>
      </c>
      <c r="Y29" s="103" t="str">
        <f>IF(COUNTIF($C$15:C29,C29)=1,ROUND(SUMIF($C:$C,C29,$W:$W),2), "")</f>
        <v/>
      </c>
    </row>
    <row r="30" spans="1:25" s="17" customFormat="1" ht="36" hidden="1" customHeight="1" x14ac:dyDescent="0.2">
      <c r="A30" s="57"/>
      <c r="B30" s="57"/>
      <c r="C30" s="57"/>
      <c r="D30" s="57" t="str" cm="1">
        <f t="array" ref="D30">IFERROR(
_xlfn.XLOOKUP(1,
([1]CODE_PRICE!$A$2:$A$1000=$A$8)*
([1]CODE_PRICE!$B$2:$B$1000=C30),
[1]CODE_PRICE!$C$2:$C$1000
),
"")</f>
        <v/>
      </c>
      <c r="E30" s="58"/>
      <c r="F30" s="58"/>
      <c r="G30" s="59"/>
      <c r="H30" s="60"/>
      <c r="I30" s="58"/>
      <c r="J30" s="61"/>
      <c r="K30" s="62"/>
      <c r="L30" s="63"/>
      <c r="M30" s="64"/>
      <c r="N30" s="63"/>
      <c r="O30" s="65"/>
      <c r="P30" s="65"/>
      <c r="Q30" s="65"/>
      <c r="R30" s="66"/>
      <c r="S30" s="59"/>
      <c r="T30" s="59"/>
      <c r="U30" s="93"/>
      <c r="V30" s="99"/>
      <c r="W30" s="95"/>
      <c r="X30" s="59" t="str">
        <f>IF(OR(E30="",C30=""),"",IF(COUNTIFS($E$15:E30,E30,$C$15:C30,C30)=1,E30&amp;" - "&amp;C30&amp;" - "&amp;SUMIFS($J$15:$J$4996,$E$15:$E$4996,E30,$C$15:$C$4996,C30)&amp;I30&amp;" - "&amp;TEXT(SUMIFS($U$15:$U$4996,$E$15:$E$4996,E30,$C$15:$C$4996,C30),"0.00")&amp;" Bf",""))</f>
        <v/>
      </c>
      <c r="Y30" s="103" t="str">
        <f>IF(COUNTIF($C$15:C30,C30)=1,ROUND(SUMIF($C:$C,C30,$W:$W),2), "")</f>
        <v/>
      </c>
    </row>
    <row r="31" spans="1:25" s="17" customFormat="1" ht="41.25" hidden="1" customHeight="1" x14ac:dyDescent="0.2">
      <c r="A31" s="57"/>
      <c r="B31" s="57"/>
      <c r="C31" s="57"/>
      <c r="D31" s="57" t="str" cm="1">
        <f t="array" ref="D31">IFERROR(
_xlfn.XLOOKUP(1,
([1]CODE_PRICE!$A$2:$A$1000=$A$8)*
([1]CODE_PRICE!$B$2:$B$1000=C31),
[1]CODE_PRICE!$C$2:$C$1000
),
"")</f>
        <v/>
      </c>
      <c r="E31" s="58"/>
      <c r="F31" s="58"/>
      <c r="G31" s="59"/>
      <c r="H31" s="60"/>
      <c r="I31" s="58"/>
      <c r="J31" s="61"/>
      <c r="K31" s="62"/>
      <c r="L31" s="63"/>
      <c r="M31" s="64"/>
      <c r="N31" s="63"/>
      <c r="O31" s="65"/>
      <c r="P31" s="65"/>
      <c r="Q31" s="65"/>
      <c r="R31" s="66"/>
      <c r="S31" s="59"/>
      <c r="T31" s="59"/>
      <c r="U31" s="93"/>
      <c r="V31" s="94"/>
      <c r="W31" s="95"/>
      <c r="X31" s="59" t="str">
        <f>IF(OR(E31="",C31=""),"",IF(COUNTIFS($E$15:E31,E31,$C$15:C31,C31)=1,E31&amp;" - "&amp;C31&amp;" - "&amp;SUMIFS($J$15:$J$4996,$E$15:$E$4996,E31,$C$15:$C$4996,C31)&amp;I31&amp;" - "&amp;TEXT(SUMIFS($U$15:$U$4996,$E$15:$E$4996,E31,$C$15:$C$4996,C31),"0.00")&amp;" Bf",""))</f>
        <v/>
      </c>
      <c r="Y31" s="24" t="str">
        <f>IF(COUNTIF($C$15:C31,C31)=1,ROUND(SUMIF($C:$C,C31,$W:$W),2), "")</f>
        <v/>
      </c>
    </row>
    <row r="32" spans="1:25" s="17" customFormat="1" ht="41.25" hidden="1" customHeight="1" x14ac:dyDescent="0.2">
      <c r="A32" s="57"/>
      <c r="B32" s="57"/>
      <c r="C32" s="57"/>
      <c r="D32" s="57" t="str" cm="1">
        <f t="array" ref="D32">IFERROR(
_xlfn.XLOOKUP(1,
([1]CODE_PRICE!$A$2:$A$1000=$A$8)*
([1]CODE_PRICE!$B$2:$B$1000=C32),
[1]CODE_PRICE!$C$2:$C$1000
),
"")</f>
        <v/>
      </c>
      <c r="E32" s="58"/>
      <c r="F32" s="58"/>
      <c r="G32" s="59"/>
      <c r="H32" s="60"/>
      <c r="I32" s="58"/>
      <c r="J32" s="61"/>
      <c r="K32" s="62"/>
      <c r="L32" s="63"/>
      <c r="M32" s="64"/>
      <c r="N32" s="63"/>
      <c r="O32" s="65"/>
      <c r="P32" s="65"/>
      <c r="Q32" s="65"/>
      <c r="R32" s="66"/>
      <c r="S32" s="59"/>
      <c r="T32" s="59"/>
      <c r="U32" s="93"/>
      <c r="V32" s="94"/>
      <c r="W32" s="95"/>
      <c r="X32" s="59" t="str">
        <f>IF(OR(E32="",C32=""),"",IF(COUNTIFS($E$15:E32,E32,$C$15:C32,C32)=1,E32&amp;" - "&amp;C32&amp;" - "&amp;SUMIFS($J$15:$J$4996,$E$15:$E$4996,E32,$C$15:$C$4996,C32)&amp;I32&amp;" - "&amp;TEXT(SUMIFS($U$15:$U$4996,$E$15:$E$4996,E32,$C$15:$C$4996,C32),"0.00")&amp;" Bf",""))</f>
        <v/>
      </c>
      <c r="Y32" s="24" t="str">
        <f>IF(COUNTIF($C$15:C32,C32)=1,ROUND(SUMIF($C:$C,C32,$W:$W),2), "")</f>
        <v/>
      </c>
    </row>
    <row r="33" spans="1:33" s="17" customFormat="1" ht="41.25" hidden="1" customHeight="1" x14ac:dyDescent="0.2">
      <c r="A33" s="57"/>
      <c r="B33" s="57"/>
      <c r="C33" s="57"/>
      <c r="D33" s="57" t="str" cm="1">
        <f t="array" ref="D33">IFERROR(
_xlfn.XLOOKUP(1,
([1]CODE_PRICE!$A$2:$A$1000=$A$8)*
([1]CODE_PRICE!$B$2:$B$1000=C33),
[1]CODE_PRICE!$C$2:$C$1000
),
"")</f>
        <v/>
      </c>
      <c r="E33" s="58"/>
      <c r="F33" s="58"/>
      <c r="G33" s="59"/>
      <c r="H33" s="60"/>
      <c r="I33" s="58"/>
      <c r="J33" s="61"/>
      <c r="K33" s="62"/>
      <c r="L33" s="63"/>
      <c r="M33" s="64"/>
      <c r="N33" s="63"/>
      <c r="O33" s="65"/>
      <c r="P33" s="65"/>
      <c r="Q33" s="65"/>
      <c r="R33" s="66"/>
      <c r="S33" s="59"/>
      <c r="T33" s="59"/>
      <c r="U33" s="93"/>
      <c r="V33" s="94"/>
      <c r="W33" s="95"/>
      <c r="X33" s="59" t="str">
        <f>IF(OR(E33="",C33=""),"",IF(COUNTIFS($E$15:E33,E33,$C$15:C33,C33)=1,E33&amp;" - "&amp;C33&amp;" - "&amp;SUMIFS($J$15:$J$4996,$E$15:$E$4996,E33,$C$15:$C$4996,C33)&amp;I33&amp;" - "&amp;TEXT(SUMIFS($U$15:$U$4996,$E$15:$E$4996,E33,$C$15:$C$4996,C33),"0.00")&amp;" Bf",""))</f>
        <v/>
      </c>
      <c r="Y33" s="24" t="str">
        <f>IF(COUNTIF($C$15:C33,C33)=1,ROUND(SUMIF($C:$C,C33,$W:$W),2), "")</f>
        <v/>
      </c>
    </row>
    <row r="34" spans="1:33" s="17" customFormat="1" ht="41.25" hidden="1" customHeight="1" x14ac:dyDescent="0.2">
      <c r="A34" s="57"/>
      <c r="B34" s="57"/>
      <c r="C34" s="57"/>
      <c r="D34" s="57" t="str" cm="1">
        <f t="array" ref="D34">IFERROR(
_xlfn.XLOOKUP(1,
([1]CODE_PRICE!$A$2:$A$1000=$A$8)*
([1]CODE_PRICE!$B$2:$B$1000=C34),
[1]CODE_PRICE!$C$2:$C$1000
),
"")</f>
        <v/>
      </c>
      <c r="E34" s="58"/>
      <c r="F34" s="58"/>
      <c r="G34" s="59"/>
      <c r="H34" s="60"/>
      <c r="I34" s="58"/>
      <c r="J34" s="61"/>
      <c r="K34" s="62"/>
      <c r="L34" s="63"/>
      <c r="M34" s="64"/>
      <c r="N34" s="63"/>
      <c r="O34" s="65"/>
      <c r="P34" s="65"/>
      <c r="Q34" s="65"/>
      <c r="R34" s="66"/>
      <c r="S34" s="59"/>
      <c r="T34" s="59"/>
      <c r="U34" s="93"/>
      <c r="V34" s="94"/>
      <c r="W34" s="95"/>
      <c r="X34" s="59" t="str">
        <f>IF(OR(E34="",C34=""),"",IF(COUNTIFS($E$15:E34,E34,$C$15:C34,C34)=1,E34&amp;" - "&amp;C34&amp;" - "&amp;SUMIFS($J$15:$J$4996,$E$15:$E$4996,E34,$C$15:$C$4996,C34)&amp;I34&amp;" - "&amp;TEXT(SUMIFS($U$15:$U$4996,$E$15:$E$4996,E34,$C$15:$C$4996,C34),"0.00")&amp;" Bf",""))</f>
        <v/>
      </c>
      <c r="Y34" s="24" t="str">
        <f>IF(COUNTIF($C$15:C34,C34)=1,ROUND(SUMIF($C:$C,C34,$W:$W),2), "")</f>
        <v/>
      </c>
    </row>
    <row r="35" spans="1:33" s="17" customFormat="1" ht="41.25" hidden="1" customHeight="1" x14ac:dyDescent="0.2">
      <c r="A35" s="57"/>
      <c r="B35" s="57"/>
      <c r="C35" s="57"/>
      <c r="D35" s="57" t="str" cm="1">
        <f t="array" ref="D35">IFERROR(
_xlfn.XLOOKUP(1,
([1]CODE_PRICE!$A$2:$A$1000=$A$8)*
([1]CODE_PRICE!$B$2:$B$1000=C35),
[1]CODE_PRICE!$C$2:$C$1000
),
"")</f>
        <v/>
      </c>
      <c r="E35" s="58"/>
      <c r="F35" s="58"/>
      <c r="G35" s="59"/>
      <c r="H35" s="60"/>
      <c r="I35" s="58"/>
      <c r="J35" s="61"/>
      <c r="K35" s="62"/>
      <c r="L35" s="63"/>
      <c r="M35" s="64"/>
      <c r="N35" s="63"/>
      <c r="O35" s="65"/>
      <c r="P35" s="65"/>
      <c r="Q35" s="65"/>
      <c r="R35" s="66"/>
      <c r="S35" s="59"/>
      <c r="T35" s="59"/>
      <c r="U35" s="93"/>
      <c r="V35" s="94"/>
      <c r="W35" s="95"/>
      <c r="X35" s="59" t="str">
        <f>IF(OR(E35="",C35=""),"",IF(COUNTIFS($E$15:E35,E35,$C$15:C35,C35)=1,E35&amp;" - "&amp;C35&amp;" - "&amp;SUMIFS($J$15:$J$4996,$E$15:$E$4996,E35,$C$15:$C$4996,C35)&amp;I35&amp;" - "&amp;TEXT(SUMIFS($U$15:$U$4996,$E$15:$E$4996,E35,$C$15:$C$4996,C35),"0.00")&amp;" Bf",""))</f>
        <v/>
      </c>
      <c r="Y35" s="24" t="str">
        <f>IF(COUNTIF($C$15:C35,C35)=1,ROUND(SUMIF($C:$C,C35,$W:$W),2), "")</f>
        <v/>
      </c>
    </row>
    <row r="36" spans="1:33" s="17" customFormat="1" ht="41.25" hidden="1" customHeight="1" x14ac:dyDescent="0.2">
      <c r="A36" s="57"/>
      <c r="B36" s="57"/>
      <c r="C36" s="57"/>
      <c r="D36" s="57" t="str" cm="1">
        <f t="array" ref="D36">IFERROR(
_xlfn.XLOOKUP(1,
([1]CODE_PRICE!$A$2:$A$1000=$A$8)*
([1]CODE_PRICE!$B$2:$B$1000=C36),
[1]CODE_PRICE!$C$2:$C$1000
),
"")</f>
        <v/>
      </c>
      <c r="E36" s="58"/>
      <c r="F36" s="58"/>
      <c r="G36" s="59"/>
      <c r="H36" s="60"/>
      <c r="I36" s="58"/>
      <c r="J36" s="61"/>
      <c r="K36" s="62"/>
      <c r="L36" s="63" t="str" cm="1">
        <f t="array" ref="L36">IF(F36="untrim",_xlfn.XLOOKUP(1,(TRIM('[1]SIZE GUIDE'!$A$3:$A$2007)=TRIM(F36))*(TRIM('[1]SIZE GUIDE'!$B$3:$B$2007)=TRIM(G36))*(TRIM('[1]SIZE GUIDE'!$C$3:$C$2007)=TRIM(I36)),'[1]SIZE GUIDE'!$D$3:$D$2007),"")</f>
        <v/>
      </c>
      <c r="M36" s="64"/>
      <c r="N36" s="63"/>
      <c r="O36" s="65" t="str" cm="1">
        <f t="array" ref="O36">IF(F36="trim",_xlfn.XLOOKUP(1,(TRIM('[1]SIZE GUIDE'!$A$3:$A$2007)=TRIM(F36))*(TRIM('[1]SIZE GUIDE'!$B$3:$B$2007)=TRIM(G36))*(TRIM('[1]SIZE GUIDE'!$C$3:$C$2007)=TRIM(I36)),'[1]SIZE GUIDE'!$D$3:$D$2007),"")</f>
        <v/>
      </c>
      <c r="P36" s="65" t="str" cm="1">
        <f t="array" ref="P36">IF(F36="trim",IFERROR(INDEX('[1]SIZE GUIDE'!$E:$E,MATCH(1,('[1]SIZE GUIDE'!$A:$A=$F36)*('[1]SIZE GUIDE'!$B:$B=$G36)*('[1]SIZE GUIDE'!$C:$C=$I36),0)),""),"")</f>
        <v/>
      </c>
      <c r="Q36" s="65"/>
      <c r="R36" s="66" t="str">
        <f t="shared" ref="R36:R43" si="4">IF(F36="untrim",L36-1.5,O36)</f>
        <v/>
      </c>
      <c r="S36" s="59"/>
      <c r="T36" s="59"/>
      <c r="U36" s="93"/>
      <c r="V36" s="94"/>
      <c r="W36" s="95"/>
      <c r="X36" s="59" t="str">
        <f>IF(OR(E36="",C36=""),"",IF(COUNTIFS($E$15:E36,E36,$C$15:C36,C36)=1,E36&amp;" - "&amp;C36&amp;" - "&amp;SUMIFS($J$15:$J$4996,$E$15:$E$4996,E36,$C$15:$C$4996,C36)&amp;I36&amp;" - "&amp;TEXT(SUMIFS($U$15:$U$4996,$E$15:$E$4996,E36,$C$15:$C$4996,C36),"0.00")&amp;" Bf",""))</f>
        <v/>
      </c>
      <c r="Y36" s="24" t="str">
        <f>IF(COUNTIF($C$15:C36,C36)=1,ROUND(SUMIF($C:$C,C36,$W:$W),2), "")</f>
        <v/>
      </c>
    </row>
    <row r="37" spans="1:33" s="17" customFormat="1" ht="41.25" hidden="1" customHeight="1" x14ac:dyDescent="0.2">
      <c r="A37" s="57"/>
      <c r="B37" s="57"/>
      <c r="C37" s="57"/>
      <c r="D37" s="57" t="str" cm="1">
        <f t="array" ref="D37">IFERROR(
_xlfn.XLOOKUP(1,
([1]CODE_PRICE!$A$2:$A$1000=$A$8)*
([1]CODE_PRICE!$B$2:$B$1000=C37),
[1]CODE_PRICE!$C$2:$C$1000
),
"")</f>
        <v/>
      </c>
      <c r="E37" s="58"/>
      <c r="F37" s="58"/>
      <c r="G37" s="59"/>
      <c r="H37" s="60"/>
      <c r="I37" s="58"/>
      <c r="J37" s="61"/>
      <c r="K37" s="62"/>
      <c r="L37" s="63" t="str" cm="1">
        <f t="array" ref="L37">IF(F37="untrim",_xlfn.XLOOKUP(1,(TRIM('[1]SIZE GUIDE'!$A$3:$A$2007)=TRIM(F37))*(TRIM('[1]SIZE GUIDE'!$B$3:$B$2007)=TRIM(G37))*(TRIM('[1]SIZE GUIDE'!$C$3:$C$2007)=TRIM(I37)),'[1]SIZE GUIDE'!$D$3:$D$2007),"")</f>
        <v/>
      </c>
      <c r="M37" s="64"/>
      <c r="N37" s="63"/>
      <c r="O37" s="65" t="str" cm="1">
        <f t="array" ref="O37">IF(F37="trim",_xlfn.XLOOKUP(1,(TRIM('[1]SIZE GUIDE'!$A$3:$A$2007)=TRIM(F37))*(TRIM('[1]SIZE GUIDE'!$B$3:$B$2007)=TRIM(G37))*(TRIM('[1]SIZE GUIDE'!$C$3:$C$2007)=TRIM(I37)),'[1]SIZE GUIDE'!$D$3:$D$2007),"")</f>
        <v/>
      </c>
      <c r="P37" s="65" t="str" cm="1">
        <f t="array" ref="P37">IF(F37="trim",IFERROR(INDEX('[1]SIZE GUIDE'!$E:$E,MATCH(1,('[1]SIZE GUIDE'!$A:$A=$F37)*('[1]SIZE GUIDE'!$B:$B=$G37)*('[1]SIZE GUIDE'!$C:$C=$I37),0)),""),"")</f>
        <v/>
      </c>
      <c r="Q37" s="65"/>
      <c r="R37" s="66" t="str">
        <f t="shared" si="4"/>
        <v/>
      </c>
      <c r="S37" s="59"/>
      <c r="T37" s="59"/>
      <c r="U37" s="93"/>
      <c r="V37" s="94"/>
      <c r="W37" s="95"/>
      <c r="X37" s="59" t="str">
        <f>IF(OR(E37="",C37=""),"",IF(COUNTIFS($E$15:E37,E37,$C$15:C37,C37)=1,E37&amp;" - "&amp;C37&amp;" - "&amp;SUMIFS($J$15:$J$4996,$E$15:$E$4996,E37,$C$15:$C$4996,C37)&amp;I37&amp;" - "&amp;TEXT(SUMIFS($U$15:$U$4996,$E$15:$E$4996,E37,$C$15:$C$4996,C37),"0.00")&amp;" Bf",""))</f>
        <v/>
      </c>
      <c r="Y37" s="24" t="str">
        <f>IF(COUNTIF($C$15:C37,C37)=1,ROUND(SUMIF($C:$C,C37,$W:$W),2), "")</f>
        <v/>
      </c>
    </row>
    <row r="38" spans="1:33" s="17" customFormat="1" ht="41.25" hidden="1" customHeight="1" x14ac:dyDescent="0.2">
      <c r="A38" s="57"/>
      <c r="B38" s="57"/>
      <c r="C38" s="57"/>
      <c r="D38" s="57" t="str" cm="1">
        <f t="array" ref="D38">IFERROR(
_xlfn.XLOOKUP(1,
([1]CODE_PRICE!$A$2:$A$1000=$A$8)*
([1]CODE_PRICE!$B$2:$B$1000=C38),
[1]CODE_PRICE!$C$2:$C$1000
),
"")</f>
        <v/>
      </c>
      <c r="E38" s="58"/>
      <c r="F38" s="58"/>
      <c r="G38" s="59"/>
      <c r="H38" s="60"/>
      <c r="I38" s="58"/>
      <c r="J38" s="61"/>
      <c r="K38" s="62"/>
      <c r="L38" s="63" t="str" cm="1">
        <f t="array" ref="L38">IF(F38="untrim",_xlfn.XLOOKUP(1,(TRIM('[1]SIZE GUIDE'!$A$3:$A$2007)=TRIM(F38))*(TRIM('[1]SIZE GUIDE'!$B$3:$B$2007)=TRIM(G38))*(TRIM('[1]SIZE GUIDE'!$C$3:$C$2007)=TRIM(I38)),'[1]SIZE GUIDE'!$D$3:$D$2007),"")</f>
        <v/>
      </c>
      <c r="M38" s="64"/>
      <c r="N38" s="63"/>
      <c r="O38" s="65" t="str" cm="1">
        <f t="array" ref="O38">IF(F38="trim",_xlfn.XLOOKUP(1,(TRIM('[1]SIZE GUIDE'!$A$3:$A$2007)=TRIM(F38))*(TRIM('[1]SIZE GUIDE'!$B$3:$B$2007)=TRIM(G38))*(TRIM('[1]SIZE GUIDE'!$C$3:$C$2007)=TRIM(I38)),'[1]SIZE GUIDE'!$D$3:$D$2007),"")</f>
        <v/>
      </c>
      <c r="P38" s="65" t="str" cm="1">
        <f t="array" ref="P38">IF(F38="trim",IFERROR(INDEX('[1]SIZE GUIDE'!$E:$E,MATCH(1,('[1]SIZE GUIDE'!$A:$A=$F38)*('[1]SIZE GUIDE'!$B:$B=$G38)*('[1]SIZE GUIDE'!$C:$C=$I38),0)),""),"")</f>
        <v/>
      </c>
      <c r="Q38" s="65"/>
      <c r="R38" s="66" t="str">
        <f t="shared" si="4"/>
        <v/>
      </c>
      <c r="S38" s="59"/>
      <c r="T38" s="59"/>
      <c r="U38" s="93"/>
      <c r="V38" s="94"/>
      <c r="W38" s="95"/>
      <c r="X38" s="59" t="str">
        <f>IF(OR(E38="",C38=""),"",IF(COUNTIFS($E$15:E38,E38,$C$15:C38,C38)=1,E38&amp;" - "&amp;C38&amp;" - "&amp;SUMIFS($J$15:$J$4996,$E$15:$E$4996,E38,$C$15:$C$4996,C38)&amp;I38&amp;" - "&amp;TEXT(SUMIFS($U$15:$U$4996,$E$15:$E$4996,E38,$C$15:$C$4996,C38),"0.00")&amp;" Bf",""))</f>
        <v/>
      </c>
      <c r="Y38" s="24" t="str">
        <f>IF(COUNTIF($C$15:C38,C38)=1,ROUND(SUMIF($C:$C,C38,$W:$W),2), "")</f>
        <v/>
      </c>
    </row>
    <row r="39" spans="1:33" s="17" customFormat="1" ht="41.25" hidden="1" customHeight="1" x14ac:dyDescent="0.2">
      <c r="A39" s="57"/>
      <c r="B39" s="57"/>
      <c r="C39" s="57"/>
      <c r="D39" s="57" t="str" cm="1">
        <f t="array" ref="D39">IFERROR(
_xlfn.XLOOKUP(1,
([1]CODE_PRICE!$A$2:$A$1000=$A$8)*
([1]CODE_PRICE!$B$2:$B$1000=C39),
[1]CODE_PRICE!$C$2:$C$1000
),
"")</f>
        <v/>
      </c>
      <c r="E39" s="58"/>
      <c r="F39" s="58"/>
      <c r="G39" s="59"/>
      <c r="H39" s="60"/>
      <c r="I39" s="58"/>
      <c r="J39" s="61"/>
      <c r="K39" s="62"/>
      <c r="L39" s="63" t="str" cm="1">
        <f t="array" ref="L39">IF(F39="untrim",_xlfn.XLOOKUP(1,(TRIM('[1]SIZE GUIDE'!$A$3:$A$2007)=TRIM(F39))*(TRIM('[1]SIZE GUIDE'!$B$3:$B$2007)=TRIM(G39))*(TRIM('[1]SIZE GUIDE'!$C$3:$C$2007)=TRIM(I39)),'[1]SIZE GUIDE'!$D$3:$D$2007),"")</f>
        <v/>
      </c>
      <c r="M39" s="64"/>
      <c r="N39" s="63"/>
      <c r="O39" s="65" t="str" cm="1">
        <f t="array" ref="O39">IF(F39="trim",_xlfn.XLOOKUP(1,(TRIM('[1]SIZE GUIDE'!$A$3:$A$2007)=TRIM(F39))*(TRIM('[1]SIZE GUIDE'!$B$3:$B$2007)=TRIM(G39))*(TRIM('[1]SIZE GUIDE'!$C$3:$C$2007)=TRIM(I39)),'[1]SIZE GUIDE'!$D$3:$D$2007),"")</f>
        <v/>
      </c>
      <c r="P39" s="65" t="str" cm="1">
        <f t="array" ref="P39">IF(F39="trim",IFERROR(INDEX('[1]SIZE GUIDE'!$E:$E,MATCH(1,('[1]SIZE GUIDE'!$A:$A=$F39)*('[1]SIZE GUIDE'!$B:$B=$G39)*('[1]SIZE GUIDE'!$C:$C=$I39),0)),""),"")</f>
        <v/>
      </c>
      <c r="Q39" s="65"/>
      <c r="R39" s="66" t="str">
        <f t="shared" si="4"/>
        <v/>
      </c>
      <c r="S39" s="59"/>
      <c r="T39" s="59"/>
      <c r="U39" s="93"/>
      <c r="V39" s="94"/>
      <c r="W39" s="95"/>
      <c r="X39" s="59" t="str">
        <f>IF(OR(E39="",C39=""),"",IF(COUNTIFS($E$15:E39,E39,$C$15:C39,C39)=1,E39&amp;" - "&amp;C39&amp;" - "&amp;SUMIFS($J$15:$J$4996,$E$15:$E$4996,E39,$C$15:$C$4996,C39)&amp;I39&amp;" - "&amp;TEXT(SUMIFS($U$15:$U$4996,$E$15:$E$4996,E39,$C$15:$C$4996,C39),"0.00")&amp;" Bf",""))</f>
        <v/>
      </c>
      <c r="Y39" s="24" t="str">
        <f>IF(COUNTIF($C$15:C39,C39)=1,ROUND(SUMIF($C:$C,C39,$W:$W),2), "")</f>
        <v/>
      </c>
    </row>
    <row r="40" spans="1:33" s="17" customFormat="1" ht="41.25" hidden="1" customHeight="1" x14ac:dyDescent="0.2">
      <c r="A40" s="57"/>
      <c r="B40" s="57"/>
      <c r="C40" s="57"/>
      <c r="D40" s="57" t="str" cm="1">
        <f t="array" ref="D40">IFERROR(
_xlfn.XLOOKUP(1,
([1]CODE_PRICE!$A$2:$A$1000=$A$8)*
([1]CODE_PRICE!$B$2:$B$1000=C40),
[1]CODE_PRICE!$C$2:$C$1000
),
"")</f>
        <v/>
      </c>
      <c r="E40" s="58"/>
      <c r="F40" s="58"/>
      <c r="G40" s="59"/>
      <c r="H40" s="60"/>
      <c r="I40" s="58"/>
      <c r="J40" s="61"/>
      <c r="K40" s="62"/>
      <c r="L40" s="63" t="str" cm="1">
        <f t="array" ref="L40">IF(F40="untrim",_xlfn.XLOOKUP(1,(TRIM('[1]SIZE GUIDE'!$A$3:$A$2007)=TRIM(F40))*(TRIM('[1]SIZE GUIDE'!$B$3:$B$2007)=TRIM(G40))*(TRIM('[1]SIZE GUIDE'!$C$3:$C$2007)=TRIM(I40)),'[1]SIZE GUIDE'!$D$3:$D$2007),"")</f>
        <v/>
      </c>
      <c r="M40" s="64"/>
      <c r="N40" s="63"/>
      <c r="O40" s="65" t="str" cm="1">
        <f t="array" ref="O40">IF(F40="trim",_xlfn.XLOOKUP(1,(TRIM('[1]SIZE GUIDE'!$A$3:$A$2007)=TRIM(F40))*(TRIM('[1]SIZE GUIDE'!$B$3:$B$2007)=TRIM(G40))*(TRIM('[1]SIZE GUIDE'!$C$3:$C$2007)=TRIM(I40)),'[1]SIZE GUIDE'!$D$3:$D$2007),"")</f>
        <v/>
      </c>
      <c r="P40" s="65" t="str" cm="1">
        <f t="array" ref="P40">IF(F40="trim",IFERROR(INDEX('[1]SIZE GUIDE'!$E:$E,MATCH(1,('[1]SIZE GUIDE'!$A:$A=$F40)*('[1]SIZE GUIDE'!$B:$B=$G40)*('[1]SIZE GUIDE'!$C:$C=$I40),0)),""),"")</f>
        <v/>
      </c>
      <c r="Q40" s="65"/>
      <c r="R40" s="66" t="str">
        <f t="shared" si="4"/>
        <v/>
      </c>
      <c r="S40" s="59"/>
      <c r="T40" s="59"/>
      <c r="U40" s="93"/>
      <c r="V40" s="94"/>
      <c r="W40" s="95"/>
      <c r="X40" s="59" t="str">
        <f>IF(OR(E40="",C40=""),"",IF(COUNTIFS($E$15:E40,E40,$C$15:C40,C40)=1,E40&amp;" - "&amp;C40&amp;" - "&amp;SUMIFS($J$15:$J$4996,$E$15:$E$4996,E40,$C$15:$C$4996,C40)&amp;I40&amp;" - "&amp;TEXT(SUMIFS($U$15:$U$4996,$E$15:$E$4996,E40,$C$15:$C$4996,C40),"0.00")&amp;" Bf",""))</f>
        <v/>
      </c>
      <c r="Y40" s="24" t="str">
        <f>IF(COUNTIF($C$15:C40,C40)=1,ROUND(SUMIF($C:$C,C40,$W:$W),2), "")</f>
        <v/>
      </c>
    </row>
    <row r="41" spans="1:33" s="17" customFormat="1" ht="41.25" hidden="1" customHeight="1" x14ac:dyDescent="0.2">
      <c r="A41" s="57"/>
      <c r="B41" s="57"/>
      <c r="C41" s="57"/>
      <c r="D41" s="57" t="str" cm="1">
        <f t="array" ref="D41">IFERROR(
_xlfn.XLOOKUP(1,
([1]CODE_PRICE!$A$2:$A$1000=$A$8)*
([1]CODE_PRICE!$B$2:$B$1000=C41),
[1]CODE_PRICE!$C$2:$C$1000
),
"")</f>
        <v/>
      </c>
      <c r="E41" s="58"/>
      <c r="F41" s="58"/>
      <c r="G41" s="59"/>
      <c r="H41" s="60"/>
      <c r="I41" s="58"/>
      <c r="J41" s="61"/>
      <c r="K41" s="62"/>
      <c r="L41" s="63" t="str" cm="1">
        <f t="array" ref="L41">IF(F41="untrim",_xlfn.XLOOKUP(1,(TRIM('[1]SIZE GUIDE'!$A$3:$A$2007)=TRIM(F41))*(TRIM('[1]SIZE GUIDE'!$B$3:$B$2007)=TRIM(G41))*(TRIM('[1]SIZE GUIDE'!$C$3:$C$2007)=TRIM(I41)),'[1]SIZE GUIDE'!$D$3:$D$2007),"")</f>
        <v/>
      </c>
      <c r="M41" s="64"/>
      <c r="N41" s="63"/>
      <c r="O41" s="65" t="str" cm="1">
        <f t="array" ref="O41">IF(F41="trim",_xlfn.XLOOKUP(1,(TRIM('[1]SIZE GUIDE'!$A$3:$A$2007)=TRIM(F41))*(TRIM('[1]SIZE GUIDE'!$B$3:$B$2007)=TRIM(G41))*(TRIM('[1]SIZE GUIDE'!$C$3:$C$2007)=TRIM(I41)),'[1]SIZE GUIDE'!$D$3:$D$2007),"")</f>
        <v/>
      </c>
      <c r="P41" s="65" t="str" cm="1">
        <f t="array" ref="P41">IF(F41="trim",IFERROR(INDEX('[1]SIZE GUIDE'!$E:$E,MATCH(1,('[1]SIZE GUIDE'!$A:$A=$F41)*('[1]SIZE GUIDE'!$B:$B=$G41)*('[1]SIZE GUIDE'!$C:$C=$I41),0)),""),"")</f>
        <v/>
      </c>
      <c r="Q41" s="65"/>
      <c r="R41" s="66" t="str">
        <f t="shared" si="4"/>
        <v/>
      </c>
      <c r="S41" s="59"/>
      <c r="T41" s="59"/>
      <c r="U41" s="93"/>
      <c r="V41" s="94"/>
      <c r="W41" s="95"/>
      <c r="X41" s="59" t="str">
        <f>IF(OR(E41="",C41=""),"",IF(COUNTIFS($E$15:E41,E41,$C$15:C41,C41)=1,E41&amp;" - "&amp;C41&amp;" - "&amp;SUMIFS($J$15:$J$4996,$E$15:$E$4996,E41,$C$15:$C$4996,C41)&amp;I41&amp;" - "&amp;TEXT(SUMIFS($U$15:$U$4996,$E$15:$E$4996,E41,$C$15:$C$4996,C41),"0.00")&amp;" Bf",""))</f>
        <v/>
      </c>
      <c r="Y41" s="24" t="str">
        <f>IF(COUNTIF($C$15:C41,C41)=1,ROUND(SUMIF($C:$C,C41,$W:$W),2), "")</f>
        <v/>
      </c>
    </row>
    <row r="42" spans="1:33" s="17" customFormat="1" ht="41.25" hidden="1" customHeight="1" x14ac:dyDescent="0.2">
      <c r="A42" s="57"/>
      <c r="B42" s="57"/>
      <c r="C42" s="57"/>
      <c r="D42" s="57" t="str" cm="1">
        <f t="array" ref="D42">IFERROR(
_xlfn.XLOOKUP(1,
([1]CODE_PRICE!$A$2:$A$1000=$A$8)*
([1]CODE_PRICE!$B$2:$B$1000=C42),
[1]CODE_PRICE!$C$2:$C$1000
),
"")</f>
        <v/>
      </c>
      <c r="E42" s="58"/>
      <c r="F42" s="58"/>
      <c r="G42" s="59"/>
      <c r="H42" s="60"/>
      <c r="I42" s="58"/>
      <c r="J42" s="61"/>
      <c r="K42" s="62"/>
      <c r="L42" s="63" t="str" cm="1">
        <f t="array" ref="L42">IF(F42="untrim",_xlfn.XLOOKUP(1,(TRIM('[1]SIZE GUIDE'!$A$3:$A$2007)=TRIM(F42))*(TRIM('[1]SIZE GUIDE'!$B$3:$B$2007)=TRIM(G42))*(TRIM('[1]SIZE GUIDE'!$C$3:$C$2007)=TRIM(I42)),'[1]SIZE GUIDE'!$D$3:$D$2007),"")</f>
        <v/>
      </c>
      <c r="M42" s="64"/>
      <c r="N42" s="63"/>
      <c r="O42" s="65" t="str" cm="1">
        <f t="array" ref="O42">IF(F42="trim",_xlfn.XLOOKUP(1,(TRIM('[1]SIZE GUIDE'!$A$3:$A$2007)=TRIM(F42))*(TRIM('[1]SIZE GUIDE'!$B$3:$B$2007)=TRIM(G42))*(TRIM('[1]SIZE GUIDE'!$C$3:$C$2007)=TRIM(I42)),'[1]SIZE GUIDE'!$D$3:$D$2007),"")</f>
        <v/>
      </c>
      <c r="P42" s="65" t="str" cm="1">
        <f t="array" ref="P42">IF(F42="trim",IFERROR(INDEX('[1]SIZE GUIDE'!$E:$E,MATCH(1,('[1]SIZE GUIDE'!$A:$A=$F42)*('[1]SIZE GUIDE'!$B:$B=$G42)*('[1]SIZE GUIDE'!$C:$C=$I42),0)),""),"")</f>
        <v/>
      </c>
      <c r="Q42" s="65"/>
      <c r="R42" s="66" t="str">
        <f t="shared" si="4"/>
        <v/>
      </c>
      <c r="S42" s="59"/>
      <c r="T42" s="59"/>
      <c r="U42" s="93"/>
      <c r="V42" s="94"/>
      <c r="W42" s="95"/>
      <c r="X42" s="59" t="str">
        <f>IF(OR(E42="",C42=""),"",IF(COUNTIFS($E$15:E42,E42,$C$15:C42,C42)=1,E42&amp;" - "&amp;C42&amp;" - "&amp;SUMIFS($J$15:$J$4996,$E$15:$E$4996,E42,$C$15:$C$4996,C42)&amp;I42&amp;" - "&amp;TEXT(SUMIFS($U$15:$U$4996,$E$15:$E$4996,E42,$C$15:$C$4996,C42),"0.00")&amp;" Bf",""))</f>
        <v/>
      </c>
      <c r="Y42" s="24" t="str">
        <f>IF(COUNTIF($C$15:C42,C42)=1,ROUND(SUMIF($C:$C,C42,$W:$W),2), "")</f>
        <v/>
      </c>
    </row>
    <row r="43" spans="1:33" s="17" customFormat="1" ht="41.25" hidden="1" customHeight="1" x14ac:dyDescent="0.2">
      <c r="A43" s="57"/>
      <c r="B43" s="57"/>
      <c r="C43" s="57"/>
      <c r="D43" s="57" t="str" cm="1">
        <f t="array" ref="D43">IFERROR(
_xlfn.XLOOKUP(1,
([1]CODE_PRICE!$A$2:$A$1000=$A$8)*
([1]CODE_PRICE!$B$2:$B$1000=C43),
[1]CODE_PRICE!$C$2:$C$1000
),
"")</f>
        <v/>
      </c>
      <c r="E43" s="58"/>
      <c r="F43" s="58"/>
      <c r="G43" s="59"/>
      <c r="H43" s="60"/>
      <c r="I43" s="58"/>
      <c r="J43" s="61"/>
      <c r="K43" s="62"/>
      <c r="L43" s="63" t="str" cm="1">
        <f t="array" ref="L43">IF(F43="untrim",_xlfn.XLOOKUP(1,(TRIM('[1]SIZE GUIDE'!$A$3:$A$2007)=TRIM(F43))*(TRIM('[1]SIZE GUIDE'!$B$3:$B$2007)=TRIM(G43))*(TRIM('[1]SIZE GUIDE'!$C$3:$C$2007)=TRIM(I43)),'[1]SIZE GUIDE'!$D$3:$D$2007),"")</f>
        <v/>
      </c>
      <c r="M43" s="64"/>
      <c r="N43" s="63"/>
      <c r="O43" s="65" t="str" cm="1">
        <f t="array" ref="O43">IF(F43="trim",_xlfn.XLOOKUP(1,(TRIM('[1]SIZE GUIDE'!$A$3:$A$2007)=TRIM(F43))*(TRIM('[1]SIZE GUIDE'!$B$3:$B$2007)=TRIM(G43))*(TRIM('[1]SIZE GUIDE'!$C$3:$C$2007)=TRIM(I43)),'[1]SIZE GUIDE'!$D$3:$D$2007),"")</f>
        <v/>
      </c>
      <c r="P43" s="65" t="str" cm="1">
        <f t="array" ref="P43">IF(F43="trim",IFERROR(INDEX('[1]SIZE GUIDE'!$E:$E,MATCH(1,('[1]SIZE GUIDE'!$A:$A=$F43)*('[1]SIZE GUIDE'!$B:$B=$G43)*('[1]SIZE GUIDE'!$C:$C=$I43),0)),""),"")</f>
        <v/>
      </c>
      <c r="Q43" s="65"/>
      <c r="R43" s="66" t="str">
        <f t="shared" si="4"/>
        <v/>
      </c>
      <c r="S43" s="59"/>
      <c r="T43" s="59"/>
      <c r="U43" s="93"/>
      <c r="V43" s="94"/>
      <c r="W43" s="95"/>
      <c r="X43" s="59" t="str">
        <f>IF(OR(E43="",C43=""),"",IF(COUNTIFS($E$15:E43,E43,$C$15:C43,C43)=1,E43&amp;" - "&amp;C43&amp;" - "&amp;SUMIFS($J$15:$J$4996,$E$15:$E$4996,E43,$C$15:$C$4996,C43)&amp;I43&amp;" - "&amp;TEXT(SUMIFS($U$15:$U$4996,$E$15:$E$4996,E43,$C$15:$C$4996,C43),"0.00")&amp;" Bf",""))</f>
        <v/>
      </c>
      <c r="Y43" s="24" t="str">
        <f>IF(COUNTIF($C$15:C43,C43)=1,ROUND(SUMIF($C:$C,C43,$W:$W),2), "")</f>
        <v/>
      </c>
    </row>
    <row r="44" spans="1:33" s="17" customFormat="1" ht="41.25" customHeight="1" thickBot="1" x14ac:dyDescent="0.25">
      <c r="A44" s="53"/>
      <c r="B44" s="53"/>
      <c r="C44" s="53"/>
      <c r="D44" s="53" t="str" cm="1">
        <f t="array" ref="D44">IFERROR(
_xlfn.XLOOKUP(1,
([1]CODE_PRICE!$A$2:$A$1000=$A$8)*
([1]CODE_PRICE!$B$2:$B$1000=C44),
[1]CODE_PRICE!$C$2:$C$1000
),
"")</f>
        <v/>
      </c>
      <c r="E44" s="53"/>
      <c r="F44" s="67"/>
      <c r="G44" s="68"/>
      <c r="H44" s="68"/>
      <c r="I44" s="69" t="s">
        <v>155</v>
      </c>
      <c r="J44" s="70">
        <f>SUM(J15:J43)</f>
        <v>206</v>
      </c>
      <c r="K44" s="55"/>
      <c r="L44" s="55"/>
      <c r="M44" s="55"/>
      <c r="N44" s="55"/>
      <c r="O44" s="56"/>
      <c r="P44" s="56"/>
      <c r="Q44" s="56"/>
      <c r="R44" s="67"/>
      <c r="S44" s="67"/>
      <c r="T44" s="67"/>
      <c r="U44" s="96">
        <f>SUM(U15:U43)</f>
        <v>11401.998263888891</v>
      </c>
      <c r="V44" s="97"/>
      <c r="W44" s="92">
        <f>SUM(W15:W43)</f>
        <v>2996.5682244791669</v>
      </c>
      <c r="X44" s="109"/>
      <c r="Y44" s="104">
        <f>SUM(Y15:Y43)</f>
        <v>2996.57</v>
      </c>
    </row>
    <row r="45" spans="1:33" s="17" customFormat="1" ht="41.25" customHeight="1" x14ac:dyDescent="0.2">
      <c r="A45" s="57"/>
      <c r="B45" s="71"/>
      <c r="C45" s="71"/>
      <c r="D45" s="156" t="str" cm="1">
        <f t="array" ref="D45">IFERROR(
_xlfn.XLOOKUP(1,
([1]CODE_PRICE!$A$2:$A$1000=$A$8)*
([1]CODE_PRICE!$B$2:$B$1000=C45),
[1]CODE_PRICE!$C$2:$C$1000
),
"")</f>
        <v/>
      </c>
      <c r="E45" s="72"/>
      <c r="F45" s="72"/>
      <c r="G45" s="73"/>
      <c r="H45" s="74"/>
      <c r="I45" s="75" t="s">
        <v>156</v>
      </c>
      <c r="J45" s="76"/>
      <c r="K45" s="77"/>
      <c r="L45" s="78"/>
      <c r="M45" s="79"/>
      <c r="N45" s="78"/>
      <c r="O45" s="78"/>
      <c r="P45" s="78"/>
      <c r="Q45" s="78"/>
      <c r="R45" s="80"/>
      <c r="S45" s="80"/>
      <c r="T45" s="80"/>
      <c r="U45" s="81"/>
      <c r="V45" s="82"/>
      <c r="W45" s="83"/>
      <c r="X45" s="19"/>
      <c r="Y45" s="25"/>
    </row>
    <row r="46" spans="1:33" s="17" customFormat="1" ht="41.25" customHeight="1" thickBot="1" x14ac:dyDescent="0.25">
      <c r="A46" s="53"/>
      <c r="B46" s="53"/>
      <c r="C46" s="68"/>
      <c r="D46" s="68" t="str" cm="1">
        <f t="array" ref="D46">IFERROR(
_xlfn.XLOOKUP(1,
([1]CODE_PRICE!$A$2:$A$1000=$A$8)*
([1]CODE_PRICE!$B$2:$B$1000=C46),
[1]CODE_PRICE!$C$2:$C$1000
),
"")</f>
        <v/>
      </c>
      <c r="E46" s="67"/>
      <c r="F46" s="67"/>
      <c r="G46" s="67"/>
      <c r="H46" s="67"/>
      <c r="I46" s="69" t="s">
        <v>162</v>
      </c>
      <c r="J46" s="70">
        <f>J44</f>
        <v>206</v>
      </c>
      <c r="K46" s="55"/>
      <c r="L46" s="55"/>
      <c r="M46" s="55"/>
      <c r="N46" s="55"/>
      <c r="O46" s="56"/>
      <c r="P46" s="56"/>
      <c r="Q46" s="56"/>
      <c r="R46" s="67"/>
      <c r="S46" s="67"/>
      <c r="T46" s="67"/>
      <c r="U46" s="96">
        <f>U44</f>
        <v>11401.998263888891</v>
      </c>
      <c r="V46" s="97"/>
      <c r="W46" s="92">
        <f>+W44+W45</f>
        <v>2996.5682244791669</v>
      </c>
      <c r="X46" s="109"/>
      <c r="Y46" s="104">
        <f>Y44</f>
        <v>2996.57</v>
      </c>
    </row>
    <row r="47" spans="1:33" ht="15" customHeight="1" x14ac:dyDescent="0.25">
      <c r="A47" s="48"/>
      <c r="B47" s="48"/>
      <c r="C47" s="48"/>
      <c r="D47" s="48"/>
      <c r="E47" s="48"/>
      <c r="F47" s="48"/>
      <c r="G47" s="84"/>
      <c r="H47" s="48"/>
      <c r="I47" s="85"/>
      <c r="J47" s="85"/>
      <c r="K47" s="8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89"/>
    </row>
    <row r="48" spans="1:33" ht="15" customHeight="1" x14ac:dyDescent="0.25">
      <c r="A48" s="48" t="s">
        <v>153</v>
      </c>
      <c r="B48" s="48"/>
      <c r="C48" s="48"/>
      <c r="D48" s="48"/>
      <c r="E48" s="48"/>
      <c r="F48" s="48"/>
      <c r="G48" s="84"/>
      <c r="H48" s="48"/>
      <c r="I48" s="85"/>
      <c r="J48" s="85"/>
      <c r="K48" s="8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89"/>
      <c r="AG48" s="16" t="s">
        <v>241</v>
      </c>
    </row>
    <row r="49" spans="1:23" ht="15" customHeight="1" x14ac:dyDescent="0.25">
      <c r="A49" s="48"/>
      <c r="B49" s="48"/>
      <c r="C49" s="48"/>
      <c r="D49" s="48"/>
      <c r="E49" s="48"/>
      <c r="F49" s="48"/>
      <c r="G49" s="84"/>
      <c r="H49" s="48"/>
      <c r="I49" s="85"/>
      <c r="J49" s="85"/>
      <c r="K49" s="8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89"/>
    </row>
    <row r="50" spans="1:23" ht="15" customHeight="1" x14ac:dyDescent="0.25">
      <c r="A50" s="48" t="s">
        <v>154</v>
      </c>
      <c r="B50" s="48"/>
      <c r="C50" s="48"/>
      <c r="D50" s="48"/>
      <c r="E50" s="48"/>
      <c r="F50" s="48"/>
      <c r="G50" s="84"/>
      <c r="H50" s="48"/>
      <c r="I50" s="85"/>
      <c r="J50" s="85"/>
      <c r="K50" s="8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89"/>
    </row>
    <row r="51" spans="1:23" ht="15" customHeight="1" x14ac:dyDescent="0.25">
      <c r="A51" s="48"/>
      <c r="B51" s="48"/>
      <c r="C51" s="48"/>
      <c r="D51" s="48"/>
      <c r="E51" s="48"/>
      <c r="F51" s="48"/>
      <c r="G51" s="84"/>
      <c r="H51" s="48"/>
      <c r="I51" s="85"/>
      <c r="J51" s="85"/>
      <c r="K51" s="8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89"/>
    </row>
    <row r="52" spans="1:23" ht="15" customHeight="1" x14ac:dyDescent="0.25">
      <c r="A52" s="48"/>
      <c r="B52" s="48"/>
      <c r="C52" s="48"/>
      <c r="D52" s="48"/>
      <c r="E52" s="48"/>
      <c r="F52" s="48"/>
      <c r="G52" s="84"/>
      <c r="H52" s="48"/>
      <c r="I52" s="85"/>
      <c r="J52" s="85"/>
      <c r="K52" s="8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89"/>
    </row>
    <row r="53" spans="1:23" ht="15" customHeight="1" x14ac:dyDescent="0.25">
      <c r="A53" s="86"/>
      <c r="B53" s="318"/>
      <c r="C53" s="318"/>
      <c r="D53" s="318"/>
      <c r="E53" s="318"/>
      <c r="F53" s="318"/>
      <c r="G53" s="318"/>
      <c r="H53" s="318"/>
      <c r="I53" s="318"/>
      <c r="J53" s="318"/>
      <c r="K53" s="318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89"/>
    </row>
    <row r="54" spans="1:23" ht="15" customHeight="1" x14ac:dyDescent="0.25">
      <c r="A54" s="86"/>
      <c r="B54" s="319"/>
      <c r="C54" s="319"/>
      <c r="D54" s="319"/>
      <c r="E54" s="319"/>
      <c r="F54" s="319"/>
      <c r="G54" s="319"/>
      <c r="H54" s="319"/>
      <c r="I54" s="319"/>
      <c r="J54" s="319"/>
      <c r="K54" s="319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89"/>
    </row>
  </sheetData>
  <mergeCells count="5">
    <mergeCell ref="A7:F7"/>
    <mergeCell ref="G7:H7"/>
    <mergeCell ref="S9:T9"/>
    <mergeCell ref="B53:K53"/>
    <mergeCell ref="B54:K54"/>
  </mergeCells>
  <pageMargins left="0" right="0" top="1" bottom="1" header="0.511811023622047" footer="0.511811023622047"/>
  <pageSetup paperSize="9" scale="35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0BCFC-8537-4B9F-B4C4-D52310B3708A}">
  <sheetPr codeName="Sheet2"/>
  <dimension ref="A2:AE209"/>
  <sheetViews>
    <sheetView showGridLines="0" workbookViewId="0">
      <pane ySplit="3" topLeftCell="A4" activePane="bottomLeft" state="frozen"/>
      <selection activeCell="F15" sqref="F15"/>
      <selection pane="bottomLeft" activeCell="A32" sqref="A32"/>
    </sheetView>
  </sheetViews>
  <sheetFormatPr baseColWidth="10" defaultColWidth="9.1640625" defaultRowHeight="14" x14ac:dyDescent="0.2"/>
  <cols>
    <col min="1" max="1" width="35.33203125" style="1" customWidth="1"/>
    <col min="2" max="2" width="18" style="1" customWidth="1"/>
    <col min="3" max="3" width="16" style="1" customWidth="1"/>
    <col min="4" max="4" width="22" style="1" customWidth="1"/>
    <col min="5" max="5" width="26" style="1" customWidth="1"/>
    <col min="6" max="16" width="14" style="171" customWidth="1"/>
    <col min="17" max="20" width="14" style="10" customWidth="1"/>
    <col min="21" max="21" width="14" style="1" customWidth="1"/>
    <col min="22" max="23" width="16" style="1" customWidth="1"/>
    <col min="24" max="24" width="9.5" style="1" bestFit="1" customWidth="1"/>
    <col min="25" max="25" width="11" style="1" customWidth="1"/>
    <col min="26" max="27" width="16" style="1" customWidth="1"/>
    <col min="28" max="28" width="24" style="1" customWidth="1"/>
    <col min="29" max="16384" width="9.1640625" style="1"/>
  </cols>
  <sheetData>
    <row r="2" spans="1:31" x14ac:dyDescent="0.2">
      <c r="F2" s="169" t="s">
        <v>229</v>
      </c>
      <c r="G2" s="169" t="s">
        <v>327</v>
      </c>
      <c r="H2" s="169">
        <v>46203</v>
      </c>
      <c r="I2" s="169"/>
      <c r="J2" s="169">
        <v>46169</v>
      </c>
      <c r="K2" s="169"/>
      <c r="L2" s="169">
        <v>46171</v>
      </c>
      <c r="M2" s="169">
        <v>46168</v>
      </c>
      <c r="N2" s="169">
        <v>46163</v>
      </c>
      <c r="O2" s="169">
        <v>46156</v>
      </c>
      <c r="P2" s="169">
        <v>46154</v>
      </c>
      <c r="Q2" s="9">
        <v>46108</v>
      </c>
      <c r="R2" s="9">
        <v>46108</v>
      </c>
      <c r="S2" s="9">
        <v>46108</v>
      </c>
      <c r="T2" s="9">
        <v>46108</v>
      </c>
      <c r="W2" s="9">
        <v>46108</v>
      </c>
      <c r="X2" s="173">
        <v>46154</v>
      </c>
    </row>
    <row r="3" spans="1:31" ht="28" x14ac:dyDescent="0.2">
      <c r="A3" s="6" t="s">
        <v>94</v>
      </c>
      <c r="B3" s="6" t="s">
        <v>91</v>
      </c>
      <c r="C3" s="7" t="s">
        <v>93</v>
      </c>
      <c r="D3" s="7" t="s">
        <v>114</v>
      </c>
      <c r="E3" s="7" t="s">
        <v>124</v>
      </c>
      <c r="F3" s="172" t="s">
        <v>210</v>
      </c>
      <c r="G3" s="172"/>
      <c r="H3" s="172"/>
      <c r="I3" s="172"/>
      <c r="J3" s="172"/>
      <c r="K3" s="172"/>
      <c r="L3" s="172"/>
      <c r="M3" s="172"/>
      <c r="N3" s="172"/>
      <c r="O3" s="172"/>
      <c r="P3" s="172" t="s">
        <v>210</v>
      </c>
      <c r="Q3" s="6" t="s">
        <v>210</v>
      </c>
      <c r="R3" s="6" t="s">
        <v>209</v>
      </c>
      <c r="S3" s="6" t="s">
        <v>126</v>
      </c>
      <c r="T3" s="6" t="s">
        <v>128</v>
      </c>
      <c r="U3" s="6" t="s">
        <v>92</v>
      </c>
      <c r="V3" s="6" t="s">
        <v>208</v>
      </c>
      <c r="W3" s="6" t="s">
        <v>129</v>
      </c>
      <c r="X3" s="6" t="s">
        <v>129</v>
      </c>
      <c r="Y3" s="6" t="s">
        <v>205</v>
      </c>
      <c r="Z3" s="6" t="s">
        <v>206</v>
      </c>
      <c r="AA3" s="6"/>
      <c r="AB3" s="6"/>
      <c r="AD3" s="1" t="s">
        <v>200</v>
      </c>
      <c r="AE3" s="1" t="s">
        <v>211</v>
      </c>
    </row>
    <row r="4" spans="1:31" ht="15" x14ac:dyDescent="0.2">
      <c r="A4" s="2" t="s">
        <v>212</v>
      </c>
      <c r="B4" s="2" t="s">
        <v>95</v>
      </c>
      <c r="C4" s="5" t="s">
        <v>119</v>
      </c>
      <c r="D4" s="5" t="s">
        <v>120</v>
      </c>
      <c r="E4" s="5"/>
      <c r="F4" s="239">
        <v>0.2316</v>
      </c>
      <c r="G4" s="239"/>
      <c r="H4" s="239">
        <v>0.2316</v>
      </c>
      <c r="I4" s="239"/>
      <c r="J4" s="239"/>
      <c r="K4" s="239"/>
      <c r="L4" s="239"/>
      <c r="M4" s="239"/>
      <c r="N4" s="239">
        <v>0.2316</v>
      </c>
      <c r="O4" s="239"/>
      <c r="P4" s="170">
        <v>0.26740000000000003</v>
      </c>
      <c r="Q4" s="11">
        <v>0.23880000000000001</v>
      </c>
      <c r="R4" s="11"/>
      <c r="S4" s="11" t="s">
        <v>127</v>
      </c>
      <c r="T4" s="11" t="s">
        <v>129</v>
      </c>
      <c r="U4" s="2" t="s">
        <v>11</v>
      </c>
      <c r="V4" s="4"/>
      <c r="W4" s="240">
        <f>SUMIFS(CODE_MASTER_AS!I:I,CODE_MASTER_AS!C:C,CODE_PRICE!B4)</f>
        <v>0.26314983364262873</v>
      </c>
      <c r="X4" s="3"/>
      <c r="Y4" s="3"/>
      <c r="Z4" s="3"/>
      <c r="AA4" s="3"/>
      <c r="AB4" s="2"/>
    </row>
    <row r="5" spans="1:31" ht="15" x14ac:dyDescent="0.2">
      <c r="A5" s="2" t="s">
        <v>212</v>
      </c>
      <c r="B5" s="2" t="s">
        <v>89</v>
      </c>
      <c r="C5" s="5" t="s">
        <v>90</v>
      </c>
      <c r="D5" s="5" t="s">
        <v>115</v>
      </c>
      <c r="E5" s="5"/>
      <c r="F5" s="239">
        <v>0.1895</v>
      </c>
      <c r="G5" s="239"/>
      <c r="H5" s="239">
        <v>0.1895</v>
      </c>
      <c r="I5" s="239"/>
      <c r="J5" s="292"/>
      <c r="K5" s="239"/>
      <c r="L5" s="239"/>
      <c r="M5" s="239"/>
      <c r="N5" s="239">
        <v>0.19620000000000001</v>
      </c>
      <c r="O5" s="239"/>
      <c r="P5" s="170">
        <v>0.22500000000000001</v>
      </c>
      <c r="Q5" s="11">
        <v>0.2009</v>
      </c>
      <c r="R5" s="11"/>
      <c r="S5" s="11" t="s">
        <v>127</v>
      </c>
      <c r="T5" s="11" t="s">
        <v>129</v>
      </c>
      <c r="U5" s="2" t="s">
        <v>11</v>
      </c>
      <c r="V5" s="4"/>
      <c r="W5" s="240">
        <f>SUMIFS(CODE_MASTER_AS!I:I,CODE_MASTER_AS!C:C,CODE_PRICE!B5)</f>
        <v>0.2229104311688373</v>
      </c>
      <c r="X5" s="3"/>
      <c r="Y5" s="3"/>
      <c r="Z5" s="3"/>
      <c r="AA5" s="3"/>
      <c r="AB5" s="2"/>
    </row>
    <row r="6" spans="1:31" x14ac:dyDescent="0.2">
      <c r="A6" s="2" t="s">
        <v>212</v>
      </c>
      <c r="B6" s="2" t="s">
        <v>99</v>
      </c>
      <c r="C6" s="5"/>
      <c r="D6" s="5"/>
      <c r="E6" s="5"/>
      <c r="F6" s="239"/>
      <c r="G6" s="239"/>
      <c r="H6" s="239"/>
      <c r="I6" s="239"/>
      <c r="J6" s="239"/>
      <c r="K6" s="239"/>
      <c r="L6" s="239"/>
      <c r="M6" s="239"/>
      <c r="N6" s="239"/>
      <c r="O6" s="239"/>
      <c r="P6" s="170">
        <v>0.28249999999999997</v>
      </c>
      <c r="Q6" s="11">
        <v>0.25219999999999998</v>
      </c>
      <c r="R6" s="11"/>
      <c r="S6" s="11" t="s">
        <v>127</v>
      </c>
      <c r="T6" s="11" t="s">
        <v>129</v>
      </c>
      <c r="U6" s="2" t="s">
        <v>11</v>
      </c>
      <c r="V6" s="4"/>
      <c r="W6" s="240">
        <f>SUMIFS(CODE_MASTER_AS!I:I,CODE_MASTER_AS!C:C,CODE_PRICE!B6)</f>
        <v>0.28642348739416867</v>
      </c>
      <c r="X6" s="3"/>
      <c r="Y6" s="3"/>
      <c r="Z6" s="3"/>
      <c r="AA6" s="3"/>
      <c r="AB6" s="2"/>
    </row>
    <row r="7" spans="1:31" x14ac:dyDescent="0.2">
      <c r="A7" s="2" t="s">
        <v>212</v>
      </c>
      <c r="B7" s="2" t="s">
        <v>96</v>
      </c>
      <c r="C7" s="5"/>
      <c r="D7" s="5"/>
      <c r="E7" s="5"/>
      <c r="F7" s="239"/>
      <c r="G7" s="239"/>
      <c r="H7" s="239"/>
      <c r="I7" s="239"/>
      <c r="J7" s="239"/>
      <c r="K7" s="239"/>
      <c r="L7" s="239"/>
      <c r="M7" s="239"/>
      <c r="N7" s="239"/>
      <c r="O7" s="239"/>
      <c r="P7" s="170">
        <v>0.2762</v>
      </c>
      <c r="Q7" s="11">
        <v>0.24660000000000001</v>
      </c>
      <c r="R7" s="11"/>
      <c r="S7" s="11" t="s">
        <v>127</v>
      </c>
      <c r="T7" s="11" t="s">
        <v>130</v>
      </c>
      <c r="U7" s="2" t="s">
        <v>11</v>
      </c>
      <c r="V7" s="4"/>
      <c r="W7" s="240">
        <f>SUMIFS(CODE_MASTER_AS!I:I,CODE_MASTER_AS!C:C,CODE_PRICE!B7)</f>
        <v>0.29285090568076988</v>
      </c>
      <c r="X7" s="3"/>
      <c r="Y7" s="3"/>
      <c r="Z7" s="3"/>
      <c r="AA7" s="3"/>
      <c r="AB7" s="2"/>
    </row>
    <row r="8" spans="1:31" x14ac:dyDescent="0.2">
      <c r="A8" s="2" t="s">
        <v>212</v>
      </c>
      <c r="B8" s="2" t="s">
        <v>97</v>
      </c>
      <c r="C8" s="5"/>
      <c r="D8" s="5"/>
      <c r="E8" s="5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170">
        <v>0.31259999999999999</v>
      </c>
      <c r="Q8" s="11">
        <v>0.27910000000000001</v>
      </c>
      <c r="R8" s="11"/>
      <c r="S8" s="11" t="s">
        <v>127</v>
      </c>
      <c r="T8" s="11" t="s">
        <v>130</v>
      </c>
      <c r="U8" s="2" t="s">
        <v>11</v>
      </c>
      <c r="V8" s="4"/>
      <c r="W8" s="240">
        <f>SUMIFS(CODE_MASTER_AS!I:I,CODE_MASTER_AS!C:C,CODE_PRICE!B8)</f>
        <v>0.34053358793613786</v>
      </c>
      <c r="X8" s="3"/>
      <c r="Y8" s="3"/>
      <c r="Z8" s="3"/>
      <c r="AA8" s="3"/>
      <c r="AB8" s="2"/>
    </row>
    <row r="9" spans="1:31" s="187" customFormat="1" ht="15" x14ac:dyDescent="0.2">
      <c r="A9" s="182" t="s">
        <v>103</v>
      </c>
      <c r="B9" s="182" t="s">
        <v>96</v>
      </c>
      <c r="C9" s="183" t="s">
        <v>117</v>
      </c>
      <c r="D9" s="183"/>
      <c r="E9" s="183"/>
      <c r="F9" s="184">
        <f>M9</f>
        <v>0.29070000000000001</v>
      </c>
      <c r="G9" s="184"/>
      <c r="H9" s="184"/>
      <c r="I9" s="184"/>
      <c r="J9" s="184"/>
      <c r="K9" s="184"/>
      <c r="L9" s="184"/>
      <c r="M9" s="184">
        <v>0.29070000000000001</v>
      </c>
      <c r="N9" s="184"/>
      <c r="O9" s="184"/>
      <c r="P9" s="184">
        <v>0.30919999999999997</v>
      </c>
      <c r="Q9" s="185">
        <v>0.27610000000000001</v>
      </c>
      <c r="R9" s="185"/>
      <c r="S9" s="185"/>
      <c r="T9" s="185" t="s">
        <v>132</v>
      </c>
      <c r="U9" s="182" t="s">
        <v>11</v>
      </c>
      <c r="V9" s="186"/>
      <c r="W9" s="241">
        <f>SUMIFS(CODE_MASTER_AS!I:I,CODE_MASTER_AS!C:C,CODE_PRICE!B9)</f>
        <v>0.29285090568076988</v>
      </c>
      <c r="X9" s="182"/>
      <c r="Y9" s="182"/>
      <c r="Z9" s="182"/>
      <c r="AA9" s="182"/>
      <c r="AB9" s="182"/>
    </row>
    <row r="10" spans="1:31" s="187" customFormat="1" ht="15" x14ac:dyDescent="0.2">
      <c r="A10" s="182" t="s">
        <v>103</v>
      </c>
      <c r="B10" s="182" t="s">
        <v>97</v>
      </c>
      <c r="C10" s="183" t="s">
        <v>118</v>
      </c>
      <c r="D10" s="183"/>
      <c r="E10" s="183"/>
      <c r="F10" s="184">
        <f>M10</f>
        <v>0.32900000000000001</v>
      </c>
      <c r="G10" s="184"/>
      <c r="H10" s="184"/>
      <c r="I10" s="184"/>
      <c r="J10" s="184"/>
      <c r="K10" s="184"/>
      <c r="L10" s="184"/>
      <c r="M10" s="184">
        <v>0.32900000000000001</v>
      </c>
      <c r="N10" s="184"/>
      <c r="O10" s="184"/>
      <c r="P10" s="184">
        <v>0.35010000000000002</v>
      </c>
      <c r="Q10" s="185">
        <v>0.3125</v>
      </c>
      <c r="R10" s="185"/>
      <c r="S10" s="185"/>
      <c r="T10" s="185" t="s">
        <v>132</v>
      </c>
      <c r="U10" s="182" t="s">
        <v>11</v>
      </c>
      <c r="V10" s="186"/>
      <c r="W10" s="241">
        <f>SUMIFS(CODE_MASTER_AS!I:I,CODE_MASTER_AS!C:C,CODE_PRICE!B10)</f>
        <v>0.34053358793613786</v>
      </c>
      <c r="X10" s="182"/>
      <c r="Y10" s="182"/>
      <c r="Z10" s="182"/>
      <c r="AA10" s="182"/>
      <c r="AB10" s="182"/>
    </row>
    <row r="11" spans="1:31" s="187" customFormat="1" ht="15" x14ac:dyDescent="0.2">
      <c r="A11" s="182" t="s">
        <v>103</v>
      </c>
      <c r="B11" s="182" t="s">
        <v>89</v>
      </c>
      <c r="C11" s="183" t="s">
        <v>113</v>
      </c>
      <c r="D11" s="183"/>
      <c r="E11" s="183"/>
      <c r="F11" s="184">
        <f>M11</f>
        <v>0.22500000000000001</v>
      </c>
      <c r="G11" s="184"/>
      <c r="H11" s="184"/>
      <c r="I11" s="184"/>
      <c r="J11" s="184"/>
      <c r="K11" s="184"/>
      <c r="L11" s="184"/>
      <c r="M11" s="184">
        <v>0.22500000000000001</v>
      </c>
      <c r="N11" s="184"/>
      <c r="O11" s="184"/>
      <c r="P11" s="184">
        <v>0.23930000000000001</v>
      </c>
      <c r="Q11" s="185">
        <v>0.2137</v>
      </c>
      <c r="R11" s="185"/>
      <c r="S11" s="185"/>
      <c r="T11" s="185" t="s">
        <v>132</v>
      </c>
      <c r="U11" s="182" t="s">
        <v>11</v>
      </c>
      <c r="V11" s="186"/>
      <c r="W11" s="241">
        <f>SUMIFS(CODE_MASTER_AS!I:I,CODE_MASTER_AS!C:C,CODE_PRICE!B11)</f>
        <v>0.2229104311688373</v>
      </c>
      <c r="X11" s="182"/>
      <c r="Y11" s="182"/>
      <c r="Z11" s="182"/>
      <c r="AA11" s="182"/>
      <c r="AB11" s="182"/>
    </row>
    <row r="12" spans="1:31" s="187" customFormat="1" ht="15" x14ac:dyDescent="0.2">
      <c r="A12" s="182" t="s">
        <v>103</v>
      </c>
      <c r="B12" s="182" t="s">
        <v>99</v>
      </c>
      <c r="C12" s="183" t="s">
        <v>116</v>
      </c>
      <c r="D12" s="183"/>
      <c r="E12" s="183"/>
      <c r="F12" s="184">
        <f>M12</f>
        <v>0.28249999999999997</v>
      </c>
      <c r="G12" s="184"/>
      <c r="H12" s="184"/>
      <c r="I12" s="184"/>
      <c r="J12" s="184"/>
      <c r="K12" s="184"/>
      <c r="L12" s="184"/>
      <c r="M12" s="184">
        <v>0.28249999999999997</v>
      </c>
      <c r="N12" s="184"/>
      <c r="O12" s="184"/>
      <c r="P12" s="184">
        <v>0.30049999999999999</v>
      </c>
      <c r="Q12" s="185">
        <v>0.26829999999999998</v>
      </c>
      <c r="R12" s="185"/>
      <c r="S12" s="185"/>
      <c r="T12" s="185" t="s">
        <v>132</v>
      </c>
      <c r="U12" s="182" t="s">
        <v>11</v>
      </c>
      <c r="V12" s="186"/>
      <c r="W12" s="241">
        <f>SUMIFS(CODE_MASTER_AS!I:I,CODE_MASTER_AS!C:C,CODE_PRICE!B12)</f>
        <v>0.28642348739416867</v>
      </c>
      <c r="X12" s="182"/>
      <c r="Y12" s="182"/>
      <c r="Z12" s="182"/>
      <c r="AA12" s="182"/>
      <c r="AB12" s="182"/>
    </row>
    <row r="13" spans="1:31" s="187" customFormat="1" ht="15" x14ac:dyDescent="0.2">
      <c r="A13" s="182" t="s">
        <v>103</v>
      </c>
      <c r="B13" s="182" t="s">
        <v>100</v>
      </c>
      <c r="C13" s="183" t="s">
        <v>131</v>
      </c>
      <c r="D13" s="183"/>
      <c r="E13" s="183"/>
      <c r="F13" s="184">
        <f>M13</f>
        <v>0.3674</v>
      </c>
      <c r="G13" s="184"/>
      <c r="H13" s="184"/>
      <c r="I13" s="184"/>
      <c r="J13" s="184"/>
      <c r="K13" s="184"/>
      <c r="L13" s="184"/>
      <c r="M13" s="184">
        <v>0.3674</v>
      </c>
      <c r="N13" s="184"/>
      <c r="O13" s="184"/>
      <c r="P13" s="184">
        <v>0.39079999999999998</v>
      </c>
      <c r="Q13" s="185">
        <v>0.34889999999999999</v>
      </c>
      <c r="R13" s="185"/>
      <c r="S13" s="185"/>
      <c r="T13" s="185" t="s">
        <v>132</v>
      </c>
      <c r="U13" s="182" t="s">
        <v>11</v>
      </c>
      <c r="V13" s="186"/>
      <c r="W13" s="241">
        <f>SUMIFS(CODE_MASTER_AS!I:I,CODE_MASTER_AS!C:C,CODE_PRICE!B13)</f>
        <v>0.33757357119361009</v>
      </c>
      <c r="X13" s="182"/>
      <c r="Y13" s="182"/>
      <c r="Z13" s="182"/>
      <c r="AA13" s="182"/>
      <c r="AB13" s="182"/>
    </row>
    <row r="14" spans="1:31" x14ac:dyDescent="0.2">
      <c r="A14" s="2"/>
      <c r="B14" s="2" t="s">
        <v>45</v>
      </c>
      <c r="C14" s="5"/>
      <c r="D14" s="5"/>
      <c r="E14" s="5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1"/>
      <c r="R14" s="11"/>
      <c r="S14" s="11"/>
      <c r="T14" s="11"/>
      <c r="U14" s="2"/>
      <c r="V14" s="4"/>
      <c r="W14" s="240">
        <f>SUMIFS(CODE_MASTER_AS!I:I,CODE_MASTER_AS!C:C,CODE_PRICE!B14)</f>
        <v>0.2385979242509878</v>
      </c>
      <c r="X14" s="3"/>
      <c r="Y14" s="3"/>
      <c r="Z14" s="3"/>
      <c r="AA14" s="3"/>
      <c r="AB14" s="2"/>
    </row>
    <row r="15" spans="1:31" x14ac:dyDescent="0.2">
      <c r="A15" s="2"/>
      <c r="B15" s="2" t="s">
        <v>98</v>
      </c>
      <c r="C15" s="5"/>
      <c r="D15" s="5"/>
      <c r="E15" s="5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1"/>
      <c r="R15" s="11"/>
      <c r="S15" s="11"/>
      <c r="T15" s="11"/>
      <c r="U15" s="2"/>
      <c r="V15" s="4"/>
      <c r="W15" s="240">
        <f>SUMIFS(CODE_MASTER_AS!I:I,CODE_MASTER_AS!C:C,CODE_PRICE!B15)</f>
        <v>0.32682157769616627</v>
      </c>
      <c r="X15" s="3"/>
      <c r="Y15" s="3"/>
      <c r="Z15" s="3"/>
      <c r="AA15" s="3"/>
      <c r="AB15" s="2"/>
    </row>
    <row r="16" spans="1:31" x14ac:dyDescent="0.2">
      <c r="A16" s="2"/>
      <c r="B16" s="2" t="s">
        <v>43</v>
      </c>
      <c r="C16" s="5"/>
      <c r="D16" s="5"/>
      <c r="E16" s="5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1"/>
      <c r="R16" s="11"/>
      <c r="S16" s="11"/>
      <c r="T16" s="11"/>
      <c r="U16" s="2"/>
      <c r="V16" s="4"/>
      <c r="W16" s="240">
        <f>SUMIFS(CODE_MASTER_AS!I:I,CODE_MASTER_AS!C:C,CODE_PRICE!B16)</f>
        <v>0.27464744807291908</v>
      </c>
      <c r="X16" s="3"/>
      <c r="Y16" s="3"/>
      <c r="Z16" s="3"/>
      <c r="AA16" s="3"/>
      <c r="AB16" s="2"/>
    </row>
    <row r="17" spans="1:28" x14ac:dyDescent="0.2">
      <c r="A17" s="2"/>
      <c r="B17" s="2" t="s">
        <v>51</v>
      </c>
      <c r="C17" s="5"/>
      <c r="D17" s="5"/>
      <c r="E17" s="5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Q17" s="11"/>
      <c r="R17" s="11"/>
      <c r="S17" s="11"/>
      <c r="T17" s="11"/>
      <c r="U17" s="2"/>
      <c r="V17" s="4"/>
      <c r="W17" s="240">
        <f>SUMIFS(CODE_MASTER_AS!I:I,CODE_MASTER_AS!C:C,CODE_PRICE!B17)</f>
        <v>0.30197915493723837</v>
      </c>
      <c r="X17" s="3"/>
      <c r="Y17" s="3"/>
      <c r="Z17" s="3"/>
      <c r="AA17" s="3"/>
      <c r="AB17" s="2"/>
    </row>
    <row r="18" spans="1:28" x14ac:dyDescent="0.2">
      <c r="A18" s="2"/>
      <c r="B18" s="2" t="s">
        <v>57</v>
      </c>
      <c r="C18" s="5"/>
      <c r="D18" s="5"/>
      <c r="E18" s="5"/>
      <c r="F18" s="170"/>
      <c r="G18" s="170"/>
      <c r="H18" s="170"/>
      <c r="I18" s="170"/>
      <c r="J18" s="170"/>
      <c r="K18" s="170"/>
      <c r="L18" s="170"/>
      <c r="M18" s="170"/>
      <c r="N18" s="170"/>
      <c r="O18" s="170"/>
      <c r="P18" s="170"/>
      <c r="Q18" s="11"/>
      <c r="R18" s="11"/>
      <c r="S18" s="11"/>
      <c r="T18" s="11"/>
      <c r="U18" s="2"/>
      <c r="V18" s="4"/>
      <c r="W18" s="240">
        <f>SUMIFS(CODE_MASTER_AS!I:I,CODE_MASTER_AS!C:C,CODE_PRICE!B18)</f>
        <v>0.35106058544190483</v>
      </c>
      <c r="X18" s="3"/>
      <c r="Y18" s="3"/>
      <c r="Z18" s="3"/>
      <c r="AA18" s="3"/>
      <c r="AB18" s="2"/>
    </row>
    <row r="19" spans="1:28" x14ac:dyDescent="0.2">
      <c r="A19" s="2"/>
      <c r="B19" s="2" t="s">
        <v>101</v>
      </c>
      <c r="C19" s="5"/>
      <c r="D19" s="5"/>
      <c r="E19" s="5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  <c r="Q19" s="11"/>
      <c r="R19" s="11"/>
      <c r="S19" s="11"/>
      <c r="T19" s="11"/>
      <c r="U19" s="2"/>
      <c r="V19" s="4"/>
      <c r="W19" s="240">
        <f>SUMIFS(CODE_MASTER_AS!I:I,CODE_MASTER_AS!C:C,CODE_PRICE!B19)</f>
        <v>0.34053358793613786</v>
      </c>
      <c r="X19" s="3"/>
      <c r="Y19" s="3"/>
      <c r="Z19" s="3"/>
      <c r="AA19" s="3"/>
      <c r="AB19" s="2"/>
    </row>
    <row r="20" spans="1:28" x14ac:dyDescent="0.2">
      <c r="A20" s="2" t="s">
        <v>133</v>
      </c>
      <c r="B20" s="2" t="s">
        <v>89</v>
      </c>
      <c r="C20" s="5"/>
      <c r="D20" s="5"/>
      <c r="E20" s="5">
        <v>4.4999999999999997E-3</v>
      </c>
      <c r="F20" s="170">
        <v>0.2051</v>
      </c>
      <c r="G20" s="170"/>
      <c r="H20" s="170"/>
      <c r="I20" s="170"/>
      <c r="J20" s="170"/>
      <c r="K20" s="170"/>
      <c r="L20" s="170"/>
      <c r="M20" s="170"/>
      <c r="N20" s="170"/>
      <c r="O20" s="170">
        <v>0.2006</v>
      </c>
      <c r="P20" s="170"/>
      <c r="Q20" s="11">
        <v>0.2054</v>
      </c>
      <c r="R20" s="11"/>
      <c r="S20" s="11"/>
      <c r="T20" s="11"/>
      <c r="U20" s="2" t="s">
        <v>34</v>
      </c>
      <c r="V20" s="4"/>
      <c r="W20" s="240">
        <f>SUMIFS(CODE_MASTER_AS!I:I,CODE_MASTER_AS!C:C,CODE_PRICE!B20)</f>
        <v>0.2229104311688373</v>
      </c>
      <c r="X20" s="3"/>
      <c r="Y20" s="3"/>
      <c r="Z20" s="3"/>
      <c r="AA20" s="3"/>
      <c r="AB20" s="2"/>
    </row>
    <row r="21" spans="1:28" x14ac:dyDescent="0.2">
      <c r="A21" s="2" t="s">
        <v>163</v>
      </c>
      <c r="B21" s="2" t="s">
        <v>89</v>
      </c>
      <c r="C21" s="5"/>
      <c r="D21" s="5"/>
      <c r="E21" s="5">
        <v>4.4999999999999997E-3</v>
      </c>
      <c r="F21" s="311">
        <v>0.1852</v>
      </c>
      <c r="G21" s="170">
        <v>0.1852</v>
      </c>
      <c r="H21" s="170"/>
      <c r="I21" s="170"/>
      <c r="J21" s="170"/>
      <c r="K21" s="170"/>
      <c r="L21" s="170"/>
      <c r="M21" s="170"/>
      <c r="N21" s="170"/>
      <c r="O21" s="170"/>
      <c r="P21" s="170"/>
      <c r="Q21" s="11">
        <v>0.2054</v>
      </c>
      <c r="R21" s="11"/>
      <c r="S21" s="11"/>
      <c r="T21" s="11"/>
      <c r="U21" s="2" t="s">
        <v>34</v>
      </c>
      <c r="V21" s="4"/>
      <c r="W21" s="240">
        <f>SUMIFS(CODE_MASTER_AS!I:I,CODE_MASTER_AS!C:C,CODE_PRICE!B21)</f>
        <v>0.2229104311688373</v>
      </c>
      <c r="X21" s="3"/>
      <c r="Y21" s="3"/>
      <c r="Z21" s="3"/>
      <c r="AA21" s="3"/>
      <c r="AB21" s="2"/>
    </row>
    <row r="22" spans="1:28" x14ac:dyDescent="0.2">
      <c r="A22" s="2" t="s">
        <v>163</v>
      </c>
      <c r="B22" s="2" t="s">
        <v>96</v>
      </c>
      <c r="C22" s="5"/>
      <c r="D22" s="5"/>
      <c r="E22" s="5">
        <v>4.4999999999999997E-3</v>
      </c>
      <c r="F22" s="170">
        <v>0.26590000000000003</v>
      </c>
      <c r="G22" s="170">
        <v>0.26590000000000003</v>
      </c>
      <c r="H22" s="170"/>
      <c r="I22" s="170"/>
      <c r="J22" s="170"/>
      <c r="K22" s="170"/>
      <c r="L22" s="170"/>
      <c r="M22" s="170"/>
      <c r="N22" s="170"/>
      <c r="O22" s="170"/>
      <c r="P22" s="170"/>
      <c r="Q22" s="11">
        <v>0.26400000000000001</v>
      </c>
      <c r="R22" s="11"/>
      <c r="S22" s="11"/>
      <c r="T22" s="11" t="s">
        <v>129</v>
      </c>
      <c r="U22" s="2" t="s">
        <v>34</v>
      </c>
      <c r="V22" s="4"/>
      <c r="W22" s="240">
        <f>SUMIFS(CODE_MASTER_AS!I:I,CODE_MASTER_AS!C:C,CODE_PRICE!B22)</f>
        <v>0.29285090568076988</v>
      </c>
      <c r="X22" s="3"/>
      <c r="Y22" s="3"/>
      <c r="Z22" s="3"/>
      <c r="AA22" s="3"/>
      <c r="AB22" s="2"/>
    </row>
    <row r="23" spans="1:28" x14ac:dyDescent="0.2">
      <c r="A23" s="2" t="s">
        <v>207</v>
      </c>
      <c r="B23" s="2" t="s">
        <v>89</v>
      </c>
      <c r="C23" s="5"/>
      <c r="D23" s="5"/>
      <c r="E23" s="5"/>
      <c r="F23" s="170">
        <v>0.1968</v>
      </c>
      <c r="G23" s="170"/>
      <c r="H23" s="170">
        <v>0.1968</v>
      </c>
      <c r="I23" s="170"/>
      <c r="J23" s="170">
        <v>0.21179999999999999</v>
      </c>
      <c r="K23" s="170"/>
      <c r="L23" s="170"/>
      <c r="M23" s="170"/>
      <c r="N23" s="170"/>
      <c r="O23" s="170"/>
      <c r="P23" s="170">
        <v>0.23930000000000001</v>
      </c>
      <c r="Q23" s="11">
        <v>0.2137</v>
      </c>
      <c r="R23" s="11"/>
      <c r="S23" s="11"/>
      <c r="T23" s="11" t="s">
        <v>132</v>
      </c>
      <c r="U23" s="2" t="s">
        <v>11</v>
      </c>
      <c r="V23" s="4"/>
      <c r="W23" s="240">
        <f>SUMIFS(CODE_MASTER_AS!I:I,CODE_MASTER_AS!C:C,CODE_PRICE!B23)</f>
        <v>0.2229104311688373</v>
      </c>
      <c r="X23" s="3"/>
      <c r="Y23" s="3"/>
      <c r="Z23" s="3"/>
      <c r="AA23" s="3"/>
      <c r="AB23" s="2"/>
    </row>
    <row r="24" spans="1:28" x14ac:dyDescent="0.2">
      <c r="A24" s="2" t="s">
        <v>207</v>
      </c>
      <c r="B24" s="2" t="s">
        <v>95</v>
      </c>
      <c r="C24" s="5"/>
      <c r="D24" s="5"/>
      <c r="E24" s="5"/>
      <c r="F24" s="170">
        <v>0.25</v>
      </c>
      <c r="G24" s="170"/>
      <c r="H24" s="170">
        <v>0.25</v>
      </c>
      <c r="I24" s="170"/>
      <c r="J24" s="170"/>
      <c r="K24" s="170"/>
      <c r="L24" s="170"/>
      <c r="M24" s="170"/>
      <c r="N24" s="170"/>
      <c r="O24" s="170"/>
      <c r="P24" s="170"/>
      <c r="Q24" s="11"/>
      <c r="R24" s="11"/>
      <c r="S24" s="11"/>
      <c r="T24" s="11"/>
      <c r="U24" s="2"/>
      <c r="V24" s="4"/>
      <c r="W24" s="240"/>
      <c r="X24" s="3"/>
      <c r="Y24" s="3"/>
      <c r="Z24" s="3"/>
      <c r="AA24" s="3"/>
      <c r="AB24" s="2"/>
    </row>
    <row r="25" spans="1:28" x14ac:dyDescent="0.2">
      <c r="A25" s="2" t="s">
        <v>207</v>
      </c>
      <c r="B25" s="2" t="s">
        <v>99</v>
      </c>
      <c r="C25" s="5"/>
      <c r="D25" s="5"/>
      <c r="E25" s="5"/>
      <c r="F25" s="170">
        <v>0.27210000000000001</v>
      </c>
      <c r="G25" s="170"/>
      <c r="H25" s="170"/>
      <c r="I25" s="170"/>
      <c r="J25" s="170">
        <v>0.27210000000000001</v>
      </c>
      <c r="K25" s="170"/>
      <c r="L25" s="170"/>
      <c r="M25" s="170"/>
      <c r="N25" s="170"/>
      <c r="O25" s="170"/>
      <c r="P25" s="170">
        <v>0.30049999999999999</v>
      </c>
      <c r="Q25" s="11">
        <v>0.26829999999999998</v>
      </c>
      <c r="R25" s="11"/>
      <c r="S25" s="11"/>
      <c r="T25" s="11" t="s">
        <v>132</v>
      </c>
      <c r="U25" s="2" t="s">
        <v>11</v>
      </c>
      <c r="V25" s="4"/>
      <c r="W25" s="240">
        <f>SUMIFS(CODE_MASTER_AS!I:I,CODE_MASTER_AS!C:C,CODE_PRICE!B25)</f>
        <v>0.28642348739416867</v>
      </c>
      <c r="X25" s="3"/>
      <c r="Y25" s="3"/>
      <c r="Z25" s="3"/>
      <c r="AA25" s="3"/>
      <c r="AB25" s="2"/>
    </row>
    <row r="26" spans="1:28" x14ac:dyDescent="0.2">
      <c r="A26" s="2" t="s">
        <v>207</v>
      </c>
      <c r="B26" s="2" t="s">
        <v>96</v>
      </c>
      <c r="C26" s="5"/>
      <c r="D26" s="5"/>
      <c r="E26" s="5"/>
      <c r="F26" s="170">
        <v>0.2782</v>
      </c>
      <c r="G26" s="170"/>
      <c r="H26" s="170"/>
      <c r="I26" s="170"/>
      <c r="J26" s="170">
        <v>0.2782</v>
      </c>
      <c r="K26" s="170"/>
      <c r="L26" s="170"/>
      <c r="M26" s="170"/>
      <c r="N26" s="170"/>
      <c r="O26" s="170"/>
      <c r="P26" s="170">
        <v>0.30919999999999997</v>
      </c>
      <c r="Q26" s="11">
        <v>0.27610000000000001</v>
      </c>
      <c r="R26" s="11"/>
      <c r="S26" s="11"/>
      <c r="T26" s="11" t="s">
        <v>132</v>
      </c>
      <c r="U26" s="2" t="s">
        <v>11</v>
      </c>
      <c r="V26" s="4"/>
      <c r="W26" s="240">
        <f>SUMIFS(CODE_MASTER_AS!I:I,CODE_MASTER_AS!C:C,CODE_PRICE!B26)</f>
        <v>0.29285090568076988</v>
      </c>
      <c r="X26" s="3"/>
      <c r="Y26" s="3"/>
      <c r="Z26" s="3"/>
      <c r="AA26" s="3"/>
      <c r="AB26" s="2"/>
    </row>
    <row r="27" spans="1:28" x14ac:dyDescent="0.2">
      <c r="A27" s="2" t="s">
        <v>207</v>
      </c>
      <c r="B27" s="2" t="s">
        <v>101</v>
      </c>
      <c r="C27" s="5"/>
      <c r="D27" s="5"/>
      <c r="E27" s="5"/>
      <c r="F27" s="170">
        <v>0.32350000000000001</v>
      </c>
      <c r="G27" s="170"/>
      <c r="H27" s="170"/>
      <c r="I27" s="170"/>
      <c r="J27" s="170">
        <v>0.32350000000000001</v>
      </c>
      <c r="K27" s="170"/>
      <c r="L27" s="170"/>
      <c r="M27" s="170"/>
      <c r="N27" s="170"/>
      <c r="O27" s="170"/>
      <c r="P27" s="170">
        <v>0.35010000000000002</v>
      </c>
      <c r="Q27" s="11">
        <v>0.3125</v>
      </c>
      <c r="R27" s="11"/>
      <c r="S27" s="11"/>
      <c r="T27" s="11" t="s">
        <v>132</v>
      </c>
      <c r="U27" s="2" t="s">
        <v>11</v>
      </c>
      <c r="V27" s="4"/>
      <c r="W27" s="240">
        <f>SUMIFS(CODE_MASTER_AS!I:I,CODE_MASTER_AS!C:C,CODE_PRICE!B27)</f>
        <v>0.34053358793613786</v>
      </c>
      <c r="X27" s="3"/>
      <c r="Y27" s="3"/>
      <c r="Z27" s="3"/>
      <c r="AA27" s="3"/>
      <c r="AB27" s="2"/>
    </row>
    <row r="28" spans="1:28" ht="15" x14ac:dyDescent="0.2">
      <c r="A28" s="2" t="s">
        <v>139</v>
      </c>
      <c r="B28" s="2" t="s">
        <v>96</v>
      </c>
      <c r="C28" s="5"/>
      <c r="D28" s="5" t="s">
        <v>132</v>
      </c>
      <c r="E28" s="5">
        <v>4.4999999999999997E-3</v>
      </c>
      <c r="F28" s="170">
        <v>0.316</v>
      </c>
      <c r="G28" s="170"/>
      <c r="H28" s="170"/>
      <c r="I28" s="170"/>
      <c r="J28" s="170"/>
      <c r="K28" s="170"/>
      <c r="L28" s="170">
        <v>0.3115</v>
      </c>
      <c r="M28" s="170"/>
      <c r="N28" s="170"/>
      <c r="O28" s="170"/>
      <c r="P28" s="170">
        <v>0.35899999999999999</v>
      </c>
      <c r="Q28" s="11">
        <v>0.32100000000000001</v>
      </c>
      <c r="R28" s="11">
        <v>0.3165</v>
      </c>
      <c r="S28" s="11"/>
      <c r="T28" s="11" t="s">
        <v>12</v>
      </c>
      <c r="U28" s="2" t="s">
        <v>34</v>
      </c>
      <c r="V28" s="4"/>
      <c r="W28" s="240">
        <f>SUMIFS(CODE_MASTER_AS!I:I,CODE_MASTER_AS!C:C,CODE_PRICE!B28)</f>
        <v>0.29285090568076988</v>
      </c>
      <c r="X28" s="3">
        <v>0.35449999999999998</v>
      </c>
      <c r="Y28" s="3"/>
      <c r="Z28" s="3"/>
      <c r="AA28" s="3"/>
      <c r="AB28" s="2"/>
    </row>
    <row r="29" spans="1:28" ht="15" x14ac:dyDescent="0.2">
      <c r="A29" s="2" t="s">
        <v>139</v>
      </c>
      <c r="B29" s="2" t="s">
        <v>89</v>
      </c>
      <c r="C29" s="5"/>
      <c r="D29" s="5" t="s">
        <v>132</v>
      </c>
      <c r="E29" s="5">
        <v>4.4999999999999997E-3</v>
      </c>
      <c r="F29" s="170">
        <v>0.24160000000000001</v>
      </c>
      <c r="G29" s="170"/>
      <c r="H29" s="170"/>
      <c r="I29" s="170"/>
      <c r="J29" s="170"/>
      <c r="K29" s="170"/>
      <c r="L29" s="170">
        <v>0.23710000000000001</v>
      </c>
      <c r="M29" s="170"/>
      <c r="N29" s="170"/>
      <c r="O29" s="170"/>
      <c r="P29" s="170">
        <v>0.2601</v>
      </c>
      <c r="Q29" s="11">
        <v>0.23269999999999999</v>
      </c>
      <c r="R29" s="11">
        <v>0.22819999999999999</v>
      </c>
      <c r="S29" s="11"/>
      <c r="T29" s="11" t="s">
        <v>202</v>
      </c>
      <c r="U29" s="2" t="s">
        <v>34</v>
      </c>
      <c r="V29" s="4"/>
      <c r="W29" s="240">
        <f>SUMIFS(CODE_MASTER_AS!I:I,CODE_MASTER_AS!C:C,CODE_PRICE!B29)</f>
        <v>0.2229104311688373</v>
      </c>
      <c r="X29" s="3">
        <v>0.25559999999999999</v>
      </c>
      <c r="Y29" s="3"/>
      <c r="Z29" s="3"/>
      <c r="AA29" s="3"/>
      <c r="AB29" s="2"/>
    </row>
    <row r="30" spans="1:28" s="181" customFormat="1" ht="15" x14ac:dyDescent="0.2">
      <c r="A30" s="176" t="s">
        <v>139</v>
      </c>
      <c r="B30" s="176" t="s">
        <v>95</v>
      </c>
      <c r="C30" s="177"/>
      <c r="D30" s="177" t="s">
        <v>132</v>
      </c>
      <c r="E30" s="177">
        <v>4.4999999999999997E-3</v>
      </c>
      <c r="F30" s="178">
        <v>0.28439999999999999</v>
      </c>
      <c r="G30" s="178"/>
      <c r="H30" s="178"/>
      <c r="I30" s="178"/>
      <c r="J30" s="178"/>
      <c r="K30" s="178"/>
      <c r="L30" s="178">
        <v>0.27989999999999998</v>
      </c>
      <c r="M30" s="178"/>
      <c r="N30" s="178"/>
      <c r="O30" s="178"/>
      <c r="P30" s="178">
        <v>0.33069999999999999</v>
      </c>
      <c r="Q30" s="179"/>
      <c r="R30" s="179"/>
      <c r="S30" s="179"/>
      <c r="T30" s="179"/>
      <c r="U30" s="176"/>
      <c r="V30" s="180"/>
      <c r="W30" s="242"/>
      <c r="X30" s="176">
        <v>0.32619999999999999</v>
      </c>
      <c r="Y30" s="176"/>
      <c r="Z30" s="176"/>
      <c r="AA30" s="176"/>
      <c r="AB30" s="176"/>
    </row>
    <row r="31" spans="1:28" x14ac:dyDescent="0.2">
      <c r="A31" s="2" t="s">
        <v>133</v>
      </c>
      <c r="B31" s="2" t="s">
        <v>96</v>
      </c>
      <c r="C31" s="5"/>
      <c r="D31" s="5"/>
      <c r="E31" s="5">
        <v>4.4999999999999997E-3</v>
      </c>
      <c r="F31" s="170">
        <v>0.2681</v>
      </c>
      <c r="G31" s="170"/>
      <c r="H31" s="170"/>
      <c r="I31" s="170"/>
      <c r="J31" s="170"/>
      <c r="K31" s="170"/>
      <c r="L31" s="170"/>
      <c r="M31" s="170"/>
      <c r="N31" s="170"/>
      <c r="O31" s="170">
        <v>0.2636</v>
      </c>
      <c r="P31" s="170"/>
      <c r="Q31" s="11">
        <v>0.26400000000000001</v>
      </c>
      <c r="R31" s="11"/>
      <c r="S31" s="11"/>
      <c r="T31" s="11"/>
      <c r="U31" s="2" t="s">
        <v>34</v>
      </c>
      <c r="V31" s="4"/>
      <c r="W31" s="240">
        <f>SUMIFS(CODE_MASTER_AS!I:I,CODE_MASTER_AS!C:C,CODE_PRICE!B31)</f>
        <v>0.29285090568076988</v>
      </c>
      <c r="X31" s="3"/>
      <c r="Y31" s="3"/>
      <c r="Z31" s="3"/>
      <c r="AA31" s="3"/>
      <c r="AB31" s="2"/>
    </row>
    <row r="32" spans="1:28" x14ac:dyDescent="0.2">
      <c r="A32" s="2" t="s">
        <v>125</v>
      </c>
      <c r="B32" s="2" t="s">
        <v>89</v>
      </c>
      <c r="C32" s="5"/>
      <c r="D32" s="5"/>
      <c r="E32" s="5"/>
      <c r="F32" s="170">
        <v>0.2586</v>
      </c>
      <c r="G32" s="170"/>
      <c r="H32" s="170"/>
      <c r="I32" s="170"/>
      <c r="J32" s="170"/>
      <c r="K32" s="170">
        <v>0.2586</v>
      </c>
      <c r="L32" s="170"/>
      <c r="M32" s="170"/>
      <c r="N32" s="170"/>
      <c r="O32" s="170"/>
      <c r="P32" s="170">
        <v>0.2331</v>
      </c>
      <c r="Q32" s="11">
        <v>0.2331</v>
      </c>
      <c r="R32" s="11"/>
      <c r="S32" s="11"/>
      <c r="T32" s="11" t="s">
        <v>227</v>
      </c>
      <c r="U32" s="2" t="s">
        <v>228</v>
      </c>
      <c r="V32" s="4"/>
      <c r="W32" s="240"/>
      <c r="X32" s="3"/>
      <c r="Y32" s="3"/>
      <c r="Z32" s="3"/>
      <c r="AA32" s="3"/>
      <c r="AB32" s="2"/>
    </row>
    <row r="33" spans="1:28" x14ac:dyDescent="0.2">
      <c r="A33" s="2" t="s">
        <v>125</v>
      </c>
      <c r="B33" s="2" t="s">
        <v>95</v>
      </c>
      <c r="C33" s="5"/>
      <c r="D33" s="5"/>
      <c r="E33" s="5"/>
      <c r="F33" s="170">
        <v>0.30359999999999998</v>
      </c>
      <c r="G33" s="170"/>
      <c r="H33" s="170"/>
      <c r="I33" s="170"/>
      <c r="J33" s="170"/>
      <c r="K33" s="170"/>
      <c r="L33" s="170"/>
      <c r="M33" s="170"/>
      <c r="N33" s="170"/>
      <c r="O33" s="170"/>
      <c r="P33" s="170">
        <v>0.30359999999999998</v>
      </c>
      <c r="Q33" s="11">
        <v>0.30359999999999998</v>
      </c>
      <c r="R33" s="11"/>
      <c r="S33" s="11"/>
      <c r="T33" s="11" t="s">
        <v>227</v>
      </c>
      <c r="U33" s="2" t="s">
        <v>228</v>
      </c>
      <c r="V33" s="4"/>
      <c r="W33" s="240"/>
      <c r="X33" s="3"/>
      <c r="Y33" s="3"/>
      <c r="Z33" s="3"/>
      <c r="AA33" s="3"/>
      <c r="AB33" s="2"/>
    </row>
    <row r="34" spans="1:28" x14ac:dyDescent="0.2">
      <c r="A34" s="2" t="s">
        <v>306</v>
      </c>
      <c r="B34" s="2" t="s">
        <v>95</v>
      </c>
      <c r="C34" s="5"/>
      <c r="D34" s="5"/>
      <c r="E34" s="5"/>
      <c r="F34" s="170">
        <v>0.21740000000000001</v>
      </c>
      <c r="G34" s="170">
        <v>0.21740000000000001</v>
      </c>
      <c r="H34" s="170"/>
      <c r="I34" s="170"/>
      <c r="J34" s="170"/>
      <c r="K34" s="170"/>
      <c r="L34" s="170"/>
      <c r="M34" s="170"/>
      <c r="N34" s="170"/>
      <c r="O34" s="170"/>
      <c r="P34" s="170"/>
      <c r="Q34" s="11"/>
      <c r="R34" s="11"/>
      <c r="S34" s="11"/>
      <c r="T34" s="11"/>
      <c r="U34" s="2"/>
      <c r="V34" s="4"/>
      <c r="W34" s="240"/>
      <c r="X34" s="3"/>
      <c r="Y34" s="3"/>
      <c r="Z34" s="3"/>
      <c r="AA34" s="3"/>
      <c r="AB34" s="2"/>
    </row>
    <row r="35" spans="1:28" x14ac:dyDescent="0.2">
      <c r="A35" s="2" t="s">
        <v>306</v>
      </c>
      <c r="B35" s="2" t="s">
        <v>96</v>
      </c>
      <c r="C35" s="5"/>
      <c r="D35" s="5"/>
      <c r="E35" s="5"/>
      <c r="F35" s="170">
        <v>0.2419</v>
      </c>
      <c r="G35" s="170">
        <v>0.2419</v>
      </c>
      <c r="H35" s="170"/>
      <c r="I35" s="170"/>
      <c r="J35" s="170"/>
      <c r="K35" s="170"/>
      <c r="L35" s="170"/>
      <c r="M35" s="170"/>
      <c r="N35" s="170"/>
      <c r="O35" s="170"/>
      <c r="P35" s="170"/>
      <c r="Q35" s="11"/>
      <c r="R35" s="11"/>
      <c r="S35" s="11"/>
      <c r="T35" s="11"/>
      <c r="U35" s="2"/>
      <c r="V35" s="4"/>
      <c r="W35" s="240"/>
      <c r="X35" s="3" t="e">
        <f ca="1">IF(B35="","",_xludf.XLOOKUP(B35,CODE_MASTER_AS!A:A,CODE_MASTER_AS!E:E,""))</f>
        <v>#NAME?</v>
      </c>
      <c r="Y35" s="3" t="e">
        <f ca="1">IF(B35="","",_xludf.XLOOKUP(B35,CODE_MASTER_AS!A:A,CODE_MASTER_AS!F:F,""))</f>
        <v>#NAME?</v>
      </c>
      <c r="Z35" s="3" t="e">
        <f ca="1">IF(B35="","",_xludf.XLOOKUP(B35,CODE_MASTER_AS!A:A,CODE_MASTER_AS!G:G,""))</f>
        <v>#NAME?</v>
      </c>
      <c r="AA35" s="3" t="e">
        <f ca="1">IF(B35="","",_xludf.XLOOKUP(B35,CODE_MASTER_AS!A:A,CODE_MASTER_AS!H:H,""))</f>
        <v>#NAME?</v>
      </c>
      <c r="AB35" s="2"/>
    </row>
    <row r="36" spans="1:28" x14ac:dyDescent="0.2">
      <c r="A36" s="2" t="s">
        <v>306</v>
      </c>
      <c r="B36" s="2" t="s">
        <v>99</v>
      </c>
      <c r="C36" s="5"/>
      <c r="D36" s="5"/>
      <c r="E36" s="5"/>
      <c r="F36" s="170">
        <v>0.23169999999999999</v>
      </c>
      <c r="G36" s="170">
        <v>0.23169999999999999</v>
      </c>
      <c r="H36" s="170"/>
      <c r="I36" s="170"/>
      <c r="J36" s="170"/>
      <c r="K36" s="170"/>
      <c r="L36" s="170"/>
      <c r="M36" s="170"/>
      <c r="N36" s="170"/>
      <c r="O36" s="170"/>
      <c r="P36" s="170"/>
      <c r="Q36" s="11"/>
      <c r="R36" s="11"/>
      <c r="S36" s="11"/>
      <c r="T36" s="11"/>
      <c r="U36" s="2"/>
      <c r="V36" s="4"/>
      <c r="W36" s="4"/>
      <c r="X36" s="3" t="e">
        <f ca="1">IF(B36="","",_xludf.XLOOKUP(B36,CODE_MASTER_AS!A:A,CODE_MASTER_AS!E:E,""))</f>
        <v>#NAME?</v>
      </c>
      <c r="Y36" s="3" t="e">
        <f ca="1">IF(B36="","",_xludf.XLOOKUP(B36,CODE_MASTER_AS!A:A,CODE_MASTER_AS!F:F,""))</f>
        <v>#NAME?</v>
      </c>
      <c r="Z36" s="3" t="e">
        <f ca="1">IF(B36="","",_xludf.XLOOKUP(B36,CODE_MASTER_AS!A:A,CODE_MASTER_AS!G:G,""))</f>
        <v>#NAME?</v>
      </c>
      <c r="AA36" s="3" t="e">
        <f ca="1">IF(B36="","",_xludf.XLOOKUP(B36,CODE_MASTER_AS!A:A,CODE_MASTER_AS!H:H,""))</f>
        <v>#NAME?</v>
      </c>
      <c r="AB36" s="2"/>
    </row>
    <row r="37" spans="1:28" ht="28" x14ac:dyDescent="0.2">
      <c r="A37" s="2"/>
      <c r="B37" s="2"/>
      <c r="C37" s="5"/>
      <c r="D37" s="5"/>
      <c r="E37" s="5"/>
      <c r="F37" s="170"/>
      <c r="G37" s="170"/>
      <c r="H37" s="170"/>
      <c r="I37" s="170"/>
      <c r="J37" s="170"/>
      <c r="K37" s="170"/>
      <c r="L37" s="170"/>
      <c r="M37" s="170"/>
      <c r="N37" s="170"/>
      <c r="O37" s="170"/>
      <c r="P37" s="170"/>
      <c r="Q37" s="11"/>
      <c r="R37" s="11"/>
      <c r="S37" s="11"/>
      <c r="T37" s="11"/>
      <c r="U37" s="2"/>
      <c r="V37" s="119" t="s">
        <v>193</v>
      </c>
      <c r="W37" s="119" t="s">
        <v>194</v>
      </c>
      <c r="X37" s="119" t="s">
        <v>195</v>
      </c>
      <c r="Y37" s="119" t="s">
        <v>196</v>
      </c>
      <c r="Z37" s="119" t="s">
        <v>197</v>
      </c>
      <c r="AA37" s="119" t="s">
        <v>198</v>
      </c>
      <c r="AB37" s="119" t="s">
        <v>199</v>
      </c>
    </row>
    <row r="38" spans="1:28" x14ac:dyDescent="0.2">
      <c r="A38" s="2"/>
      <c r="B38" s="2"/>
      <c r="C38" s="5"/>
      <c r="D38" s="5"/>
      <c r="E38" s="5"/>
      <c r="F38" s="170"/>
      <c r="G38" s="170"/>
      <c r="H38" s="170"/>
      <c r="I38" s="170"/>
      <c r="J38" s="170"/>
      <c r="K38" s="170"/>
      <c r="L38" s="170"/>
      <c r="M38" s="170"/>
      <c r="N38" s="170"/>
      <c r="O38" s="170"/>
      <c r="P38" s="170"/>
      <c r="Q38" s="11"/>
      <c r="R38" s="11"/>
      <c r="S38" s="11"/>
      <c r="T38" s="11"/>
      <c r="U38" s="2"/>
      <c r="V38" s="4"/>
      <c r="W38" s="4"/>
      <c r="X38" s="3" t="str">
        <f>IF(B38="","",_xludf.XLOOKUP(B38,CODE_MASTER_AS!A:A,CODE_MASTER_AS!E:E,""))</f>
        <v/>
      </c>
      <c r="Y38" s="3" t="str">
        <f>IF(B38="","",_xludf.XLOOKUP(B38,CODE_MASTER_AS!A:A,CODE_MASTER_AS!F:F,""))</f>
        <v/>
      </c>
      <c r="Z38" s="3" t="str">
        <f>IF(B38="","",_xludf.XLOOKUP(B38,CODE_MASTER_AS!A:A,CODE_MASTER_AS!G:G,""))</f>
        <v/>
      </c>
      <c r="AA38" s="3" t="str">
        <f>IF(B38="","",_xludf.XLOOKUP(B38,CODE_MASTER_AS!A:A,CODE_MASTER_AS!H:H,""))</f>
        <v/>
      </c>
      <c r="AB38" s="2"/>
    </row>
    <row r="39" spans="1:28" x14ac:dyDescent="0.2">
      <c r="A39" s="2"/>
      <c r="B39" s="2"/>
      <c r="C39" s="5"/>
      <c r="D39" s="5"/>
      <c r="E39" s="5"/>
      <c r="F39" s="170"/>
      <c r="G39" s="170"/>
      <c r="H39" s="170"/>
      <c r="I39" s="170"/>
      <c r="J39" s="170"/>
      <c r="K39" s="170"/>
      <c r="L39" s="170"/>
      <c r="M39" s="170"/>
      <c r="N39" s="170"/>
      <c r="O39" s="170"/>
      <c r="P39" s="170"/>
      <c r="Q39" s="11"/>
      <c r="R39" s="11"/>
      <c r="S39" s="11"/>
      <c r="T39" s="11"/>
      <c r="U39" s="2"/>
      <c r="V39" s="4"/>
      <c r="W39" s="4"/>
      <c r="X39" s="3" t="str">
        <f>IF(B39="","",_xludf.XLOOKUP(B39,CODE_MASTER_AS!A:A,CODE_MASTER_AS!E:E,""))</f>
        <v/>
      </c>
      <c r="Y39" s="3" t="str">
        <f>IF(B39="","",_xludf.XLOOKUP(B39,CODE_MASTER_AS!A:A,CODE_MASTER_AS!F:F,""))</f>
        <v/>
      </c>
      <c r="Z39" s="3" t="str">
        <f>IF(B39="","",_xludf.XLOOKUP(B39,CODE_MASTER_AS!A:A,CODE_MASTER_AS!G:G,""))</f>
        <v/>
      </c>
      <c r="AA39" s="3" t="str">
        <f>IF(B39="","",_xludf.XLOOKUP(B39,CODE_MASTER_AS!A:A,CODE_MASTER_AS!H:H,""))</f>
        <v/>
      </c>
      <c r="AB39" s="2"/>
    </row>
    <row r="40" spans="1:28" x14ac:dyDescent="0.2">
      <c r="A40" s="2"/>
      <c r="B40" s="2"/>
      <c r="C40" s="5"/>
      <c r="D40" s="5"/>
      <c r="E40" s="5"/>
      <c r="F40" s="170"/>
      <c r="G40" s="170"/>
      <c r="H40" s="170"/>
      <c r="I40" s="170"/>
      <c r="J40" s="170"/>
      <c r="K40" s="170"/>
      <c r="L40" s="170"/>
      <c r="M40" s="170"/>
      <c r="N40" s="170"/>
      <c r="O40" s="170"/>
      <c r="P40" s="170"/>
      <c r="Q40" s="11"/>
      <c r="R40" s="11"/>
      <c r="S40" s="11"/>
      <c r="T40" s="11"/>
      <c r="U40" s="2"/>
      <c r="V40" s="4"/>
      <c r="W40" s="4"/>
      <c r="X40" s="3" t="str">
        <f>IF(B40="","",_xludf.XLOOKUP(B40,CODE_MASTER_AS!A:A,CODE_MASTER_AS!E:E,""))</f>
        <v/>
      </c>
      <c r="Y40" s="3" t="str">
        <f>IF(B40="","",_xludf.XLOOKUP(B40,CODE_MASTER_AS!A:A,CODE_MASTER_AS!F:F,""))</f>
        <v/>
      </c>
      <c r="Z40" s="3" t="str">
        <f>IF(B40="","",_xludf.XLOOKUP(B40,CODE_MASTER_AS!A:A,CODE_MASTER_AS!G:G,""))</f>
        <v/>
      </c>
      <c r="AA40" s="3" t="str">
        <f>IF(B40="","",_xludf.XLOOKUP(B40,CODE_MASTER_AS!A:A,CODE_MASTER_AS!H:H,""))</f>
        <v/>
      </c>
      <c r="AB40" s="2"/>
    </row>
    <row r="41" spans="1:28" x14ac:dyDescent="0.2">
      <c r="A41" s="2"/>
      <c r="B41" s="2"/>
      <c r="C41" s="5"/>
      <c r="D41" s="5"/>
      <c r="E41" s="5"/>
      <c r="F41" s="170"/>
      <c r="G41" s="170"/>
      <c r="H41" s="170"/>
      <c r="I41" s="170"/>
      <c r="J41" s="170"/>
      <c r="K41" s="170"/>
      <c r="L41" s="170"/>
      <c r="M41" s="170"/>
      <c r="N41" s="170"/>
      <c r="O41" s="170"/>
      <c r="P41" s="170"/>
      <c r="Q41" s="11"/>
      <c r="R41" s="11"/>
      <c r="S41" s="11"/>
      <c r="T41" s="11"/>
      <c r="U41" s="2"/>
      <c r="V41" s="4"/>
      <c r="W41" s="4" t="str">
        <f>IF(B41="","",IF(COUNTIF(CODE_MASTER_AS!A:A,B41)&gt;0,"OK","CHECK AS CODE"))</f>
        <v/>
      </c>
      <c r="X41" s="3" t="str">
        <f>IF(B41="","",_xludf.XLOOKUP(B41,CODE_MASTER_AS!A:A,CODE_MASTER_AS!E:E,""))</f>
        <v/>
      </c>
      <c r="Y41" s="3" t="str">
        <f>IF(B41="","",_xludf.XLOOKUP(B41,CODE_MASTER_AS!A:A,CODE_MASTER_AS!F:F,""))</f>
        <v/>
      </c>
      <c r="Z41" s="3" t="str">
        <f>IF(B41="","",_xludf.XLOOKUP(B41,CODE_MASTER_AS!A:A,CODE_MASTER_AS!G:G,""))</f>
        <v/>
      </c>
      <c r="AA41" s="3" t="str">
        <f>IF(B41="","",_xludf.XLOOKUP(B41,CODE_MASTER_AS!A:A,CODE_MASTER_AS!H:H,""))</f>
        <v/>
      </c>
      <c r="AB41" s="2"/>
    </row>
    <row r="42" spans="1:28" x14ac:dyDescent="0.2">
      <c r="A42" s="2"/>
      <c r="B42" s="2"/>
      <c r="C42" s="5"/>
      <c r="D42" s="5"/>
      <c r="E42" s="5"/>
      <c r="F42" s="170"/>
      <c r="G42" s="170"/>
      <c r="H42" s="170"/>
      <c r="I42" s="170"/>
      <c r="J42" s="170"/>
      <c r="K42" s="170"/>
      <c r="L42" s="170"/>
      <c r="M42" s="170"/>
      <c r="N42" s="170"/>
      <c r="O42" s="170"/>
      <c r="P42" s="170"/>
      <c r="Q42" s="11"/>
      <c r="R42" s="11"/>
      <c r="S42" s="11"/>
      <c r="T42" s="11"/>
      <c r="U42" s="2"/>
      <c r="V42" s="4"/>
      <c r="W42" s="4" t="str">
        <f>IF(B42="","",IF(COUNTIF(CODE_MASTER_AS!A:A,B42)&gt;0,"OK","CHECK AS CODE"))</f>
        <v/>
      </c>
      <c r="X42" s="3" t="str">
        <f>IF(B42="","",_xludf.XLOOKUP(B42,CODE_MASTER_AS!A:A,CODE_MASTER_AS!E:E,""))</f>
        <v/>
      </c>
      <c r="Y42" s="3" t="str">
        <f>IF(B42="","",_xludf.XLOOKUP(B42,CODE_MASTER_AS!A:A,CODE_MASTER_AS!F:F,""))</f>
        <v/>
      </c>
      <c r="Z42" s="3" t="str">
        <f>IF(B42="","",_xludf.XLOOKUP(B42,CODE_MASTER_AS!A:A,CODE_MASTER_AS!G:G,""))</f>
        <v/>
      </c>
      <c r="AA42" s="3" t="str">
        <f>IF(B42="","",_xludf.XLOOKUP(B42,CODE_MASTER_AS!A:A,CODE_MASTER_AS!H:H,""))</f>
        <v/>
      </c>
      <c r="AB42" s="2"/>
    </row>
    <row r="43" spans="1:28" x14ac:dyDescent="0.2">
      <c r="A43" s="2"/>
      <c r="B43" s="2"/>
      <c r="C43" s="5"/>
      <c r="D43" s="5"/>
      <c r="E43" s="5"/>
      <c r="F43" s="170"/>
      <c r="G43" s="170"/>
      <c r="H43" s="170"/>
      <c r="I43" s="170"/>
      <c r="J43" s="170"/>
      <c r="K43" s="170"/>
      <c r="L43" s="170"/>
      <c r="M43" s="170"/>
      <c r="N43" s="170"/>
      <c r="O43" s="170"/>
      <c r="P43" s="170"/>
      <c r="Q43" s="11"/>
      <c r="R43" s="11"/>
      <c r="S43" s="11"/>
      <c r="T43" s="11"/>
      <c r="U43" s="2"/>
      <c r="V43" s="4"/>
      <c r="W43" s="4" t="str">
        <f>IF(B43="","",IF(COUNTIF(CODE_MASTER_AS!A:A,B43)&gt;0,"OK","CHECK AS CODE"))</f>
        <v/>
      </c>
      <c r="X43" s="3" t="str">
        <f>IF(B43="","",_xludf.XLOOKUP(B43,CODE_MASTER_AS!A:A,CODE_MASTER_AS!E:E,""))</f>
        <v/>
      </c>
      <c r="Y43" s="3" t="str">
        <f>IF(B43="","",_xludf.XLOOKUP(B43,CODE_MASTER_AS!A:A,CODE_MASTER_AS!F:F,""))</f>
        <v/>
      </c>
      <c r="Z43" s="3" t="str">
        <f>IF(B43="","",_xludf.XLOOKUP(B43,CODE_MASTER_AS!A:A,CODE_MASTER_AS!G:G,""))</f>
        <v/>
      </c>
      <c r="AA43" s="3" t="str">
        <f>IF(B43="","",_xludf.XLOOKUP(B43,CODE_MASTER_AS!A:A,CODE_MASTER_AS!H:H,""))</f>
        <v/>
      </c>
      <c r="AB43" s="2"/>
    </row>
    <row r="44" spans="1:28" x14ac:dyDescent="0.2">
      <c r="A44" s="2"/>
      <c r="B44" s="2"/>
      <c r="C44" s="5"/>
      <c r="D44" s="5"/>
      <c r="E44" s="5"/>
      <c r="F44" s="170"/>
      <c r="G44" s="170"/>
      <c r="H44" s="170"/>
      <c r="I44" s="170"/>
      <c r="J44" s="170"/>
      <c r="K44" s="170"/>
      <c r="L44" s="170"/>
      <c r="M44" s="170"/>
      <c r="N44" s="170"/>
      <c r="O44" s="170"/>
      <c r="P44" s="170"/>
      <c r="Q44" s="11"/>
      <c r="R44" s="11"/>
      <c r="S44" s="11"/>
      <c r="T44" s="11"/>
      <c r="U44" s="2"/>
      <c r="V44" s="4"/>
      <c r="W44" s="4" t="str">
        <f>IF(B44="","",IF(COUNTIF(CODE_MASTER_AS!A:A,B44)&gt;0,"OK","CHECK AS CODE"))</f>
        <v/>
      </c>
      <c r="X44" s="3" t="str">
        <f>IF(B44="","",_xludf.XLOOKUP(B44,CODE_MASTER_AS!A:A,CODE_MASTER_AS!E:E,""))</f>
        <v/>
      </c>
      <c r="Y44" s="3" t="str">
        <f>IF(B44="","",_xludf.XLOOKUP(B44,CODE_MASTER_AS!A:A,CODE_MASTER_AS!F:F,""))</f>
        <v/>
      </c>
      <c r="Z44" s="3" t="str">
        <f>IF(B44="","",_xludf.XLOOKUP(B44,CODE_MASTER_AS!A:A,CODE_MASTER_AS!G:G,""))</f>
        <v/>
      </c>
      <c r="AA44" s="3" t="str">
        <f>IF(B44="","",_xludf.XLOOKUP(B44,CODE_MASTER_AS!A:A,CODE_MASTER_AS!H:H,""))</f>
        <v/>
      </c>
      <c r="AB44" s="2"/>
    </row>
    <row r="45" spans="1:28" x14ac:dyDescent="0.2">
      <c r="A45" s="2"/>
      <c r="B45" s="2"/>
      <c r="C45" s="5"/>
      <c r="D45" s="5"/>
      <c r="E45" s="5"/>
      <c r="F45" s="170"/>
      <c r="G45" s="170"/>
      <c r="H45" s="170"/>
      <c r="I45" s="170"/>
      <c r="J45" s="170"/>
      <c r="K45" s="170"/>
      <c r="L45" s="170"/>
      <c r="M45" s="170"/>
      <c r="N45" s="170"/>
      <c r="O45" s="170"/>
      <c r="P45" s="170"/>
      <c r="Q45" s="11"/>
      <c r="R45" s="11"/>
      <c r="S45" s="11"/>
      <c r="T45" s="11"/>
      <c r="U45" s="2"/>
      <c r="V45" s="4"/>
      <c r="W45" s="4" t="str">
        <f>IF(B45="","",IF(COUNTIF(CODE_MASTER_AS!A:A,B45)&gt;0,"OK","CHECK AS CODE"))</f>
        <v/>
      </c>
      <c r="X45" s="3" t="str">
        <f>IF(B45="","",_xludf.XLOOKUP(B45,CODE_MASTER_AS!A:A,CODE_MASTER_AS!E:E,""))</f>
        <v/>
      </c>
      <c r="Y45" s="3" t="str">
        <f>IF(B45="","",_xludf.XLOOKUP(B45,CODE_MASTER_AS!A:A,CODE_MASTER_AS!F:F,""))</f>
        <v/>
      </c>
      <c r="Z45" s="3" t="str">
        <f>IF(B45="","",_xludf.XLOOKUP(B45,CODE_MASTER_AS!A:A,CODE_MASTER_AS!G:G,""))</f>
        <v/>
      </c>
      <c r="AA45" s="3" t="str">
        <f>IF(B45="","",_xludf.XLOOKUP(B45,CODE_MASTER_AS!A:A,CODE_MASTER_AS!H:H,""))</f>
        <v/>
      </c>
      <c r="AB45" s="2"/>
    </row>
    <row r="46" spans="1:28" x14ac:dyDescent="0.2">
      <c r="A46" s="2"/>
      <c r="B46" s="2"/>
      <c r="C46" s="5"/>
      <c r="D46" s="5"/>
      <c r="E46" s="5"/>
      <c r="F46" s="170"/>
      <c r="G46" s="170"/>
      <c r="H46" s="170"/>
      <c r="I46" s="170"/>
      <c r="J46" s="170"/>
      <c r="K46" s="170"/>
      <c r="L46" s="170"/>
      <c r="M46" s="170"/>
      <c r="N46" s="170"/>
      <c r="O46" s="170"/>
      <c r="P46" s="170"/>
      <c r="Q46" s="11"/>
      <c r="R46" s="11"/>
      <c r="S46" s="11"/>
      <c r="T46" s="11"/>
      <c r="U46" s="2"/>
      <c r="V46" s="4"/>
      <c r="W46" s="4" t="str">
        <f>IF(B46="","",IF(COUNTIF(CODE_MASTER_AS!A:A,B46)&gt;0,"OK","CHECK AS CODE"))</f>
        <v/>
      </c>
      <c r="X46" s="3" t="str">
        <f>IF(B46="","",_xludf.XLOOKUP(B46,CODE_MASTER_AS!A:A,CODE_MASTER_AS!E:E,""))</f>
        <v/>
      </c>
      <c r="Y46" s="3" t="str">
        <f>IF(B46="","",_xludf.XLOOKUP(B46,CODE_MASTER_AS!A:A,CODE_MASTER_AS!F:F,""))</f>
        <v/>
      </c>
      <c r="Z46" s="3" t="str">
        <f>IF(B46="","",_xludf.XLOOKUP(B46,CODE_MASTER_AS!A:A,CODE_MASTER_AS!G:G,""))</f>
        <v/>
      </c>
      <c r="AA46" s="3" t="str">
        <f>IF(B46="","",_xludf.XLOOKUP(B46,CODE_MASTER_AS!A:A,CODE_MASTER_AS!H:H,""))</f>
        <v/>
      </c>
      <c r="AB46" s="2"/>
    </row>
    <row r="47" spans="1:28" x14ac:dyDescent="0.2">
      <c r="A47" s="2"/>
      <c r="B47" s="2"/>
      <c r="C47" s="5"/>
      <c r="D47" s="5"/>
      <c r="E47" s="5"/>
      <c r="F47" s="170"/>
      <c r="G47" s="170"/>
      <c r="H47" s="170"/>
      <c r="I47" s="170"/>
      <c r="J47" s="170"/>
      <c r="K47" s="170"/>
      <c r="L47" s="170"/>
      <c r="M47" s="170"/>
      <c r="N47" s="170"/>
      <c r="O47" s="170"/>
      <c r="P47" s="170"/>
      <c r="Q47" s="11"/>
      <c r="R47" s="11"/>
      <c r="S47" s="11"/>
      <c r="T47" s="11"/>
      <c r="U47" s="2"/>
      <c r="V47" s="4"/>
      <c r="W47" s="4" t="str">
        <f>IF(B47="","",IF(COUNTIF(CODE_MASTER_AS!A:A,B47)&gt;0,"OK","CHECK AS CODE"))</f>
        <v/>
      </c>
      <c r="X47" s="3" t="str">
        <f>IF(B47="","",_xludf.XLOOKUP(B47,CODE_MASTER_AS!A:A,CODE_MASTER_AS!E:E,""))</f>
        <v/>
      </c>
      <c r="Y47" s="3" t="str">
        <f>IF(B47="","",_xludf.XLOOKUP(B47,CODE_MASTER_AS!A:A,CODE_MASTER_AS!F:F,""))</f>
        <v/>
      </c>
      <c r="Z47" s="3" t="str">
        <f>IF(B47="","",_xludf.XLOOKUP(B47,CODE_MASTER_AS!A:A,CODE_MASTER_AS!G:G,""))</f>
        <v/>
      </c>
      <c r="AA47" s="3" t="str">
        <f>IF(B47="","",_xludf.XLOOKUP(B47,CODE_MASTER_AS!A:A,CODE_MASTER_AS!H:H,""))</f>
        <v/>
      </c>
      <c r="AB47" s="2"/>
    </row>
    <row r="48" spans="1:28" x14ac:dyDescent="0.2">
      <c r="A48" s="2"/>
      <c r="B48" s="2"/>
      <c r="C48" s="5"/>
      <c r="D48" s="5"/>
      <c r="E48" s="5"/>
      <c r="F48" s="170"/>
      <c r="G48" s="170"/>
      <c r="H48" s="170"/>
      <c r="I48" s="170"/>
      <c r="J48" s="170"/>
      <c r="K48" s="170"/>
      <c r="L48" s="170"/>
      <c r="M48" s="170"/>
      <c r="N48" s="170"/>
      <c r="O48" s="170"/>
      <c r="P48" s="170"/>
      <c r="Q48" s="11"/>
      <c r="R48" s="11"/>
      <c r="S48" s="11"/>
      <c r="T48" s="11"/>
      <c r="U48" s="2"/>
      <c r="V48" s="4"/>
      <c r="W48" s="4" t="str">
        <f>IF(B48="","",IF(COUNTIF(CODE_MASTER_AS!A:A,B48)&gt;0,"OK","CHECK AS CODE"))</f>
        <v/>
      </c>
      <c r="X48" s="3" t="str">
        <f>IF(B48="","",_xludf.XLOOKUP(B48,CODE_MASTER_AS!A:A,CODE_MASTER_AS!E:E,""))</f>
        <v/>
      </c>
      <c r="Y48" s="3" t="str">
        <f>IF(B48="","",_xludf.XLOOKUP(B48,CODE_MASTER_AS!A:A,CODE_MASTER_AS!F:F,""))</f>
        <v/>
      </c>
      <c r="Z48" s="3" t="str">
        <f>IF(B48="","",_xludf.XLOOKUP(B48,CODE_MASTER_AS!A:A,CODE_MASTER_AS!G:G,""))</f>
        <v/>
      </c>
      <c r="AA48" s="3" t="str">
        <f>IF(B48="","",_xludf.XLOOKUP(B48,CODE_MASTER_AS!A:A,CODE_MASTER_AS!H:H,""))</f>
        <v/>
      </c>
      <c r="AB48" s="2"/>
    </row>
    <row r="49" spans="1:28" x14ac:dyDescent="0.2">
      <c r="A49" s="2"/>
      <c r="B49" s="2"/>
      <c r="C49" s="5"/>
      <c r="D49" s="5"/>
      <c r="E49" s="5"/>
      <c r="F49" s="170"/>
      <c r="G49" s="170"/>
      <c r="H49" s="170"/>
      <c r="I49" s="170"/>
      <c r="J49" s="170"/>
      <c r="K49" s="170"/>
      <c r="L49" s="170"/>
      <c r="M49" s="170"/>
      <c r="N49" s="170"/>
      <c r="O49" s="170"/>
      <c r="P49" s="170"/>
      <c r="Q49" s="11"/>
      <c r="R49" s="11"/>
      <c r="S49" s="11"/>
      <c r="T49" s="11"/>
      <c r="U49" s="2"/>
      <c r="V49" s="4"/>
      <c r="W49" s="4" t="str">
        <f>IF(B49="","",IF(COUNTIF(CODE_MASTER_AS!A:A,B49)&gt;0,"OK","CHECK AS CODE"))</f>
        <v/>
      </c>
      <c r="X49" s="3" t="str">
        <f>IF(B49="","",_xludf.XLOOKUP(B49,CODE_MASTER_AS!A:A,CODE_MASTER_AS!E:E,""))</f>
        <v/>
      </c>
      <c r="Y49" s="3" t="str">
        <f>IF(B49="","",_xludf.XLOOKUP(B49,CODE_MASTER_AS!A:A,CODE_MASTER_AS!F:F,""))</f>
        <v/>
      </c>
      <c r="Z49" s="3" t="str">
        <f>IF(B49="","",_xludf.XLOOKUP(B49,CODE_MASTER_AS!A:A,CODE_MASTER_AS!G:G,""))</f>
        <v/>
      </c>
      <c r="AA49" s="3" t="str">
        <f>IF(B49="","",_xludf.XLOOKUP(B49,CODE_MASTER_AS!A:A,CODE_MASTER_AS!H:H,""))</f>
        <v/>
      </c>
      <c r="AB49" s="2"/>
    </row>
    <row r="50" spans="1:28" x14ac:dyDescent="0.2">
      <c r="A50" s="2"/>
      <c r="B50" s="2"/>
      <c r="C50" s="5"/>
      <c r="D50" s="5"/>
      <c r="E50" s="5"/>
      <c r="F50" s="170"/>
      <c r="G50" s="170"/>
      <c r="H50" s="170"/>
      <c r="I50" s="170"/>
      <c r="J50" s="170"/>
      <c r="K50" s="170"/>
      <c r="L50" s="170"/>
      <c r="M50" s="170"/>
      <c r="N50" s="170"/>
      <c r="O50" s="170"/>
      <c r="P50" s="170"/>
      <c r="Q50" s="11"/>
      <c r="R50" s="11"/>
      <c r="S50" s="11"/>
      <c r="T50" s="11"/>
      <c r="U50" s="2"/>
      <c r="V50" s="4"/>
      <c r="W50" s="4" t="str">
        <f>IF(B50="","",IF(COUNTIF(CODE_MASTER_AS!A:A,B50)&gt;0,"OK","CHECK AS CODE"))</f>
        <v/>
      </c>
      <c r="X50" s="3" t="str">
        <f>IF(B50="","",_xludf.XLOOKUP(B50,CODE_MASTER_AS!A:A,CODE_MASTER_AS!E:E,""))</f>
        <v/>
      </c>
      <c r="Y50" s="3" t="str">
        <f>IF(B50="","",_xludf.XLOOKUP(B50,CODE_MASTER_AS!A:A,CODE_MASTER_AS!F:F,""))</f>
        <v/>
      </c>
      <c r="Z50" s="3" t="str">
        <f>IF(B50="","",_xludf.XLOOKUP(B50,CODE_MASTER_AS!A:A,CODE_MASTER_AS!G:G,""))</f>
        <v/>
      </c>
      <c r="AA50" s="3" t="str">
        <f>IF(B50="","",_xludf.XLOOKUP(B50,CODE_MASTER_AS!A:A,CODE_MASTER_AS!H:H,""))</f>
        <v/>
      </c>
      <c r="AB50" s="2"/>
    </row>
    <row r="51" spans="1:28" x14ac:dyDescent="0.2">
      <c r="A51" s="2"/>
      <c r="B51" s="2"/>
      <c r="C51" s="5"/>
      <c r="D51" s="5"/>
      <c r="E51" s="5"/>
      <c r="F51" s="170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1"/>
      <c r="R51" s="11"/>
      <c r="S51" s="11"/>
      <c r="T51" s="11"/>
      <c r="U51" s="2"/>
      <c r="V51" s="4"/>
      <c r="W51" s="4" t="str">
        <f>IF(B51="","",IF(COUNTIF(CODE_MASTER_AS!A:A,B51)&gt;0,"OK","CHECK AS CODE"))</f>
        <v/>
      </c>
      <c r="X51" s="3" t="str">
        <f>IF(B51="","",_xludf.XLOOKUP(B51,CODE_MASTER_AS!A:A,CODE_MASTER_AS!E:E,""))</f>
        <v/>
      </c>
      <c r="Y51" s="3" t="str">
        <f>IF(B51="","",_xludf.XLOOKUP(B51,CODE_MASTER_AS!A:A,CODE_MASTER_AS!F:F,""))</f>
        <v/>
      </c>
      <c r="Z51" s="3" t="str">
        <f>IF(B51="","",_xludf.XLOOKUP(B51,CODE_MASTER_AS!A:A,CODE_MASTER_AS!G:G,""))</f>
        <v/>
      </c>
      <c r="AA51" s="3" t="str">
        <f>IF(B51="","",_xludf.XLOOKUP(B51,CODE_MASTER_AS!A:A,CODE_MASTER_AS!H:H,""))</f>
        <v/>
      </c>
      <c r="AB51" s="2"/>
    </row>
    <row r="52" spans="1:28" x14ac:dyDescent="0.2">
      <c r="A52" s="2"/>
      <c r="B52" s="2"/>
      <c r="C52" s="5"/>
      <c r="D52" s="5"/>
      <c r="E52" s="5"/>
      <c r="F52" s="170"/>
      <c r="G52" s="170"/>
      <c r="H52" s="170"/>
      <c r="I52" s="170"/>
      <c r="J52" s="170"/>
      <c r="K52" s="170"/>
      <c r="L52" s="170"/>
      <c r="M52" s="170"/>
      <c r="N52" s="170"/>
      <c r="O52" s="170"/>
      <c r="P52" s="170"/>
      <c r="Q52" s="11"/>
      <c r="R52" s="11"/>
      <c r="S52" s="11"/>
      <c r="T52" s="11"/>
      <c r="U52" s="2"/>
      <c r="V52" s="4"/>
      <c r="W52" s="4" t="str">
        <f>IF(B52="","",IF(COUNTIF(CODE_MASTER_AS!A:A,B52)&gt;0,"OK","CHECK AS CODE"))</f>
        <v/>
      </c>
      <c r="X52" s="3" t="str">
        <f>IF(B52="","",_xludf.XLOOKUP(B52,CODE_MASTER_AS!A:A,CODE_MASTER_AS!E:E,""))</f>
        <v/>
      </c>
      <c r="Y52" s="3" t="str">
        <f>IF(B52="","",_xludf.XLOOKUP(B52,CODE_MASTER_AS!A:A,CODE_MASTER_AS!F:F,""))</f>
        <v/>
      </c>
      <c r="Z52" s="3" t="str">
        <f>IF(B52="","",_xludf.XLOOKUP(B52,CODE_MASTER_AS!A:A,CODE_MASTER_AS!G:G,""))</f>
        <v/>
      </c>
      <c r="AA52" s="3" t="str">
        <f>IF(B52="","",_xludf.XLOOKUP(B52,CODE_MASTER_AS!A:A,CODE_MASTER_AS!H:H,""))</f>
        <v/>
      </c>
      <c r="AB52" s="2"/>
    </row>
    <row r="53" spans="1:28" x14ac:dyDescent="0.2">
      <c r="A53" s="2"/>
      <c r="B53" s="2"/>
      <c r="C53" s="5"/>
      <c r="D53" s="5"/>
      <c r="E53" s="5"/>
      <c r="F53" s="170"/>
      <c r="G53" s="170"/>
      <c r="H53" s="170"/>
      <c r="I53" s="170"/>
      <c r="J53" s="170"/>
      <c r="K53" s="170"/>
      <c r="L53" s="170"/>
      <c r="M53" s="170"/>
      <c r="N53" s="170"/>
      <c r="O53" s="170"/>
      <c r="P53" s="170"/>
      <c r="Q53" s="11"/>
      <c r="R53" s="11"/>
      <c r="S53" s="11"/>
      <c r="T53" s="11"/>
      <c r="U53" s="2"/>
      <c r="V53" s="4"/>
      <c r="W53" s="4" t="str">
        <f>IF(B53="","",IF(COUNTIF(CODE_MASTER_AS!A:A,B53)&gt;0,"OK","CHECK AS CODE"))</f>
        <v/>
      </c>
      <c r="X53" s="3" t="str">
        <f>IF(B53="","",_xludf.XLOOKUP(B53,CODE_MASTER_AS!A:A,CODE_MASTER_AS!E:E,""))</f>
        <v/>
      </c>
      <c r="Y53" s="3" t="str">
        <f>IF(B53="","",_xludf.XLOOKUP(B53,CODE_MASTER_AS!A:A,CODE_MASTER_AS!F:F,""))</f>
        <v/>
      </c>
      <c r="Z53" s="3" t="str">
        <f>IF(B53="","",_xludf.XLOOKUP(B53,CODE_MASTER_AS!A:A,CODE_MASTER_AS!G:G,""))</f>
        <v/>
      </c>
      <c r="AA53" s="3" t="str">
        <f>IF(B53="","",_xludf.XLOOKUP(B53,CODE_MASTER_AS!A:A,CODE_MASTER_AS!H:H,""))</f>
        <v/>
      </c>
      <c r="AB53" s="2"/>
    </row>
    <row r="54" spans="1:28" x14ac:dyDescent="0.2">
      <c r="A54" s="2"/>
      <c r="B54" s="2"/>
      <c r="C54" s="5"/>
      <c r="D54" s="5"/>
      <c r="E54" s="5"/>
      <c r="F54" s="170"/>
      <c r="G54" s="170"/>
      <c r="H54" s="170"/>
      <c r="I54" s="170"/>
      <c r="J54" s="170"/>
      <c r="K54" s="170"/>
      <c r="L54" s="170"/>
      <c r="M54" s="170"/>
      <c r="N54" s="170"/>
      <c r="O54" s="170"/>
      <c r="P54" s="170"/>
      <c r="Q54" s="11"/>
      <c r="R54" s="11"/>
      <c r="S54" s="11"/>
      <c r="T54" s="11"/>
      <c r="U54" s="2"/>
      <c r="V54" s="4"/>
      <c r="W54" s="4" t="str">
        <f>IF(B54="","",IF(COUNTIF(CODE_MASTER_AS!A:A,B54)&gt;0,"OK","CHECK AS CODE"))</f>
        <v/>
      </c>
      <c r="X54" s="3" t="str">
        <f>IF(B54="","",_xludf.XLOOKUP(B54,CODE_MASTER_AS!A:A,CODE_MASTER_AS!E:E,""))</f>
        <v/>
      </c>
      <c r="Y54" s="3" t="str">
        <f>IF(B54="","",_xludf.XLOOKUP(B54,CODE_MASTER_AS!A:A,CODE_MASTER_AS!F:F,""))</f>
        <v/>
      </c>
      <c r="Z54" s="3" t="str">
        <f>IF(B54="","",_xludf.XLOOKUP(B54,CODE_MASTER_AS!A:A,CODE_MASTER_AS!G:G,""))</f>
        <v/>
      </c>
      <c r="AA54" s="3" t="str">
        <f>IF(B54="","",_xludf.XLOOKUP(B54,CODE_MASTER_AS!A:A,CODE_MASTER_AS!H:H,""))</f>
        <v/>
      </c>
      <c r="AB54" s="2"/>
    </row>
    <row r="55" spans="1:28" x14ac:dyDescent="0.2">
      <c r="A55" s="2"/>
      <c r="B55" s="2"/>
      <c r="C55" s="5"/>
      <c r="D55" s="5"/>
      <c r="E55" s="5"/>
      <c r="F55" s="170"/>
      <c r="G55" s="170"/>
      <c r="H55" s="170"/>
      <c r="I55" s="170"/>
      <c r="J55" s="170"/>
      <c r="K55" s="170"/>
      <c r="L55" s="170"/>
      <c r="M55" s="170"/>
      <c r="N55" s="170"/>
      <c r="O55" s="170"/>
      <c r="P55" s="170"/>
      <c r="Q55" s="11"/>
      <c r="R55" s="11"/>
      <c r="S55" s="11"/>
      <c r="T55" s="11"/>
      <c r="U55" s="2"/>
      <c r="V55" s="4"/>
      <c r="W55" s="4" t="str">
        <f>IF(B55="","",IF(COUNTIF(CODE_MASTER_AS!A:A,B55)&gt;0,"OK","CHECK AS CODE"))</f>
        <v/>
      </c>
      <c r="X55" s="3" t="str">
        <f>IF(B55="","",_xludf.XLOOKUP(B55,CODE_MASTER_AS!A:A,CODE_MASTER_AS!E:E,""))</f>
        <v/>
      </c>
      <c r="Y55" s="3" t="str">
        <f>IF(B55="","",_xludf.XLOOKUP(B55,CODE_MASTER_AS!A:A,CODE_MASTER_AS!F:F,""))</f>
        <v/>
      </c>
      <c r="Z55" s="3" t="str">
        <f>IF(B55="","",_xludf.XLOOKUP(B55,CODE_MASTER_AS!A:A,CODE_MASTER_AS!G:G,""))</f>
        <v/>
      </c>
      <c r="AA55" s="3" t="str">
        <f>IF(B55="","",_xludf.XLOOKUP(B55,CODE_MASTER_AS!A:A,CODE_MASTER_AS!H:H,""))</f>
        <v/>
      </c>
      <c r="AB55" s="2"/>
    </row>
    <row r="56" spans="1:28" x14ac:dyDescent="0.2">
      <c r="A56" s="2"/>
      <c r="B56" s="2"/>
      <c r="C56" s="5"/>
      <c r="D56" s="5"/>
      <c r="E56" s="5"/>
      <c r="F56" s="170"/>
      <c r="G56" s="170"/>
      <c r="H56" s="170"/>
      <c r="I56" s="170"/>
      <c r="J56" s="170"/>
      <c r="K56" s="170"/>
      <c r="L56" s="170"/>
      <c r="M56" s="170"/>
      <c r="N56" s="170"/>
      <c r="O56" s="170"/>
      <c r="P56" s="170"/>
      <c r="Q56" s="11"/>
      <c r="R56" s="11"/>
      <c r="S56" s="11"/>
      <c r="T56" s="11"/>
      <c r="U56" s="2"/>
      <c r="V56" s="4"/>
      <c r="W56" s="4" t="str">
        <f>IF(B56="","",IF(COUNTIF(CODE_MASTER_AS!A:A,B56)&gt;0,"OK","CHECK AS CODE"))</f>
        <v/>
      </c>
      <c r="X56" s="3" t="str">
        <f>IF(B56="","",_xludf.XLOOKUP(B56,CODE_MASTER_AS!A:A,CODE_MASTER_AS!E:E,""))</f>
        <v/>
      </c>
      <c r="Y56" s="3" t="str">
        <f>IF(B56="","",_xludf.XLOOKUP(B56,CODE_MASTER_AS!A:A,CODE_MASTER_AS!F:F,""))</f>
        <v/>
      </c>
      <c r="Z56" s="3" t="str">
        <f>IF(B56="","",_xludf.XLOOKUP(B56,CODE_MASTER_AS!A:A,CODE_MASTER_AS!G:G,""))</f>
        <v/>
      </c>
      <c r="AA56" s="3" t="str">
        <f>IF(B56="","",_xludf.XLOOKUP(B56,CODE_MASTER_AS!A:A,CODE_MASTER_AS!H:H,""))</f>
        <v/>
      </c>
      <c r="AB56" s="2"/>
    </row>
    <row r="57" spans="1:28" x14ac:dyDescent="0.2">
      <c r="A57" s="2"/>
      <c r="B57" s="2"/>
      <c r="C57" s="5"/>
      <c r="D57" s="5"/>
      <c r="E57" s="5"/>
      <c r="F57" s="170"/>
      <c r="G57" s="170"/>
      <c r="H57" s="170"/>
      <c r="I57" s="170"/>
      <c r="J57" s="170"/>
      <c r="K57" s="170"/>
      <c r="L57" s="170"/>
      <c r="M57" s="170"/>
      <c r="N57" s="170"/>
      <c r="O57" s="170"/>
      <c r="P57" s="170"/>
      <c r="Q57" s="11"/>
      <c r="R57" s="11"/>
      <c r="S57" s="11"/>
      <c r="T57" s="11"/>
      <c r="U57" s="2"/>
      <c r="V57" s="4"/>
      <c r="W57" s="4" t="str">
        <f>IF(B57="","",IF(COUNTIF(CODE_MASTER_AS!A:A,B57)&gt;0,"OK","CHECK AS CODE"))</f>
        <v/>
      </c>
      <c r="X57" s="3" t="str">
        <f>IF(B57="","",_xludf.XLOOKUP(B57,CODE_MASTER_AS!A:A,CODE_MASTER_AS!E:E,""))</f>
        <v/>
      </c>
      <c r="Y57" s="3" t="str">
        <f>IF(B57="","",_xludf.XLOOKUP(B57,CODE_MASTER_AS!A:A,CODE_MASTER_AS!F:F,""))</f>
        <v/>
      </c>
      <c r="Z57" s="3" t="str">
        <f>IF(B57="","",_xludf.XLOOKUP(B57,CODE_MASTER_AS!A:A,CODE_MASTER_AS!G:G,""))</f>
        <v/>
      </c>
      <c r="AA57" s="3" t="str">
        <f>IF(B57="","",_xludf.XLOOKUP(B57,CODE_MASTER_AS!A:A,CODE_MASTER_AS!H:H,""))</f>
        <v/>
      </c>
      <c r="AB57" s="2"/>
    </row>
    <row r="58" spans="1:28" x14ac:dyDescent="0.2">
      <c r="A58" s="2"/>
      <c r="B58" s="2"/>
      <c r="C58" s="5"/>
      <c r="D58" s="5"/>
      <c r="E58" s="5"/>
      <c r="F58" s="170"/>
      <c r="G58" s="170"/>
      <c r="H58" s="170"/>
      <c r="I58" s="170"/>
      <c r="J58" s="170"/>
      <c r="K58" s="170"/>
      <c r="L58" s="170"/>
      <c r="M58" s="170"/>
      <c r="N58" s="170"/>
      <c r="O58" s="170"/>
      <c r="P58" s="170"/>
      <c r="Q58" s="11"/>
      <c r="R58" s="11"/>
      <c r="S58" s="11"/>
      <c r="T58" s="11"/>
      <c r="U58" s="2"/>
      <c r="V58" s="4"/>
      <c r="W58" s="4" t="str">
        <f>IF(B58="","",IF(COUNTIF(CODE_MASTER_AS!A:A,B58)&gt;0,"OK","CHECK AS CODE"))</f>
        <v/>
      </c>
      <c r="X58" s="3" t="str">
        <f>IF(B58="","",_xludf.XLOOKUP(B58,CODE_MASTER_AS!A:A,CODE_MASTER_AS!E:E,""))</f>
        <v/>
      </c>
      <c r="Y58" s="3" t="str">
        <f>IF(B58="","",_xludf.XLOOKUP(B58,CODE_MASTER_AS!A:A,CODE_MASTER_AS!F:F,""))</f>
        <v/>
      </c>
      <c r="Z58" s="3" t="str">
        <f>IF(B58="","",_xludf.XLOOKUP(B58,CODE_MASTER_AS!A:A,CODE_MASTER_AS!G:G,""))</f>
        <v/>
      </c>
      <c r="AA58" s="3" t="str">
        <f>IF(B58="","",_xludf.XLOOKUP(B58,CODE_MASTER_AS!A:A,CODE_MASTER_AS!H:H,""))</f>
        <v/>
      </c>
      <c r="AB58" s="2"/>
    </row>
    <row r="59" spans="1:28" x14ac:dyDescent="0.2">
      <c r="A59" s="2"/>
      <c r="B59" s="2"/>
      <c r="C59" s="5"/>
      <c r="D59" s="5"/>
      <c r="E59" s="5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1"/>
      <c r="R59" s="11"/>
      <c r="S59" s="11"/>
      <c r="T59" s="11"/>
      <c r="U59" s="2"/>
      <c r="V59" s="4"/>
      <c r="W59" s="4" t="str">
        <f>IF(B59="","",IF(COUNTIF(CODE_MASTER_AS!A:A,B59)&gt;0,"OK","CHECK AS CODE"))</f>
        <v/>
      </c>
      <c r="X59" s="3" t="str">
        <f>IF(B59="","",_xludf.XLOOKUP(B59,CODE_MASTER_AS!A:A,CODE_MASTER_AS!E:E,""))</f>
        <v/>
      </c>
      <c r="Y59" s="3" t="str">
        <f>IF(B59="","",_xludf.XLOOKUP(B59,CODE_MASTER_AS!A:A,CODE_MASTER_AS!F:F,""))</f>
        <v/>
      </c>
      <c r="Z59" s="3" t="str">
        <f>IF(B59="","",_xludf.XLOOKUP(B59,CODE_MASTER_AS!A:A,CODE_MASTER_AS!G:G,""))</f>
        <v/>
      </c>
      <c r="AA59" s="3" t="str">
        <f>IF(B59="","",_xludf.XLOOKUP(B59,CODE_MASTER_AS!A:A,CODE_MASTER_AS!H:H,""))</f>
        <v/>
      </c>
      <c r="AB59" s="2"/>
    </row>
    <row r="60" spans="1:28" x14ac:dyDescent="0.2">
      <c r="A60" s="2"/>
      <c r="B60" s="2"/>
      <c r="C60" s="5"/>
      <c r="D60" s="5"/>
      <c r="E60" s="5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1"/>
      <c r="R60" s="11"/>
      <c r="S60" s="11"/>
      <c r="T60" s="11"/>
      <c r="U60" s="2"/>
      <c r="V60" s="4"/>
      <c r="W60" s="4" t="str">
        <f>IF(B60="","",IF(COUNTIF(CODE_MASTER_AS!A:A,B60)&gt;0,"OK","CHECK AS CODE"))</f>
        <v/>
      </c>
      <c r="X60" s="3" t="str">
        <f>IF(B60="","",_xludf.XLOOKUP(B60,CODE_MASTER_AS!A:A,CODE_MASTER_AS!E:E,""))</f>
        <v/>
      </c>
      <c r="Y60" s="3" t="str">
        <f>IF(B60="","",_xludf.XLOOKUP(B60,CODE_MASTER_AS!A:A,CODE_MASTER_AS!F:F,""))</f>
        <v/>
      </c>
      <c r="Z60" s="3" t="str">
        <f>IF(B60="","",_xludf.XLOOKUP(B60,CODE_MASTER_AS!A:A,CODE_MASTER_AS!G:G,""))</f>
        <v/>
      </c>
      <c r="AA60" s="3" t="str">
        <f>IF(B60="","",_xludf.XLOOKUP(B60,CODE_MASTER_AS!A:A,CODE_MASTER_AS!H:H,""))</f>
        <v/>
      </c>
      <c r="AB60" s="2"/>
    </row>
    <row r="61" spans="1:28" x14ac:dyDescent="0.2">
      <c r="A61" s="2"/>
      <c r="B61" s="2"/>
      <c r="C61" s="5"/>
      <c r="D61" s="5"/>
      <c r="E61" s="5"/>
      <c r="F61" s="170"/>
      <c r="G61" s="170"/>
      <c r="H61" s="170"/>
      <c r="I61" s="170"/>
      <c r="J61" s="170"/>
      <c r="K61" s="170"/>
      <c r="L61" s="170"/>
      <c r="M61" s="170"/>
      <c r="N61" s="170"/>
      <c r="O61" s="170"/>
      <c r="P61" s="170"/>
      <c r="Q61" s="11"/>
      <c r="R61" s="11"/>
      <c r="S61" s="11"/>
      <c r="T61" s="11"/>
      <c r="U61" s="2"/>
      <c r="V61" s="4"/>
      <c r="W61" s="4" t="str">
        <f>IF(B61="","",IF(COUNTIF(CODE_MASTER_AS!A:A,B61)&gt;0,"OK","CHECK AS CODE"))</f>
        <v/>
      </c>
      <c r="X61" s="3" t="str">
        <f>IF(B61="","",_xludf.XLOOKUP(B61,CODE_MASTER_AS!A:A,CODE_MASTER_AS!E:E,""))</f>
        <v/>
      </c>
      <c r="Y61" s="3" t="str">
        <f>IF(B61="","",_xludf.XLOOKUP(B61,CODE_MASTER_AS!A:A,CODE_MASTER_AS!F:F,""))</f>
        <v/>
      </c>
      <c r="Z61" s="3" t="str">
        <f>IF(B61="","",_xludf.XLOOKUP(B61,CODE_MASTER_AS!A:A,CODE_MASTER_AS!G:G,""))</f>
        <v/>
      </c>
      <c r="AA61" s="3" t="str">
        <f>IF(B61="","",_xludf.XLOOKUP(B61,CODE_MASTER_AS!A:A,CODE_MASTER_AS!H:H,""))</f>
        <v/>
      </c>
      <c r="AB61" s="2"/>
    </row>
    <row r="62" spans="1:28" x14ac:dyDescent="0.2">
      <c r="A62" s="2"/>
      <c r="B62" s="2"/>
      <c r="C62" s="5"/>
      <c r="D62" s="5"/>
      <c r="E62" s="5"/>
      <c r="F62" s="170"/>
      <c r="G62" s="170"/>
      <c r="H62" s="170"/>
      <c r="I62" s="170"/>
      <c r="J62" s="170"/>
      <c r="K62" s="170"/>
      <c r="L62" s="170"/>
      <c r="M62" s="170"/>
      <c r="N62" s="170"/>
      <c r="O62" s="170"/>
      <c r="P62" s="170"/>
      <c r="Q62" s="11"/>
      <c r="R62" s="11"/>
      <c r="S62" s="11"/>
      <c r="T62" s="11"/>
      <c r="U62" s="2"/>
      <c r="V62" s="4"/>
      <c r="W62" s="4" t="str">
        <f>IF(B62="","",IF(COUNTIF(CODE_MASTER_AS!A:A,B62)&gt;0,"OK","CHECK AS CODE"))</f>
        <v/>
      </c>
      <c r="X62" s="3" t="str">
        <f>IF(B62="","",_xludf.XLOOKUP(B62,CODE_MASTER_AS!A:A,CODE_MASTER_AS!E:E,""))</f>
        <v/>
      </c>
      <c r="Y62" s="3" t="str">
        <f>IF(B62="","",_xludf.XLOOKUP(B62,CODE_MASTER_AS!A:A,CODE_MASTER_AS!F:F,""))</f>
        <v/>
      </c>
      <c r="Z62" s="3" t="str">
        <f>IF(B62="","",_xludf.XLOOKUP(B62,CODE_MASTER_AS!A:A,CODE_MASTER_AS!G:G,""))</f>
        <v/>
      </c>
      <c r="AA62" s="3" t="str">
        <f>IF(B62="","",_xludf.XLOOKUP(B62,CODE_MASTER_AS!A:A,CODE_MASTER_AS!H:H,""))</f>
        <v/>
      </c>
      <c r="AB62" s="2"/>
    </row>
    <row r="63" spans="1:28" x14ac:dyDescent="0.2">
      <c r="A63" s="2"/>
      <c r="B63" s="2"/>
      <c r="C63" s="5"/>
      <c r="D63" s="5"/>
      <c r="E63" s="5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1"/>
      <c r="R63" s="11"/>
      <c r="S63" s="11"/>
      <c r="T63" s="11"/>
      <c r="U63" s="2"/>
      <c r="V63" s="4"/>
      <c r="W63" s="4" t="str">
        <f>IF(B63="","",IF(COUNTIF(CODE_MASTER_AS!A:A,B63)&gt;0,"OK","CHECK AS CODE"))</f>
        <v/>
      </c>
      <c r="X63" s="3" t="str">
        <f>IF(B63="","",_xludf.XLOOKUP(B63,CODE_MASTER_AS!A:A,CODE_MASTER_AS!E:E,""))</f>
        <v/>
      </c>
      <c r="Y63" s="3" t="str">
        <f>IF(B63="","",_xludf.XLOOKUP(B63,CODE_MASTER_AS!A:A,CODE_MASTER_AS!F:F,""))</f>
        <v/>
      </c>
      <c r="Z63" s="3" t="str">
        <f>IF(B63="","",_xludf.XLOOKUP(B63,CODE_MASTER_AS!A:A,CODE_MASTER_AS!G:G,""))</f>
        <v/>
      </c>
      <c r="AA63" s="3" t="str">
        <f>IF(B63="","",_xludf.XLOOKUP(B63,CODE_MASTER_AS!A:A,CODE_MASTER_AS!H:H,""))</f>
        <v/>
      </c>
      <c r="AB63" s="2"/>
    </row>
    <row r="64" spans="1:28" x14ac:dyDescent="0.2">
      <c r="A64" s="2"/>
      <c r="B64" s="2"/>
      <c r="C64" s="5"/>
      <c r="D64" s="5"/>
      <c r="E64" s="5"/>
      <c r="F64" s="170"/>
      <c r="G64" s="170"/>
      <c r="H64" s="170"/>
      <c r="I64" s="170"/>
      <c r="J64" s="170"/>
      <c r="K64" s="170"/>
      <c r="L64" s="170"/>
      <c r="M64" s="170"/>
      <c r="N64" s="170"/>
      <c r="O64" s="170"/>
      <c r="P64" s="170"/>
      <c r="Q64" s="11"/>
      <c r="R64" s="11"/>
      <c r="S64" s="11"/>
      <c r="T64" s="11"/>
      <c r="U64" s="2"/>
      <c r="V64" s="4"/>
      <c r="W64" s="4" t="str">
        <f>IF(B64="","",IF(COUNTIF(CODE_MASTER_AS!A:A,B64)&gt;0,"OK","CHECK AS CODE"))</f>
        <v/>
      </c>
      <c r="X64" s="3" t="str">
        <f>IF(B64="","",_xludf.XLOOKUP(B64,CODE_MASTER_AS!A:A,CODE_MASTER_AS!E:E,""))</f>
        <v/>
      </c>
      <c r="Y64" s="3" t="str">
        <f>IF(B64="","",_xludf.XLOOKUP(B64,CODE_MASTER_AS!A:A,CODE_MASTER_AS!F:F,""))</f>
        <v/>
      </c>
      <c r="Z64" s="3" t="str">
        <f>IF(B64="","",_xludf.XLOOKUP(B64,CODE_MASTER_AS!A:A,CODE_MASTER_AS!G:G,""))</f>
        <v/>
      </c>
      <c r="AA64" s="3" t="str">
        <f>IF(B64="","",_xludf.XLOOKUP(B64,CODE_MASTER_AS!A:A,CODE_MASTER_AS!H:H,""))</f>
        <v/>
      </c>
      <c r="AB64" s="2"/>
    </row>
    <row r="65" spans="1:28" x14ac:dyDescent="0.2">
      <c r="A65" s="2"/>
      <c r="B65" s="2"/>
      <c r="C65" s="5"/>
      <c r="D65" s="5"/>
      <c r="E65" s="5"/>
      <c r="F65" s="170"/>
      <c r="G65" s="170"/>
      <c r="H65" s="170"/>
      <c r="I65" s="170"/>
      <c r="J65" s="170"/>
      <c r="K65" s="170"/>
      <c r="L65" s="170"/>
      <c r="M65" s="170"/>
      <c r="N65" s="170"/>
      <c r="O65" s="170"/>
      <c r="P65" s="170"/>
      <c r="Q65" s="11"/>
      <c r="R65" s="11"/>
      <c r="S65" s="11"/>
      <c r="T65" s="11"/>
      <c r="U65" s="2"/>
      <c r="V65" s="4"/>
      <c r="W65" s="4" t="str">
        <f>IF(B65="","",IF(COUNTIF(CODE_MASTER_AS!A:A,B65)&gt;0,"OK","CHECK AS CODE"))</f>
        <v/>
      </c>
      <c r="X65" s="3" t="str">
        <f>IF(B65="","",_xludf.XLOOKUP(B65,CODE_MASTER_AS!A:A,CODE_MASTER_AS!E:E,""))</f>
        <v/>
      </c>
      <c r="Y65" s="3" t="str">
        <f>IF(B65="","",_xludf.XLOOKUP(B65,CODE_MASTER_AS!A:A,CODE_MASTER_AS!F:F,""))</f>
        <v/>
      </c>
      <c r="Z65" s="3" t="str">
        <f>IF(B65="","",_xludf.XLOOKUP(B65,CODE_MASTER_AS!A:A,CODE_MASTER_AS!G:G,""))</f>
        <v/>
      </c>
      <c r="AA65" s="3" t="str">
        <f>IF(B65="","",_xludf.XLOOKUP(B65,CODE_MASTER_AS!A:A,CODE_MASTER_AS!H:H,""))</f>
        <v/>
      </c>
      <c r="AB65" s="2"/>
    </row>
    <row r="66" spans="1:28" x14ac:dyDescent="0.2">
      <c r="A66" s="2"/>
      <c r="B66" s="2"/>
      <c r="C66" s="5"/>
      <c r="D66" s="5"/>
      <c r="E66" s="5"/>
      <c r="F66" s="170"/>
      <c r="G66" s="170"/>
      <c r="H66" s="170"/>
      <c r="I66" s="170"/>
      <c r="J66" s="170"/>
      <c r="K66" s="170"/>
      <c r="L66" s="170"/>
      <c r="M66" s="170"/>
      <c r="N66" s="170"/>
      <c r="O66" s="170"/>
      <c r="P66" s="170"/>
      <c r="Q66" s="11"/>
      <c r="R66" s="11"/>
      <c r="S66" s="11"/>
      <c r="T66" s="11"/>
      <c r="U66" s="2"/>
      <c r="V66" s="4"/>
      <c r="W66" s="4" t="str">
        <f>IF(B66="","",IF(COUNTIF(CODE_MASTER_AS!A:A,B66)&gt;0,"OK","CHECK AS CODE"))</f>
        <v/>
      </c>
      <c r="X66" s="3" t="str">
        <f>IF(B66="","",_xludf.XLOOKUP(B66,CODE_MASTER_AS!A:A,CODE_MASTER_AS!E:E,""))</f>
        <v/>
      </c>
      <c r="Y66" s="3" t="str">
        <f>IF(B66="","",_xludf.XLOOKUP(B66,CODE_MASTER_AS!A:A,CODE_MASTER_AS!F:F,""))</f>
        <v/>
      </c>
      <c r="Z66" s="3" t="str">
        <f>IF(B66="","",_xludf.XLOOKUP(B66,CODE_MASTER_AS!A:A,CODE_MASTER_AS!G:G,""))</f>
        <v/>
      </c>
      <c r="AA66" s="3" t="str">
        <f>IF(B66="","",_xludf.XLOOKUP(B66,CODE_MASTER_AS!A:A,CODE_MASTER_AS!H:H,""))</f>
        <v/>
      </c>
      <c r="AB66" s="2"/>
    </row>
    <row r="67" spans="1:28" x14ac:dyDescent="0.2">
      <c r="A67" s="2"/>
      <c r="B67" s="2"/>
      <c r="C67" s="5"/>
      <c r="D67" s="5"/>
      <c r="E67" s="5"/>
      <c r="F67" s="170"/>
      <c r="G67" s="170"/>
      <c r="H67" s="170"/>
      <c r="I67" s="170"/>
      <c r="J67" s="170"/>
      <c r="K67" s="170"/>
      <c r="L67" s="170"/>
      <c r="M67" s="170"/>
      <c r="N67" s="170"/>
      <c r="O67" s="170"/>
      <c r="P67" s="170"/>
      <c r="Q67" s="11"/>
      <c r="R67" s="11"/>
      <c r="S67" s="11"/>
      <c r="T67" s="11"/>
      <c r="U67" s="2"/>
      <c r="V67" s="4"/>
      <c r="W67" s="4" t="str">
        <f>IF(B67="","",IF(COUNTIF(CODE_MASTER_AS!A:A,B67)&gt;0,"OK","CHECK AS CODE"))</f>
        <v/>
      </c>
      <c r="X67" s="3" t="str">
        <f>IF(B67="","",_xludf.XLOOKUP(B67,CODE_MASTER_AS!A:A,CODE_MASTER_AS!E:E,""))</f>
        <v/>
      </c>
      <c r="Y67" s="3" t="str">
        <f>IF(B67="","",_xludf.XLOOKUP(B67,CODE_MASTER_AS!A:A,CODE_MASTER_AS!F:F,""))</f>
        <v/>
      </c>
      <c r="Z67" s="3" t="str">
        <f>IF(B67="","",_xludf.XLOOKUP(B67,CODE_MASTER_AS!A:A,CODE_MASTER_AS!G:G,""))</f>
        <v/>
      </c>
      <c r="AA67" s="3" t="str">
        <f>IF(B67="","",_xludf.XLOOKUP(B67,CODE_MASTER_AS!A:A,CODE_MASTER_AS!H:H,""))</f>
        <v/>
      </c>
      <c r="AB67" s="2"/>
    </row>
    <row r="68" spans="1:28" x14ac:dyDescent="0.2">
      <c r="A68" s="2"/>
      <c r="B68" s="2"/>
      <c r="C68" s="5"/>
      <c r="D68" s="5"/>
      <c r="E68" s="5"/>
      <c r="F68" s="170"/>
      <c r="G68" s="170"/>
      <c r="H68" s="170"/>
      <c r="I68" s="170"/>
      <c r="J68" s="170"/>
      <c r="K68" s="170"/>
      <c r="L68" s="170"/>
      <c r="M68" s="170"/>
      <c r="N68" s="170"/>
      <c r="O68" s="170"/>
      <c r="P68" s="170"/>
      <c r="Q68" s="11"/>
      <c r="R68" s="11"/>
      <c r="S68" s="11"/>
      <c r="T68" s="11"/>
      <c r="U68" s="2"/>
      <c r="V68" s="4"/>
      <c r="W68" s="4" t="str">
        <f>IF(B68="","",IF(COUNTIF(CODE_MASTER_AS!A:A,B68)&gt;0,"OK","CHECK AS CODE"))</f>
        <v/>
      </c>
      <c r="X68" s="3" t="str">
        <f>IF(B68="","",_xludf.XLOOKUP(B68,CODE_MASTER_AS!A:A,CODE_MASTER_AS!E:E,""))</f>
        <v/>
      </c>
      <c r="Y68" s="3" t="str">
        <f>IF(B68="","",_xludf.XLOOKUP(B68,CODE_MASTER_AS!A:A,CODE_MASTER_AS!F:F,""))</f>
        <v/>
      </c>
      <c r="Z68" s="3" t="str">
        <f>IF(B68="","",_xludf.XLOOKUP(B68,CODE_MASTER_AS!A:A,CODE_MASTER_AS!G:G,""))</f>
        <v/>
      </c>
      <c r="AA68" s="3" t="str">
        <f>IF(B68="","",_xludf.XLOOKUP(B68,CODE_MASTER_AS!A:A,CODE_MASTER_AS!H:H,""))</f>
        <v/>
      </c>
      <c r="AB68" s="2"/>
    </row>
    <row r="69" spans="1:28" x14ac:dyDescent="0.2">
      <c r="A69" s="2"/>
      <c r="B69" s="2"/>
      <c r="C69" s="5"/>
      <c r="D69" s="5"/>
      <c r="E69" s="5"/>
      <c r="F69" s="170"/>
      <c r="G69" s="170"/>
      <c r="H69" s="170"/>
      <c r="I69" s="170"/>
      <c r="J69" s="170"/>
      <c r="K69" s="170"/>
      <c r="L69" s="170"/>
      <c r="M69" s="170"/>
      <c r="N69" s="170"/>
      <c r="O69" s="170"/>
      <c r="P69" s="170"/>
      <c r="Q69" s="11"/>
      <c r="R69" s="11"/>
      <c r="S69" s="11"/>
      <c r="T69" s="11"/>
      <c r="U69" s="2"/>
      <c r="V69" s="4"/>
      <c r="W69" s="4" t="str">
        <f>IF(B69="","",IF(COUNTIF(CODE_MASTER_AS!A:A,B69)&gt;0,"OK","CHECK AS CODE"))</f>
        <v/>
      </c>
      <c r="X69" s="3" t="str">
        <f>IF(B69="","",_xludf.XLOOKUP(B69,CODE_MASTER_AS!A:A,CODE_MASTER_AS!E:E,""))</f>
        <v/>
      </c>
      <c r="Y69" s="3" t="str">
        <f>IF(B69="","",_xludf.XLOOKUP(B69,CODE_MASTER_AS!A:A,CODE_MASTER_AS!F:F,""))</f>
        <v/>
      </c>
      <c r="Z69" s="3" t="str">
        <f>IF(B69="","",_xludf.XLOOKUP(B69,CODE_MASTER_AS!A:A,CODE_MASTER_AS!G:G,""))</f>
        <v/>
      </c>
      <c r="AA69" s="3" t="str">
        <f>IF(B69="","",_xludf.XLOOKUP(B69,CODE_MASTER_AS!A:A,CODE_MASTER_AS!H:H,""))</f>
        <v/>
      </c>
      <c r="AB69" s="2"/>
    </row>
    <row r="70" spans="1:28" x14ac:dyDescent="0.2">
      <c r="A70" s="2"/>
      <c r="B70" s="2"/>
      <c r="C70" s="5"/>
      <c r="D70" s="5"/>
      <c r="E70" s="5"/>
      <c r="F70" s="170"/>
      <c r="G70" s="170"/>
      <c r="H70" s="170"/>
      <c r="I70" s="170"/>
      <c r="J70" s="170"/>
      <c r="K70" s="170"/>
      <c r="L70" s="170"/>
      <c r="M70" s="170"/>
      <c r="N70" s="170"/>
      <c r="O70" s="170"/>
      <c r="P70" s="170"/>
      <c r="Q70" s="11"/>
      <c r="R70" s="11"/>
      <c r="S70" s="11"/>
      <c r="T70" s="11"/>
      <c r="U70" s="2"/>
      <c r="V70" s="4"/>
      <c r="W70" s="4" t="str">
        <f>IF(B70="","",IF(COUNTIF(CODE_MASTER_AS!A:A,B70)&gt;0,"OK","CHECK AS CODE"))</f>
        <v/>
      </c>
      <c r="X70" s="3" t="str">
        <f>IF(B70="","",_xludf.XLOOKUP(B70,CODE_MASTER_AS!A:A,CODE_MASTER_AS!E:E,""))</f>
        <v/>
      </c>
      <c r="Y70" s="3" t="str">
        <f>IF(B70="","",_xludf.XLOOKUP(B70,CODE_MASTER_AS!A:A,CODE_MASTER_AS!F:F,""))</f>
        <v/>
      </c>
      <c r="Z70" s="3" t="str">
        <f>IF(B70="","",_xludf.XLOOKUP(B70,CODE_MASTER_AS!A:A,CODE_MASTER_AS!G:G,""))</f>
        <v/>
      </c>
      <c r="AA70" s="3" t="str">
        <f>IF(B70="","",_xludf.XLOOKUP(B70,CODE_MASTER_AS!A:A,CODE_MASTER_AS!H:H,""))</f>
        <v/>
      </c>
      <c r="AB70" s="2"/>
    </row>
    <row r="71" spans="1:28" x14ac:dyDescent="0.2">
      <c r="A71" s="2"/>
      <c r="B71" s="2"/>
      <c r="C71" s="5"/>
      <c r="D71" s="5"/>
      <c r="E71" s="5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1"/>
      <c r="R71" s="11"/>
      <c r="S71" s="11"/>
      <c r="T71" s="11"/>
      <c r="U71" s="2"/>
      <c r="V71" s="4"/>
      <c r="W71" s="4" t="str">
        <f>IF(B71="","",IF(COUNTIF(CODE_MASTER_AS!A:A,B71)&gt;0,"OK","CHECK AS CODE"))</f>
        <v/>
      </c>
      <c r="X71" s="3" t="str">
        <f>IF(B71="","",_xludf.XLOOKUP(B71,CODE_MASTER_AS!A:A,CODE_MASTER_AS!E:E,""))</f>
        <v/>
      </c>
      <c r="Y71" s="3" t="str">
        <f>IF(B71="","",_xludf.XLOOKUP(B71,CODE_MASTER_AS!A:A,CODE_MASTER_AS!F:F,""))</f>
        <v/>
      </c>
      <c r="Z71" s="3" t="str">
        <f>IF(B71="","",_xludf.XLOOKUP(B71,CODE_MASTER_AS!A:A,CODE_MASTER_AS!G:G,""))</f>
        <v/>
      </c>
      <c r="AA71" s="3" t="str">
        <f>IF(B71="","",_xludf.XLOOKUP(B71,CODE_MASTER_AS!A:A,CODE_MASTER_AS!H:H,""))</f>
        <v/>
      </c>
      <c r="AB71" s="2"/>
    </row>
    <row r="72" spans="1:28" x14ac:dyDescent="0.2">
      <c r="A72" s="2"/>
      <c r="B72" s="2"/>
      <c r="C72" s="5"/>
      <c r="D72" s="5"/>
      <c r="E72" s="5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1"/>
      <c r="R72" s="11"/>
      <c r="S72" s="11"/>
      <c r="T72" s="11"/>
      <c r="U72" s="2"/>
      <c r="V72" s="4"/>
      <c r="W72" s="4" t="str">
        <f>IF(B72="","",IF(COUNTIF(CODE_MASTER_AS!A:A,B72)&gt;0,"OK","CHECK AS CODE"))</f>
        <v/>
      </c>
      <c r="X72" s="3" t="str">
        <f>IF(B72="","",_xludf.XLOOKUP(B72,CODE_MASTER_AS!A:A,CODE_MASTER_AS!E:E,""))</f>
        <v/>
      </c>
      <c r="Y72" s="3" t="str">
        <f>IF(B72="","",_xludf.XLOOKUP(B72,CODE_MASTER_AS!A:A,CODE_MASTER_AS!F:F,""))</f>
        <v/>
      </c>
      <c r="Z72" s="3" t="str">
        <f>IF(B72="","",_xludf.XLOOKUP(B72,CODE_MASTER_AS!A:A,CODE_MASTER_AS!G:G,""))</f>
        <v/>
      </c>
      <c r="AA72" s="3" t="str">
        <f>IF(B72="","",_xludf.XLOOKUP(B72,CODE_MASTER_AS!A:A,CODE_MASTER_AS!H:H,""))</f>
        <v/>
      </c>
      <c r="AB72" s="2"/>
    </row>
    <row r="73" spans="1:28" x14ac:dyDescent="0.2">
      <c r="A73" s="2"/>
      <c r="B73" s="2"/>
      <c r="C73" s="5"/>
      <c r="D73" s="5"/>
      <c r="E73" s="5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1"/>
      <c r="R73" s="11"/>
      <c r="S73" s="11"/>
      <c r="T73" s="11"/>
      <c r="U73" s="2"/>
      <c r="V73" s="4"/>
      <c r="W73" s="4" t="str">
        <f>IF(B73="","",IF(COUNTIF(CODE_MASTER_AS!A:A,B73)&gt;0,"OK","CHECK AS CODE"))</f>
        <v/>
      </c>
      <c r="X73" s="3" t="str">
        <f>IF(B73="","",_xludf.XLOOKUP(B73,CODE_MASTER_AS!A:A,CODE_MASTER_AS!E:E,""))</f>
        <v/>
      </c>
      <c r="Y73" s="3" t="str">
        <f>IF(B73="","",_xludf.XLOOKUP(B73,CODE_MASTER_AS!A:A,CODE_MASTER_AS!F:F,""))</f>
        <v/>
      </c>
      <c r="Z73" s="3" t="str">
        <f>IF(B73="","",_xludf.XLOOKUP(B73,CODE_MASTER_AS!A:A,CODE_MASTER_AS!G:G,""))</f>
        <v/>
      </c>
      <c r="AA73" s="3" t="str">
        <f>IF(B73="","",_xludf.XLOOKUP(B73,CODE_MASTER_AS!A:A,CODE_MASTER_AS!H:H,""))</f>
        <v/>
      </c>
      <c r="AB73" s="2"/>
    </row>
    <row r="74" spans="1:28" x14ac:dyDescent="0.2">
      <c r="A74" s="2"/>
      <c r="B74" s="2"/>
      <c r="C74" s="5"/>
      <c r="D74" s="5"/>
      <c r="E74" s="5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1"/>
      <c r="R74" s="11"/>
      <c r="S74" s="11"/>
      <c r="T74" s="11"/>
      <c r="U74" s="2"/>
      <c r="V74" s="4"/>
      <c r="W74" s="4" t="str">
        <f>IF(B74="","",IF(COUNTIF(CODE_MASTER_AS!A:A,B74)&gt;0,"OK","CHECK AS CODE"))</f>
        <v/>
      </c>
      <c r="X74" s="3" t="str">
        <f>IF(B74="","",_xludf.XLOOKUP(B74,CODE_MASTER_AS!A:A,CODE_MASTER_AS!E:E,""))</f>
        <v/>
      </c>
      <c r="Y74" s="3" t="str">
        <f>IF(B74="","",_xludf.XLOOKUP(B74,CODE_MASTER_AS!A:A,CODE_MASTER_AS!F:F,""))</f>
        <v/>
      </c>
      <c r="Z74" s="3" t="str">
        <f>IF(B74="","",_xludf.XLOOKUP(B74,CODE_MASTER_AS!A:A,CODE_MASTER_AS!G:G,""))</f>
        <v/>
      </c>
      <c r="AA74" s="3" t="str">
        <f>IF(B74="","",_xludf.XLOOKUP(B74,CODE_MASTER_AS!A:A,CODE_MASTER_AS!H:H,""))</f>
        <v/>
      </c>
      <c r="AB74" s="2"/>
    </row>
    <row r="75" spans="1:28" x14ac:dyDescent="0.2">
      <c r="A75" s="2"/>
      <c r="B75" s="2"/>
      <c r="C75" s="5"/>
      <c r="D75" s="5"/>
      <c r="E75" s="5"/>
      <c r="F75" s="170"/>
      <c r="G75" s="170"/>
      <c r="H75" s="170"/>
      <c r="I75" s="170"/>
      <c r="J75" s="170"/>
      <c r="K75" s="170"/>
      <c r="L75" s="170"/>
      <c r="M75" s="170"/>
      <c r="N75" s="170"/>
      <c r="O75" s="170"/>
      <c r="P75" s="170"/>
      <c r="Q75" s="11"/>
      <c r="R75" s="11"/>
      <c r="S75" s="11"/>
      <c r="T75" s="11"/>
      <c r="U75" s="2"/>
      <c r="V75" s="4"/>
      <c r="W75" s="4" t="str">
        <f>IF(B75="","",IF(COUNTIF(CODE_MASTER_AS!A:A,B75)&gt;0,"OK","CHECK AS CODE"))</f>
        <v/>
      </c>
      <c r="X75" s="3" t="str">
        <f>IF(B75="","",_xludf.XLOOKUP(B75,CODE_MASTER_AS!A:A,CODE_MASTER_AS!E:E,""))</f>
        <v/>
      </c>
      <c r="Y75" s="3" t="str">
        <f>IF(B75="","",_xludf.XLOOKUP(B75,CODE_MASTER_AS!A:A,CODE_MASTER_AS!F:F,""))</f>
        <v/>
      </c>
      <c r="Z75" s="3" t="str">
        <f>IF(B75="","",_xludf.XLOOKUP(B75,CODE_MASTER_AS!A:A,CODE_MASTER_AS!G:G,""))</f>
        <v/>
      </c>
      <c r="AA75" s="3" t="str">
        <f>IF(B75="","",_xludf.XLOOKUP(B75,CODE_MASTER_AS!A:A,CODE_MASTER_AS!H:H,""))</f>
        <v/>
      </c>
      <c r="AB75" s="2"/>
    </row>
    <row r="76" spans="1:28" x14ac:dyDescent="0.2">
      <c r="A76" s="2"/>
      <c r="B76" s="2"/>
      <c r="C76" s="5"/>
      <c r="D76" s="5"/>
      <c r="E76" s="5"/>
      <c r="F76" s="170"/>
      <c r="G76" s="170"/>
      <c r="H76" s="170"/>
      <c r="I76" s="170"/>
      <c r="J76" s="170"/>
      <c r="K76" s="170"/>
      <c r="L76" s="170"/>
      <c r="M76" s="170"/>
      <c r="N76" s="170"/>
      <c r="O76" s="170"/>
      <c r="P76" s="170"/>
      <c r="Q76" s="11"/>
      <c r="R76" s="11"/>
      <c r="S76" s="11"/>
      <c r="T76" s="11"/>
      <c r="U76" s="2"/>
      <c r="V76" s="4"/>
      <c r="W76" s="4" t="str">
        <f>IF(B76="","",IF(COUNTIF(CODE_MASTER_AS!A:A,B76)&gt;0,"OK","CHECK AS CODE"))</f>
        <v/>
      </c>
      <c r="X76" s="3" t="str">
        <f>IF(B76="","",_xludf.XLOOKUP(B76,CODE_MASTER_AS!A:A,CODE_MASTER_AS!E:E,""))</f>
        <v/>
      </c>
      <c r="Y76" s="3" t="str">
        <f>IF(B76="","",_xludf.XLOOKUP(B76,CODE_MASTER_AS!A:A,CODE_MASTER_AS!F:F,""))</f>
        <v/>
      </c>
      <c r="Z76" s="3" t="str">
        <f>IF(B76="","",_xludf.XLOOKUP(B76,CODE_MASTER_AS!A:A,CODE_MASTER_AS!G:G,""))</f>
        <v/>
      </c>
      <c r="AA76" s="3" t="str">
        <f>IF(B76="","",_xludf.XLOOKUP(B76,CODE_MASTER_AS!A:A,CODE_MASTER_AS!H:H,""))</f>
        <v/>
      </c>
      <c r="AB76" s="2"/>
    </row>
    <row r="77" spans="1:28" x14ac:dyDescent="0.2">
      <c r="A77" s="2"/>
      <c r="B77" s="2"/>
      <c r="C77" s="5"/>
      <c r="D77" s="5"/>
      <c r="E77" s="5"/>
      <c r="F77" s="170"/>
      <c r="G77" s="170"/>
      <c r="H77" s="170"/>
      <c r="I77" s="170"/>
      <c r="J77" s="170"/>
      <c r="K77" s="170"/>
      <c r="L77" s="170"/>
      <c r="M77" s="170"/>
      <c r="N77" s="170"/>
      <c r="O77" s="170"/>
      <c r="P77" s="170"/>
      <c r="Q77" s="11"/>
      <c r="R77" s="11"/>
      <c r="S77" s="11"/>
      <c r="T77" s="11"/>
      <c r="U77" s="2"/>
      <c r="V77" s="4"/>
      <c r="W77" s="4" t="str">
        <f>IF(B77="","",IF(COUNTIF(CODE_MASTER_AS!A:A,B77)&gt;0,"OK","CHECK AS CODE"))</f>
        <v/>
      </c>
      <c r="X77" s="3" t="str">
        <f>IF(B77="","",_xludf.XLOOKUP(B77,CODE_MASTER_AS!A:A,CODE_MASTER_AS!E:E,""))</f>
        <v/>
      </c>
      <c r="Y77" s="3" t="str">
        <f>IF(B77="","",_xludf.XLOOKUP(B77,CODE_MASTER_AS!A:A,CODE_MASTER_AS!F:F,""))</f>
        <v/>
      </c>
      <c r="Z77" s="3" t="str">
        <f>IF(B77="","",_xludf.XLOOKUP(B77,CODE_MASTER_AS!A:A,CODE_MASTER_AS!G:G,""))</f>
        <v/>
      </c>
      <c r="AA77" s="3" t="str">
        <f>IF(B77="","",_xludf.XLOOKUP(B77,CODE_MASTER_AS!A:A,CODE_MASTER_AS!H:H,""))</f>
        <v/>
      </c>
      <c r="AB77" s="2"/>
    </row>
    <row r="78" spans="1:28" x14ac:dyDescent="0.2">
      <c r="A78" s="2"/>
      <c r="B78" s="2"/>
      <c r="C78" s="5"/>
      <c r="D78" s="5"/>
      <c r="E78" s="5"/>
      <c r="F78" s="170"/>
      <c r="G78" s="170"/>
      <c r="H78" s="170"/>
      <c r="I78" s="170"/>
      <c r="J78" s="170"/>
      <c r="K78" s="170"/>
      <c r="L78" s="170"/>
      <c r="M78" s="170"/>
      <c r="N78" s="170"/>
      <c r="O78" s="170"/>
      <c r="P78" s="170"/>
      <c r="Q78" s="11"/>
      <c r="R78" s="11"/>
      <c r="S78" s="11"/>
      <c r="T78" s="11"/>
      <c r="U78" s="2"/>
      <c r="V78" s="4"/>
      <c r="W78" s="4" t="str">
        <f>IF(B78="","",IF(COUNTIF(CODE_MASTER_AS!A:A,B78)&gt;0,"OK","CHECK AS CODE"))</f>
        <v/>
      </c>
      <c r="X78" s="3" t="str">
        <f>IF(B78="","",_xludf.XLOOKUP(B78,CODE_MASTER_AS!A:A,CODE_MASTER_AS!E:E,""))</f>
        <v/>
      </c>
      <c r="Y78" s="3" t="str">
        <f>IF(B78="","",_xludf.XLOOKUP(B78,CODE_MASTER_AS!A:A,CODE_MASTER_AS!F:F,""))</f>
        <v/>
      </c>
      <c r="Z78" s="3" t="str">
        <f>IF(B78="","",_xludf.XLOOKUP(B78,CODE_MASTER_AS!A:A,CODE_MASTER_AS!G:G,""))</f>
        <v/>
      </c>
      <c r="AA78" s="3" t="str">
        <f>IF(B78="","",_xludf.XLOOKUP(B78,CODE_MASTER_AS!A:A,CODE_MASTER_AS!H:H,""))</f>
        <v/>
      </c>
      <c r="AB78" s="2"/>
    </row>
    <row r="79" spans="1:28" x14ac:dyDescent="0.2">
      <c r="A79" s="2"/>
      <c r="B79" s="2"/>
      <c r="C79" s="5"/>
      <c r="D79" s="5"/>
      <c r="E79" s="5"/>
      <c r="F79" s="170"/>
      <c r="G79" s="170"/>
      <c r="H79" s="170"/>
      <c r="I79" s="170"/>
      <c r="J79" s="170"/>
      <c r="K79" s="170"/>
      <c r="L79" s="170"/>
      <c r="M79" s="170"/>
      <c r="N79" s="170"/>
      <c r="O79" s="170"/>
      <c r="P79" s="170"/>
      <c r="Q79" s="11"/>
      <c r="R79" s="11"/>
      <c r="S79" s="11"/>
      <c r="T79" s="11"/>
      <c r="U79" s="2"/>
      <c r="V79" s="4"/>
      <c r="W79" s="4" t="str">
        <f>IF(B79="","",IF(COUNTIF(CODE_MASTER_AS!A:A,B79)&gt;0,"OK","CHECK AS CODE"))</f>
        <v/>
      </c>
      <c r="X79" s="3" t="str">
        <f>IF(B79="","",_xludf.XLOOKUP(B79,CODE_MASTER_AS!A:A,CODE_MASTER_AS!E:E,""))</f>
        <v/>
      </c>
      <c r="Y79" s="3" t="str">
        <f>IF(B79="","",_xludf.XLOOKUP(B79,CODE_MASTER_AS!A:A,CODE_MASTER_AS!F:F,""))</f>
        <v/>
      </c>
      <c r="Z79" s="3" t="str">
        <f>IF(B79="","",_xludf.XLOOKUP(B79,CODE_MASTER_AS!A:A,CODE_MASTER_AS!G:G,""))</f>
        <v/>
      </c>
      <c r="AA79" s="3" t="str">
        <f>IF(B79="","",_xludf.XLOOKUP(B79,CODE_MASTER_AS!A:A,CODE_MASTER_AS!H:H,""))</f>
        <v/>
      </c>
      <c r="AB79" s="2"/>
    </row>
    <row r="80" spans="1:28" x14ac:dyDescent="0.2">
      <c r="A80" s="2"/>
      <c r="B80" s="2"/>
      <c r="C80" s="5"/>
      <c r="D80" s="5"/>
      <c r="E80" s="5"/>
      <c r="F80" s="170"/>
      <c r="G80" s="170"/>
      <c r="H80" s="170"/>
      <c r="I80" s="170"/>
      <c r="J80" s="170"/>
      <c r="K80" s="170"/>
      <c r="L80" s="170"/>
      <c r="M80" s="170"/>
      <c r="N80" s="170"/>
      <c r="O80" s="170"/>
      <c r="P80" s="170"/>
      <c r="Q80" s="11"/>
      <c r="R80" s="11"/>
      <c r="S80" s="11"/>
      <c r="T80" s="11"/>
      <c r="U80" s="2"/>
      <c r="V80" s="4"/>
      <c r="W80" s="4" t="str">
        <f>IF(B80="","",IF(COUNTIF(CODE_MASTER_AS!A:A,B80)&gt;0,"OK","CHECK AS CODE"))</f>
        <v/>
      </c>
      <c r="X80" s="3" t="str">
        <f>IF(B80="","",_xludf.XLOOKUP(B80,CODE_MASTER_AS!A:A,CODE_MASTER_AS!E:E,""))</f>
        <v/>
      </c>
      <c r="Y80" s="3" t="str">
        <f>IF(B80="","",_xludf.XLOOKUP(B80,CODE_MASTER_AS!A:A,CODE_MASTER_AS!F:F,""))</f>
        <v/>
      </c>
      <c r="Z80" s="3" t="str">
        <f>IF(B80="","",_xludf.XLOOKUP(B80,CODE_MASTER_AS!A:A,CODE_MASTER_AS!G:G,""))</f>
        <v/>
      </c>
      <c r="AA80" s="3" t="str">
        <f>IF(B80="","",_xludf.XLOOKUP(B80,CODE_MASTER_AS!A:A,CODE_MASTER_AS!H:H,""))</f>
        <v/>
      </c>
      <c r="AB80" s="2"/>
    </row>
    <row r="81" spans="1:28" x14ac:dyDescent="0.2">
      <c r="A81" s="2"/>
      <c r="B81" s="2"/>
      <c r="C81" s="5"/>
      <c r="D81" s="5"/>
      <c r="E81" s="5"/>
      <c r="F81" s="170"/>
      <c r="G81" s="170"/>
      <c r="H81" s="170"/>
      <c r="I81" s="170"/>
      <c r="J81" s="170"/>
      <c r="K81" s="170"/>
      <c r="L81" s="170"/>
      <c r="M81" s="170"/>
      <c r="N81" s="170"/>
      <c r="O81" s="170"/>
      <c r="P81" s="170"/>
      <c r="Q81" s="11"/>
      <c r="R81" s="11"/>
      <c r="S81" s="11"/>
      <c r="T81" s="11"/>
      <c r="U81" s="2"/>
      <c r="V81" s="4"/>
      <c r="W81" s="4" t="str">
        <f>IF(B81="","",IF(COUNTIF(CODE_MASTER_AS!A:A,B81)&gt;0,"OK","CHECK AS CODE"))</f>
        <v/>
      </c>
      <c r="X81" s="3" t="str">
        <f>IF(B81="","",_xludf.XLOOKUP(B81,CODE_MASTER_AS!A:A,CODE_MASTER_AS!E:E,""))</f>
        <v/>
      </c>
      <c r="Y81" s="3" t="str">
        <f>IF(B81="","",_xludf.XLOOKUP(B81,CODE_MASTER_AS!A:A,CODE_MASTER_AS!F:F,""))</f>
        <v/>
      </c>
      <c r="Z81" s="3" t="str">
        <f>IF(B81="","",_xludf.XLOOKUP(B81,CODE_MASTER_AS!A:A,CODE_MASTER_AS!G:G,""))</f>
        <v/>
      </c>
      <c r="AA81" s="3" t="str">
        <f>IF(B81="","",_xludf.XLOOKUP(B81,CODE_MASTER_AS!A:A,CODE_MASTER_AS!H:H,""))</f>
        <v/>
      </c>
      <c r="AB81" s="2"/>
    </row>
    <row r="82" spans="1:28" x14ac:dyDescent="0.2">
      <c r="A82" s="2"/>
      <c r="B82" s="2"/>
      <c r="C82" s="5"/>
      <c r="D82" s="5"/>
      <c r="E82" s="5"/>
      <c r="F82" s="170"/>
      <c r="G82" s="170"/>
      <c r="H82" s="170"/>
      <c r="I82" s="170"/>
      <c r="J82" s="170"/>
      <c r="K82" s="170"/>
      <c r="L82" s="170"/>
      <c r="M82" s="170"/>
      <c r="N82" s="170"/>
      <c r="O82" s="170"/>
      <c r="P82" s="170"/>
      <c r="Q82" s="11"/>
      <c r="R82" s="11"/>
      <c r="S82" s="11"/>
      <c r="T82" s="11"/>
      <c r="U82" s="2"/>
      <c r="V82" s="4"/>
      <c r="W82" s="4" t="str">
        <f>IF(B82="","",IF(COUNTIF(CODE_MASTER_AS!A:A,B82)&gt;0,"OK","CHECK AS CODE"))</f>
        <v/>
      </c>
      <c r="X82" s="3" t="str">
        <f>IF(B82="","",_xludf.XLOOKUP(B82,CODE_MASTER_AS!A:A,CODE_MASTER_AS!E:E,""))</f>
        <v/>
      </c>
      <c r="Y82" s="3" t="str">
        <f>IF(B82="","",_xludf.XLOOKUP(B82,CODE_MASTER_AS!A:A,CODE_MASTER_AS!F:F,""))</f>
        <v/>
      </c>
      <c r="Z82" s="3" t="str">
        <f>IF(B82="","",_xludf.XLOOKUP(B82,CODE_MASTER_AS!A:A,CODE_MASTER_AS!G:G,""))</f>
        <v/>
      </c>
      <c r="AA82" s="3" t="str">
        <f>IF(B82="","",_xludf.XLOOKUP(B82,CODE_MASTER_AS!A:A,CODE_MASTER_AS!H:H,""))</f>
        <v/>
      </c>
      <c r="AB82" s="2"/>
    </row>
    <row r="83" spans="1:28" x14ac:dyDescent="0.2">
      <c r="A83" s="2"/>
      <c r="B83" s="2"/>
      <c r="C83" s="5"/>
      <c r="D83" s="5"/>
      <c r="E83" s="5"/>
      <c r="F83" s="170"/>
      <c r="G83" s="170"/>
      <c r="H83" s="170"/>
      <c r="I83" s="170"/>
      <c r="J83" s="170"/>
      <c r="K83" s="170"/>
      <c r="L83" s="170"/>
      <c r="M83" s="170"/>
      <c r="N83" s="170"/>
      <c r="O83" s="170"/>
      <c r="P83" s="170"/>
      <c r="Q83" s="11"/>
      <c r="R83" s="11"/>
      <c r="S83" s="11"/>
      <c r="T83" s="11"/>
      <c r="U83" s="2"/>
      <c r="V83" s="4"/>
      <c r="W83" s="4" t="str">
        <f>IF(B83="","",IF(COUNTIF(CODE_MASTER_AS!A:A,B83)&gt;0,"OK","CHECK AS CODE"))</f>
        <v/>
      </c>
      <c r="X83" s="3" t="str">
        <f>IF(B83="","",_xludf.XLOOKUP(B83,CODE_MASTER_AS!A:A,CODE_MASTER_AS!E:E,""))</f>
        <v/>
      </c>
      <c r="Y83" s="3" t="str">
        <f>IF(B83="","",_xludf.XLOOKUP(B83,CODE_MASTER_AS!A:A,CODE_MASTER_AS!F:F,""))</f>
        <v/>
      </c>
      <c r="Z83" s="3" t="str">
        <f>IF(B83="","",_xludf.XLOOKUP(B83,CODE_MASTER_AS!A:A,CODE_MASTER_AS!G:G,""))</f>
        <v/>
      </c>
      <c r="AA83" s="3" t="str">
        <f>IF(B83="","",_xludf.XLOOKUP(B83,CODE_MASTER_AS!A:A,CODE_MASTER_AS!H:H,""))</f>
        <v/>
      </c>
      <c r="AB83" s="2"/>
    </row>
    <row r="84" spans="1:28" x14ac:dyDescent="0.2">
      <c r="A84" s="2"/>
      <c r="B84" s="2"/>
      <c r="C84" s="5"/>
      <c r="D84" s="5"/>
      <c r="E84" s="5"/>
      <c r="F84" s="170"/>
      <c r="G84" s="170"/>
      <c r="H84" s="170"/>
      <c r="I84" s="170"/>
      <c r="J84" s="170"/>
      <c r="K84" s="170"/>
      <c r="L84" s="170"/>
      <c r="M84" s="170"/>
      <c r="N84" s="170"/>
      <c r="O84" s="170"/>
      <c r="P84" s="170"/>
      <c r="Q84" s="11"/>
      <c r="R84" s="11"/>
      <c r="S84" s="11"/>
      <c r="T84" s="11"/>
      <c r="U84" s="2"/>
      <c r="V84" s="4"/>
      <c r="W84" s="4" t="str">
        <f>IF(B84="","",IF(COUNTIF(CODE_MASTER_AS!A:A,B84)&gt;0,"OK","CHECK AS CODE"))</f>
        <v/>
      </c>
      <c r="X84" s="3" t="str">
        <f>IF(B84="","",_xludf.XLOOKUP(B84,CODE_MASTER_AS!A:A,CODE_MASTER_AS!E:E,""))</f>
        <v/>
      </c>
      <c r="Y84" s="3" t="str">
        <f>IF(B84="","",_xludf.XLOOKUP(B84,CODE_MASTER_AS!A:A,CODE_MASTER_AS!F:F,""))</f>
        <v/>
      </c>
      <c r="Z84" s="3" t="str">
        <f>IF(B84="","",_xludf.XLOOKUP(B84,CODE_MASTER_AS!A:A,CODE_MASTER_AS!G:G,""))</f>
        <v/>
      </c>
      <c r="AA84" s="3" t="str">
        <f>IF(B84="","",_xludf.XLOOKUP(B84,CODE_MASTER_AS!A:A,CODE_MASTER_AS!H:H,""))</f>
        <v/>
      </c>
      <c r="AB84" s="2"/>
    </row>
    <row r="85" spans="1:28" x14ac:dyDescent="0.2">
      <c r="A85" s="2"/>
      <c r="B85" s="2"/>
      <c r="C85" s="5"/>
      <c r="D85" s="5"/>
      <c r="E85" s="5"/>
      <c r="F85" s="170"/>
      <c r="G85" s="170"/>
      <c r="H85" s="170"/>
      <c r="I85" s="170"/>
      <c r="J85" s="170"/>
      <c r="K85" s="170"/>
      <c r="L85" s="170"/>
      <c r="M85" s="170"/>
      <c r="N85" s="170"/>
      <c r="O85" s="170"/>
      <c r="P85" s="170"/>
      <c r="Q85" s="11"/>
      <c r="R85" s="11"/>
      <c r="S85" s="11"/>
      <c r="T85" s="11"/>
      <c r="U85" s="2"/>
      <c r="V85" s="4"/>
      <c r="W85" s="4" t="str">
        <f>IF(B85="","",IF(COUNTIF(CODE_MASTER_AS!A:A,B85)&gt;0,"OK","CHECK AS CODE"))</f>
        <v/>
      </c>
      <c r="X85" s="3" t="str">
        <f>IF(B85="","",_xludf.XLOOKUP(B85,CODE_MASTER_AS!A:A,CODE_MASTER_AS!E:E,""))</f>
        <v/>
      </c>
      <c r="Y85" s="3" t="str">
        <f>IF(B85="","",_xludf.XLOOKUP(B85,CODE_MASTER_AS!A:A,CODE_MASTER_AS!F:F,""))</f>
        <v/>
      </c>
      <c r="Z85" s="3" t="str">
        <f>IF(B85="","",_xludf.XLOOKUP(B85,CODE_MASTER_AS!A:A,CODE_MASTER_AS!G:G,""))</f>
        <v/>
      </c>
      <c r="AA85" s="3" t="str">
        <f>IF(B85="","",_xludf.XLOOKUP(B85,CODE_MASTER_AS!A:A,CODE_MASTER_AS!H:H,""))</f>
        <v/>
      </c>
      <c r="AB85" s="2"/>
    </row>
    <row r="86" spans="1:28" x14ac:dyDescent="0.2">
      <c r="A86" s="2"/>
      <c r="B86" s="2"/>
      <c r="C86" s="5"/>
      <c r="D86" s="5"/>
      <c r="E86" s="5"/>
      <c r="F86" s="170"/>
      <c r="G86" s="170"/>
      <c r="H86" s="170"/>
      <c r="I86" s="170"/>
      <c r="J86" s="170"/>
      <c r="K86" s="170"/>
      <c r="L86" s="170"/>
      <c r="M86" s="170"/>
      <c r="N86" s="170"/>
      <c r="O86" s="170"/>
      <c r="P86" s="170"/>
      <c r="Q86" s="11"/>
      <c r="R86" s="11"/>
      <c r="S86" s="11"/>
      <c r="T86" s="11"/>
      <c r="U86" s="2"/>
      <c r="V86" s="4"/>
      <c r="W86" s="4" t="str">
        <f>IF(B86="","",IF(COUNTIF(CODE_MASTER_AS!A:A,B86)&gt;0,"OK","CHECK AS CODE"))</f>
        <v/>
      </c>
      <c r="X86" s="3" t="str">
        <f>IF(B86="","",_xludf.XLOOKUP(B86,CODE_MASTER_AS!A:A,CODE_MASTER_AS!E:E,""))</f>
        <v/>
      </c>
      <c r="Y86" s="3" t="str">
        <f>IF(B86="","",_xludf.XLOOKUP(B86,CODE_MASTER_AS!A:A,CODE_MASTER_AS!F:F,""))</f>
        <v/>
      </c>
      <c r="Z86" s="3" t="str">
        <f>IF(B86="","",_xludf.XLOOKUP(B86,CODE_MASTER_AS!A:A,CODE_MASTER_AS!G:G,""))</f>
        <v/>
      </c>
      <c r="AA86" s="3" t="str">
        <f>IF(B86="","",_xludf.XLOOKUP(B86,CODE_MASTER_AS!A:A,CODE_MASTER_AS!H:H,""))</f>
        <v/>
      </c>
      <c r="AB86" s="2"/>
    </row>
    <row r="87" spans="1:28" x14ac:dyDescent="0.2">
      <c r="A87" s="2"/>
      <c r="B87" s="2"/>
      <c r="C87" s="5"/>
      <c r="D87" s="5"/>
      <c r="E87" s="5"/>
      <c r="F87" s="170"/>
      <c r="G87" s="170"/>
      <c r="H87" s="170"/>
      <c r="I87" s="170"/>
      <c r="J87" s="170"/>
      <c r="K87" s="170"/>
      <c r="L87" s="170"/>
      <c r="M87" s="170"/>
      <c r="N87" s="170"/>
      <c r="O87" s="170"/>
      <c r="P87" s="170"/>
      <c r="Q87" s="11"/>
      <c r="R87" s="11"/>
      <c r="S87" s="11"/>
      <c r="T87" s="11"/>
      <c r="U87" s="2"/>
      <c r="V87" s="4"/>
      <c r="W87" s="4" t="str">
        <f>IF(B87="","",IF(COUNTIF(CODE_MASTER_AS!A:A,B87)&gt;0,"OK","CHECK AS CODE"))</f>
        <v/>
      </c>
      <c r="X87" s="3" t="str">
        <f>IF(B87="","",_xludf.XLOOKUP(B87,CODE_MASTER_AS!A:A,CODE_MASTER_AS!E:E,""))</f>
        <v/>
      </c>
      <c r="Y87" s="3" t="str">
        <f>IF(B87="","",_xludf.XLOOKUP(B87,CODE_MASTER_AS!A:A,CODE_MASTER_AS!F:F,""))</f>
        <v/>
      </c>
      <c r="Z87" s="3" t="str">
        <f>IF(B87="","",_xludf.XLOOKUP(B87,CODE_MASTER_AS!A:A,CODE_MASTER_AS!G:G,""))</f>
        <v/>
      </c>
      <c r="AA87" s="3" t="str">
        <f>IF(B87="","",_xludf.XLOOKUP(B87,CODE_MASTER_AS!A:A,CODE_MASTER_AS!H:H,""))</f>
        <v/>
      </c>
      <c r="AB87" s="2"/>
    </row>
    <row r="88" spans="1:28" x14ac:dyDescent="0.2">
      <c r="A88" s="2"/>
      <c r="B88" s="2"/>
      <c r="C88" s="5"/>
      <c r="D88" s="5"/>
      <c r="E88" s="5"/>
      <c r="F88" s="170"/>
      <c r="G88" s="170"/>
      <c r="H88" s="170"/>
      <c r="I88" s="170"/>
      <c r="J88" s="170"/>
      <c r="K88" s="170"/>
      <c r="L88" s="170"/>
      <c r="M88" s="170"/>
      <c r="N88" s="170"/>
      <c r="O88" s="170"/>
      <c r="P88" s="170"/>
      <c r="Q88" s="11"/>
      <c r="R88" s="11"/>
      <c r="S88" s="11"/>
      <c r="T88" s="11"/>
      <c r="U88" s="2"/>
      <c r="V88" s="4"/>
      <c r="W88" s="4" t="str">
        <f>IF(B88="","",IF(COUNTIF(CODE_MASTER_AS!A:A,B88)&gt;0,"OK","CHECK AS CODE"))</f>
        <v/>
      </c>
      <c r="X88" s="3" t="str">
        <f>IF(B88="","",_xludf.XLOOKUP(B88,CODE_MASTER_AS!A:A,CODE_MASTER_AS!E:E,""))</f>
        <v/>
      </c>
      <c r="Y88" s="3" t="str">
        <f>IF(B88="","",_xludf.XLOOKUP(B88,CODE_MASTER_AS!A:A,CODE_MASTER_AS!F:F,""))</f>
        <v/>
      </c>
      <c r="Z88" s="3" t="str">
        <f>IF(B88="","",_xludf.XLOOKUP(B88,CODE_MASTER_AS!A:A,CODE_MASTER_AS!G:G,""))</f>
        <v/>
      </c>
      <c r="AA88" s="3" t="str">
        <f>IF(B88="","",_xludf.XLOOKUP(B88,CODE_MASTER_AS!A:A,CODE_MASTER_AS!H:H,""))</f>
        <v/>
      </c>
      <c r="AB88" s="2"/>
    </row>
    <row r="89" spans="1:28" x14ac:dyDescent="0.2">
      <c r="A89" s="2"/>
      <c r="B89" s="2"/>
      <c r="C89" s="5"/>
      <c r="D89" s="5"/>
      <c r="E89" s="5"/>
      <c r="F89" s="170"/>
      <c r="G89" s="170"/>
      <c r="H89" s="170"/>
      <c r="I89" s="170"/>
      <c r="J89" s="170"/>
      <c r="K89" s="170"/>
      <c r="L89" s="170"/>
      <c r="M89" s="170"/>
      <c r="N89" s="170"/>
      <c r="O89" s="170"/>
      <c r="P89" s="170"/>
      <c r="Q89" s="11"/>
      <c r="R89" s="11"/>
      <c r="S89" s="11"/>
      <c r="T89" s="11"/>
      <c r="U89" s="2"/>
      <c r="V89" s="4"/>
      <c r="W89" s="4" t="str">
        <f>IF(B89="","",IF(COUNTIF(CODE_MASTER_AS!A:A,B89)&gt;0,"OK","CHECK AS CODE"))</f>
        <v/>
      </c>
      <c r="X89" s="3" t="str">
        <f>IF(B89="","",_xludf.XLOOKUP(B89,CODE_MASTER_AS!A:A,CODE_MASTER_AS!E:E,""))</f>
        <v/>
      </c>
      <c r="Y89" s="3" t="str">
        <f>IF(B89="","",_xludf.XLOOKUP(B89,CODE_MASTER_AS!A:A,CODE_MASTER_AS!F:F,""))</f>
        <v/>
      </c>
      <c r="Z89" s="3" t="str">
        <f>IF(B89="","",_xludf.XLOOKUP(B89,CODE_MASTER_AS!A:A,CODE_MASTER_AS!G:G,""))</f>
        <v/>
      </c>
      <c r="AA89" s="3" t="str">
        <f>IF(B89="","",_xludf.XLOOKUP(B89,CODE_MASTER_AS!A:A,CODE_MASTER_AS!H:H,""))</f>
        <v/>
      </c>
      <c r="AB89" s="2"/>
    </row>
    <row r="90" spans="1:28" x14ac:dyDescent="0.2">
      <c r="A90" s="2"/>
      <c r="B90" s="2"/>
      <c r="C90" s="5"/>
      <c r="D90" s="5"/>
      <c r="E90" s="5"/>
      <c r="F90" s="170"/>
      <c r="G90" s="170"/>
      <c r="H90" s="170"/>
      <c r="I90" s="170"/>
      <c r="J90" s="170"/>
      <c r="K90" s="170"/>
      <c r="L90" s="170"/>
      <c r="M90" s="170"/>
      <c r="N90" s="170"/>
      <c r="O90" s="170"/>
      <c r="P90" s="170"/>
      <c r="Q90" s="11"/>
      <c r="R90" s="11"/>
      <c r="S90" s="11"/>
      <c r="T90" s="11"/>
      <c r="U90" s="2"/>
      <c r="V90" s="4"/>
      <c r="W90" s="4" t="str">
        <f>IF(B90="","",IF(COUNTIF(CODE_MASTER_AS!A:A,B90)&gt;0,"OK","CHECK AS CODE"))</f>
        <v/>
      </c>
      <c r="X90" s="3" t="str">
        <f>IF(B90="","",_xludf.XLOOKUP(B90,CODE_MASTER_AS!A:A,CODE_MASTER_AS!E:E,""))</f>
        <v/>
      </c>
      <c r="Y90" s="3" t="str">
        <f>IF(B90="","",_xludf.XLOOKUP(B90,CODE_MASTER_AS!A:A,CODE_MASTER_AS!F:F,""))</f>
        <v/>
      </c>
      <c r="Z90" s="3" t="str">
        <f>IF(B90="","",_xludf.XLOOKUP(B90,CODE_MASTER_AS!A:A,CODE_MASTER_AS!G:G,""))</f>
        <v/>
      </c>
      <c r="AA90" s="3" t="str">
        <f>IF(B90="","",_xludf.XLOOKUP(B90,CODE_MASTER_AS!A:A,CODE_MASTER_AS!H:H,""))</f>
        <v/>
      </c>
      <c r="AB90" s="2"/>
    </row>
    <row r="91" spans="1:28" x14ac:dyDescent="0.2">
      <c r="A91" s="2"/>
      <c r="B91" s="2"/>
      <c r="C91" s="5"/>
      <c r="D91" s="5"/>
      <c r="E91" s="5"/>
      <c r="F91" s="170"/>
      <c r="G91" s="170"/>
      <c r="H91" s="170"/>
      <c r="I91" s="170"/>
      <c r="J91" s="170"/>
      <c r="K91" s="170"/>
      <c r="L91" s="170"/>
      <c r="M91" s="170"/>
      <c r="N91" s="170"/>
      <c r="O91" s="170"/>
      <c r="P91" s="170"/>
      <c r="Q91" s="11"/>
      <c r="R91" s="11"/>
      <c r="S91" s="11"/>
      <c r="T91" s="11"/>
      <c r="U91" s="2"/>
      <c r="V91" s="4"/>
      <c r="W91" s="4" t="str">
        <f>IF(B91="","",IF(COUNTIF(CODE_MASTER_AS!A:A,B91)&gt;0,"OK","CHECK AS CODE"))</f>
        <v/>
      </c>
      <c r="X91" s="3" t="str">
        <f>IF(B91="","",_xludf.XLOOKUP(B91,CODE_MASTER_AS!A:A,CODE_MASTER_AS!E:E,""))</f>
        <v/>
      </c>
      <c r="Y91" s="3" t="str">
        <f>IF(B91="","",_xludf.XLOOKUP(B91,CODE_MASTER_AS!A:A,CODE_MASTER_AS!F:F,""))</f>
        <v/>
      </c>
      <c r="Z91" s="3" t="str">
        <f>IF(B91="","",_xludf.XLOOKUP(B91,CODE_MASTER_AS!A:A,CODE_MASTER_AS!G:G,""))</f>
        <v/>
      </c>
      <c r="AA91" s="3" t="str">
        <f>IF(B91="","",_xludf.XLOOKUP(B91,CODE_MASTER_AS!A:A,CODE_MASTER_AS!H:H,""))</f>
        <v/>
      </c>
      <c r="AB91" s="2"/>
    </row>
    <row r="92" spans="1:28" x14ac:dyDescent="0.2">
      <c r="A92" s="2"/>
      <c r="B92" s="2"/>
      <c r="C92" s="5"/>
      <c r="D92" s="5"/>
      <c r="E92" s="5"/>
      <c r="F92" s="170"/>
      <c r="G92" s="170"/>
      <c r="H92" s="170"/>
      <c r="I92" s="170"/>
      <c r="J92" s="170"/>
      <c r="K92" s="170"/>
      <c r="L92" s="170"/>
      <c r="M92" s="170"/>
      <c r="N92" s="170"/>
      <c r="O92" s="170"/>
      <c r="P92" s="170"/>
      <c r="Q92" s="11"/>
      <c r="R92" s="11"/>
      <c r="S92" s="11"/>
      <c r="T92" s="11"/>
      <c r="U92" s="2"/>
      <c r="V92" s="4"/>
      <c r="W92" s="4" t="str">
        <f>IF(B92="","",IF(COUNTIF(CODE_MASTER_AS!A:A,B92)&gt;0,"OK","CHECK AS CODE"))</f>
        <v/>
      </c>
      <c r="X92" s="3" t="str">
        <f>IF(B92="","",_xludf.XLOOKUP(B92,CODE_MASTER_AS!A:A,CODE_MASTER_AS!E:E,""))</f>
        <v/>
      </c>
      <c r="Y92" s="3" t="str">
        <f>IF(B92="","",_xludf.XLOOKUP(B92,CODE_MASTER_AS!A:A,CODE_MASTER_AS!F:F,""))</f>
        <v/>
      </c>
      <c r="Z92" s="3" t="str">
        <f>IF(B92="","",_xludf.XLOOKUP(B92,CODE_MASTER_AS!A:A,CODE_MASTER_AS!G:G,""))</f>
        <v/>
      </c>
      <c r="AA92" s="3" t="str">
        <f>IF(B92="","",_xludf.XLOOKUP(B92,CODE_MASTER_AS!A:A,CODE_MASTER_AS!H:H,""))</f>
        <v/>
      </c>
      <c r="AB92" s="2"/>
    </row>
    <row r="93" spans="1:28" x14ac:dyDescent="0.2">
      <c r="A93" s="2"/>
      <c r="B93" s="2"/>
      <c r="C93" s="5"/>
      <c r="D93" s="5"/>
      <c r="E93" s="5"/>
      <c r="F93" s="170"/>
      <c r="G93" s="170"/>
      <c r="H93" s="170"/>
      <c r="I93" s="170"/>
      <c r="J93" s="170"/>
      <c r="K93" s="170"/>
      <c r="L93" s="170"/>
      <c r="M93" s="170"/>
      <c r="N93" s="170"/>
      <c r="O93" s="170"/>
      <c r="P93" s="170"/>
      <c r="Q93" s="11"/>
      <c r="R93" s="11"/>
      <c r="S93" s="11"/>
      <c r="T93" s="11"/>
      <c r="U93" s="2"/>
      <c r="V93" s="4"/>
      <c r="W93" s="4" t="str">
        <f>IF(B93="","",IF(COUNTIF(CODE_MASTER_AS!A:A,B93)&gt;0,"OK","CHECK AS CODE"))</f>
        <v/>
      </c>
      <c r="X93" s="3" t="str">
        <f>IF(B93="","",_xludf.XLOOKUP(B93,CODE_MASTER_AS!A:A,CODE_MASTER_AS!E:E,""))</f>
        <v/>
      </c>
      <c r="Y93" s="3" t="str">
        <f>IF(B93="","",_xludf.XLOOKUP(B93,CODE_MASTER_AS!A:A,CODE_MASTER_AS!F:F,""))</f>
        <v/>
      </c>
      <c r="Z93" s="3" t="str">
        <f>IF(B93="","",_xludf.XLOOKUP(B93,CODE_MASTER_AS!A:A,CODE_MASTER_AS!G:G,""))</f>
        <v/>
      </c>
      <c r="AA93" s="3" t="str">
        <f>IF(B93="","",_xludf.XLOOKUP(B93,CODE_MASTER_AS!A:A,CODE_MASTER_AS!H:H,""))</f>
        <v/>
      </c>
      <c r="AB93" s="2"/>
    </row>
    <row r="94" spans="1:28" x14ac:dyDescent="0.2">
      <c r="A94" s="2"/>
      <c r="B94" s="2"/>
      <c r="C94" s="5"/>
      <c r="D94" s="5"/>
      <c r="E94" s="5"/>
      <c r="F94" s="170"/>
      <c r="G94" s="170"/>
      <c r="H94" s="170"/>
      <c r="I94" s="170"/>
      <c r="J94" s="170"/>
      <c r="K94" s="170"/>
      <c r="L94" s="170"/>
      <c r="M94" s="170"/>
      <c r="N94" s="170"/>
      <c r="O94" s="170"/>
      <c r="P94" s="170"/>
      <c r="Q94" s="11"/>
      <c r="R94" s="11"/>
      <c r="S94" s="11"/>
      <c r="T94" s="11"/>
      <c r="U94" s="2"/>
      <c r="V94" s="4"/>
      <c r="W94" s="4" t="str">
        <f>IF(B94="","",IF(COUNTIF(CODE_MASTER_AS!A:A,B94)&gt;0,"OK","CHECK AS CODE"))</f>
        <v/>
      </c>
      <c r="X94" s="3" t="str">
        <f>IF(B94="","",_xludf.XLOOKUP(B94,CODE_MASTER_AS!A:A,CODE_MASTER_AS!E:E,""))</f>
        <v/>
      </c>
      <c r="Y94" s="3" t="str">
        <f>IF(B94="","",_xludf.XLOOKUP(B94,CODE_MASTER_AS!A:A,CODE_MASTER_AS!F:F,""))</f>
        <v/>
      </c>
      <c r="Z94" s="3" t="str">
        <f>IF(B94="","",_xludf.XLOOKUP(B94,CODE_MASTER_AS!A:A,CODE_MASTER_AS!G:G,""))</f>
        <v/>
      </c>
      <c r="AA94" s="3" t="str">
        <f>IF(B94="","",_xludf.XLOOKUP(B94,CODE_MASTER_AS!A:A,CODE_MASTER_AS!H:H,""))</f>
        <v/>
      </c>
      <c r="AB94" s="2"/>
    </row>
    <row r="95" spans="1:28" x14ac:dyDescent="0.2">
      <c r="A95" s="2"/>
      <c r="B95" s="2"/>
      <c r="C95" s="5"/>
      <c r="D95" s="5"/>
      <c r="E95" s="5"/>
      <c r="F95" s="170"/>
      <c r="G95" s="170"/>
      <c r="H95" s="170"/>
      <c r="I95" s="170"/>
      <c r="J95" s="170"/>
      <c r="K95" s="170"/>
      <c r="L95" s="170"/>
      <c r="M95" s="170"/>
      <c r="N95" s="170"/>
      <c r="O95" s="170"/>
      <c r="P95" s="170"/>
      <c r="Q95" s="11"/>
      <c r="R95" s="11"/>
      <c r="S95" s="11"/>
      <c r="T95" s="11"/>
      <c r="U95" s="2"/>
      <c r="V95" s="4"/>
      <c r="W95" s="4" t="str">
        <f>IF(B95="","",IF(COUNTIF(CODE_MASTER_AS!A:A,B95)&gt;0,"OK","CHECK AS CODE"))</f>
        <v/>
      </c>
      <c r="X95" s="3" t="str">
        <f>IF(B95="","",_xludf.XLOOKUP(B95,CODE_MASTER_AS!A:A,CODE_MASTER_AS!E:E,""))</f>
        <v/>
      </c>
      <c r="Y95" s="3" t="str">
        <f>IF(B95="","",_xludf.XLOOKUP(B95,CODE_MASTER_AS!A:A,CODE_MASTER_AS!F:F,""))</f>
        <v/>
      </c>
      <c r="Z95" s="3" t="str">
        <f>IF(B95="","",_xludf.XLOOKUP(B95,CODE_MASTER_AS!A:A,CODE_MASTER_AS!G:G,""))</f>
        <v/>
      </c>
      <c r="AA95" s="3" t="str">
        <f>IF(B95="","",_xludf.XLOOKUP(B95,CODE_MASTER_AS!A:A,CODE_MASTER_AS!H:H,""))</f>
        <v/>
      </c>
      <c r="AB95" s="2"/>
    </row>
    <row r="96" spans="1:28" x14ac:dyDescent="0.2">
      <c r="A96" s="2"/>
      <c r="B96" s="2"/>
      <c r="C96" s="5"/>
      <c r="D96" s="5"/>
      <c r="E96" s="5"/>
      <c r="F96" s="170"/>
      <c r="G96" s="170"/>
      <c r="H96" s="170"/>
      <c r="I96" s="170"/>
      <c r="J96" s="170"/>
      <c r="K96" s="170"/>
      <c r="L96" s="170"/>
      <c r="M96" s="170"/>
      <c r="N96" s="170"/>
      <c r="O96" s="170"/>
      <c r="P96" s="170"/>
      <c r="Q96" s="11"/>
      <c r="R96" s="11"/>
      <c r="S96" s="11"/>
      <c r="T96" s="11"/>
      <c r="U96" s="2"/>
      <c r="V96" s="4"/>
      <c r="W96" s="4" t="str">
        <f>IF(B96="","",IF(COUNTIF(CODE_MASTER_AS!A:A,B96)&gt;0,"OK","CHECK AS CODE"))</f>
        <v/>
      </c>
      <c r="X96" s="3" t="str">
        <f>IF(B96="","",_xludf.XLOOKUP(B96,CODE_MASTER_AS!A:A,CODE_MASTER_AS!E:E,""))</f>
        <v/>
      </c>
      <c r="Y96" s="3" t="str">
        <f>IF(B96="","",_xludf.XLOOKUP(B96,CODE_MASTER_AS!A:A,CODE_MASTER_AS!F:F,""))</f>
        <v/>
      </c>
      <c r="Z96" s="3" t="str">
        <f>IF(B96="","",_xludf.XLOOKUP(B96,CODE_MASTER_AS!A:A,CODE_MASTER_AS!G:G,""))</f>
        <v/>
      </c>
      <c r="AA96" s="3" t="str">
        <f>IF(B96="","",_xludf.XLOOKUP(B96,CODE_MASTER_AS!A:A,CODE_MASTER_AS!H:H,""))</f>
        <v/>
      </c>
      <c r="AB96" s="2"/>
    </row>
    <row r="97" spans="1:28" x14ac:dyDescent="0.2">
      <c r="A97" s="2"/>
      <c r="B97" s="2"/>
      <c r="C97" s="5"/>
      <c r="D97" s="5"/>
      <c r="E97" s="5"/>
      <c r="F97" s="170"/>
      <c r="G97" s="170"/>
      <c r="H97" s="170"/>
      <c r="I97" s="170"/>
      <c r="J97" s="170"/>
      <c r="K97" s="170"/>
      <c r="L97" s="170"/>
      <c r="M97" s="170"/>
      <c r="N97" s="170"/>
      <c r="O97" s="170"/>
      <c r="P97" s="170"/>
      <c r="Q97" s="11"/>
      <c r="R97" s="11"/>
      <c r="S97" s="11"/>
      <c r="T97" s="11"/>
      <c r="U97" s="2"/>
      <c r="V97" s="4"/>
      <c r="W97" s="4" t="str">
        <f>IF(B97="","",IF(COUNTIF(CODE_MASTER_AS!A:A,B97)&gt;0,"OK","CHECK AS CODE"))</f>
        <v/>
      </c>
      <c r="X97" s="3" t="str">
        <f>IF(B97="","",_xludf.XLOOKUP(B97,CODE_MASTER_AS!A:A,CODE_MASTER_AS!E:E,""))</f>
        <v/>
      </c>
      <c r="Y97" s="3" t="str">
        <f>IF(B97="","",_xludf.XLOOKUP(B97,CODE_MASTER_AS!A:A,CODE_MASTER_AS!F:F,""))</f>
        <v/>
      </c>
      <c r="Z97" s="3" t="str">
        <f>IF(B97="","",_xludf.XLOOKUP(B97,CODE_MASTER_AS!A:A,CODE_MASTER_AS!G:G,""))</f>
        <v/>
      </c>
      <c r="AA97" s="3" t="str">
        <f>IF(B97="","",_xludf.XLOOKUP(B97,CODE_MASTER_AS!A:A,CODE_MASTER_AS!H:H,""))</f>
        <v/>
      </c>
      <c r="AB97" s="2"/>
    </row>
    <row r="98" spans="1:28" x14ac:dyDescent="0.2">
      <c r="A98" s="2"/>
      <c r="B98" s="2"/>
      <c r="C98" s="5"/>
      <c r="D98" s="5"/>
      <c r="E98" s="5"/>
      <c r="F98" s="170"/>
      <c r="G98" s="170"/>
      <c r="H98" s="170"/>
      <c r="I98" s="170"/>
      <c r="J98" s="170"/>
      <c r="K98" s="170"/>
      <c r="L98" s="170"/>
      <c r="M98" s="170"/>
      <c r="N98" s="170"/>
      <c r="O98" s="170"/>
      <c r="P98" s="170"/>
      <c r="Q98" s="11"/>
      <c r="R98" s="11"/>
      <c r="S98" s="11"/>
      <c r="T98" s="11"/>
      <c r="U98" s="2"/>
      <c r="V98" s="4"/>
      <c r="W98" s="4" t="str">
        <f>IF(B98="","",IF(COUNTIF(CODE_MASTER_AS!A:A,B98)&gt;0,"OK","CHECK AS CODE"))</f>
        <v/>
      </c>
      <c r="X98" s="3" t="str">
        <f>IF(B98="","",_xludf.XLOOKUP(B98,CODE_MASTER_AS!A:A,CODE_MASTER_AS!E:E,""))</f>
        <v/>
      </c>
      <c r="Y98" s="3" t="str">
        <f>IF(B98="","",_xludf.XLOOKUP(B98,CODE_MASTER_AS!A:A,CODE_MASTER_AS!F:F,""))</f>
        <v/>
      </c>
      <c r="Z98" s="3" t="str">
        <f>IF(B98="","",_xludf.XLOOKUP(B98,CODE_MASTER_AS!A:A,CODE_MASTER_AS!G:G,""))</f>
        <v/>
      </c>
      <c r="AA98" s="3" t="str">
        <f>IF(B98="","",_xludf.XLOOKUP(B98,CODE_MASTER_AS!A:A,CODE_MASTER_AS!H:H,""))</f>
        <v/>
      </c>
      <c r="AB98" s="2"/>
    </row>
    <row r="99" spans="1:28" x14ac:dyDescent="0.2">
      <c r="A99" s="2"/>
      <c r="B99" s="2"/>
      <c r="C99" s="5"/>
      <c r="D99" s="5"/>
      <c r="E99" s="5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1"/>
      <c r="R99" s="11"/>
      <c r="S99" s="11"/>
      <c r="T99" s="11"/>
      <c r="U99" s="2"/>
      <c r="V99" s="4"/>
      <c r="W99" s="4" t="str">
        <f>IF(B99="","",IF(COUNTIF(CODE_MASTER_AS!A:A,B99)&gt;0,"OK","CHECK AS CODE"))</f>
        <v/>
      </c>
      <c r="X99" s="3" t="str">
        <f>IF(B99="","",_xludf.XLOOKUP(B99,CODE_MASTER_AS!A:A,CODE_MASTER_AS!E:E,""))</f>
        <v/>
      </c>
      <c r="Y99" s="3" t="str">
        <f>IF(B99="","",_xludf.XLOOKUP(B99,CODE_MASTER_AS!A:A,CODE_MASTER_AS!F:F,""))</f>
        <v/>
      </c>
      <c r="Z99" s="3" t="str">
        <f>IF(B99="","",_xludf.XLOOKUP(B99,CODE_MASTER_AS!A:A,CODE_MASTER_AS!G:G,""))</f>
        <v/>
      </c>
      <c r="AA99" s="3" t="str">
        <f>IF(B99="","",_xludf.XLOOKUP(B99,CODE_MASTER_AS!A:A,CODE_MASTER_AS!H:H,""))</f>
        <v/>
      </c>
      <c r="AB99" s="2"/>
    </row>
    <row r="100" spans="1:28" x14ac:dyDescent="0.2">
      <c r="A100" s="2"/>
      <c r="B100" s="2"/>
      <c r="C100" s="5"/>
      <c r="D100" s="5"/>
      <c r="E100" s="5"/>
      <c r="F100" s="170"/>
      <c r="G100" s="170"/>
      <c r="H100" s="170"/>
      <c r="I100" s="170"/>
      <c r="J100" s="170"/>
      <c r="K100" s="170"/>
      <c r="L100" s="170"/>
      <c r="M100" s="170"/>
      <c r="N100" s="170"/>
      <c r="O100" s="170"/>
      <c r="P100" s="170"/>
      <c r="Q100" s="11"/>
      <c r="R100" s="11"/>
      <c r="S100" s="11"/>
      <c r="T100" s="11"/>
      <c r="U100" s="2"/>
      <c r="V100" s="4"/>
      <c r="W100" s="4" t="str">
        <f>IF(B100="","",IF(COUNTIF(CODE_MASTER_AS!A:A,B100)&gt;0,"OK","CHECK AS CODE"))</f>
        <v/>
      </c>
      <c r="X100" s="3" t="str">
        <f>IF(B100="","",_xludf.XLOOKUP(B100,CODE_MASTER_AS!A:A,CODE_MASTER_AS!E:E,""))</f>
        <v/>
      </c>
      <c r="Y100" s="3" t="str">
        <f>IF(B100="","",_xludf.XLOOKUP(B100,CODE_MASTER_AS!A:A,CODE_MASTER_AS!F:F,""))</f>
        <v/>
      </c>
      <c r="Z100" s="3" t="str">
        <f>IF(B100="","",_xludf.XLOOKUP(B100,CODE_MASTER_AS!A:A,CODE_MASTER_AS!G:G,""))</f>
        <v/>
      </c>
      <c r="AA100" s="3" t="str">
        <f>IF(B100="","",_xludf.XLOOKUP(B100,CODE_MASTER_AS!A:A,CODE_MASTER_AS!H:H,""))</f>
        <v/>
      </c>
      <c r="AB100" s="2"/>
    </row>
    <row r="101" spans="1:28" x14ac:dyDescent="0.2">
      <c r="A101" s="2"/>
      <c r="B101" s="2"/>
      <c r="C101" s="5"/>
      <c r="D101" s="5"/>
      <c r="E101" s="5"/>
      <c r="F101" s="170"/>
      <c r="G101" s="170"/>
      <c r="H101" s="170"/>
      <c r="I101" s="170"/>
      <c r="J101" s="170"/>
      <c r="K101" s="170"/>
      <c r="L101" s="170"/>
      <c r="M101" s="170"/>
      <c r="N101" s="170"/>
      <c r="O101" s="170"/>
      <c r="P101" s="170"/>
      <c r="Q101" s="11"/>
      <c r="R101" s="11"/>
      <c r="S101" s="11"/>
      <c r="T101" s="11"/>
      <c r="U101" s="2"/>
      <c r="V101" s="4"/>
      <c r="W101" s="4" t="str">
        <f>IF(B101="","",IF(COUNTIF(CODE_MASTER_AS!A:A,B101)&gt;0,"OK","CHECK AS CODE"))</f>
        <v/>
      </c>
      <c r="X101" s="3" t="str">
        <f>IF(B101="","",_xludf.XLOOKUP(B101,CODE_MASTER_AS!A:A,CODE_MASTER_AS!E:E,""))</f>
        <v/>
      </c>
      <c r="Y101" s="3" t="str">
        <f>IF(B101="","",_xludf.XLOOKUP(B101,CODE_MASTER_AS!A:A,CODE_MASTER_AS!F:F,""))</f>
        <v/>
      </c>
      <c r="Z101" s="3" t="str">
        <f>IF(B101="","",_xludf.XLOOKUP(B101,CODE_MASTER_AS!A:A,CODE_MASTER_AS!G:G,""))</f>
        <v/>
      </c>
      <c r="AA101" s="3" t="str">
        <f>IF(B101="","",_xludf.XLOOKUP(B101,CODE_MASTER_AS!A:A,CODE_MASTER_AS!H:H,""))</f>
        <v/>
      </c>
      <c r="AB101" s="2"/>
    </row>
    <row r="102" spans="1:28" x14ac:dyDescent="0.2">
      <c r="A102" s="2"/>
      <c r="B102" s="2"/>
      <c r="C102" s="5"/>
      <c r="D102" s="5"/>
      <c r="E102" s="5"/>
      <c r="F102" s="170"/>
      <c r="G102" s="170"/>
      <c r="H102" s="170"/>
      <c r="I102" s="170"/>
      <c r="J102" s="170"/>
      <c r="K102" s="170"/>
      <c r="L102" s="170"/>
      <c r="M102" s="170"/>
      <c r="N102" s="170"/>
      <c r="O102" s="170"/>
      <c r="P102" s="170"/>
      <c r="Q102" s="11"/>
      <c r="R102" s="11"/>
      <c r="S102" s="11"/>
      <c r="T102" s="11"/>
      <c r="U102" s="2"/>
      <c r="V102" s="4"/>
      <c r="W102" s="4" t="str">
        <f>IF(B102="","",IF(COUNTIF(CODE_MASTER_AS!A:A,B102)&gt;0,"OK","CHECK AS CODE"))</f>
        <v/>
      </c>
      <c r="X102" s="3" t="str">
        <f>IF(B102="","",_xludf.XLOOKUP(B102,CODE_MASTER_AS!A:A,CODE_MASTER_AS!E:E,""))</f>
        <v/>
      </c>
      <c r="Y102" s="3" t="str">
        <f>IF(B102="","",_xludf.XLOOKUP(B102,CODE_MASTER_AS!A:A,CODE_MASTER_AS!F:F,""))</f>
        <v/>
      </c>
      <c r="Z102" s="3" t="str">
        <f>IF(B102="","",_xludf.XLOOKUP(B102,CODE_MASTER_AS!A:A,CODE_MASTER_AS!G:G,""))</f>
        <v/>
      </c>
      <c r="AA102" s="3" t="str">
        <f>IF(B102="","",_xludf.XLOOKUP(B102,CODE_MASTER_AS!A:A,CODE_MASTER_AS!H:H,""))</f>
        <v/>
      </c>
      <c r="AB102" s="2"/>
    </row>
    <row r="103" spans="1:28" x14ac:dyDescent="0.2">
      <c r="A103" s="2"/>
      <c r="B103" s="2"/>
      <c r="C103" s="5"/>
      <c r="D103" s="5"/>
      <c r="E103" s="5"/>
      <c r="F103" s="170"/>
      <c r="G103" s="170"/>
      <c r="H103" s="170"/>
      <c r="I103" s="170"/>
      <c r="J103" s="170"/>
      <c r="K103" s="170"/>
      <c r="L103" s="170"/>
      <c r="M103" s="170"/>
      <c r="N103" s="170"/>
      <c r="O103" s="170"/>
      <c r="P103" s="170"/>
      <c r="Q103" s="11"/>
      <c r="R103" s="11"/>
      <c r="S103" s="11"/>
      <c r="T103" s="11"/>
      <c r="U103" s="2"/>
      <c r="V103" s="4"/>
      <c r="W103" s="4" t="str">
        <f>IF(B103="","",IF(COUNTIF(CODE_MASTER_AS!A:A,B103)&gt;0,"OK","CHECK AS CODE"))</f>
        <v/>
      </c>
      <c r="X103" s="3" t="str">
        <f>IF(B103="","",_xludf.XLOOKUP(B103,CODE_MASTER_AS!A:A,CODE_MASTER_AS!E:E,""))</f>
        <v/>
      </c>
      <c r="Y103" s="3" t="str">
        <f>IF(B103="","",_xludf.XLOOKUP(B103,CODE_MASTER_AS!A:A,CODE_MASTER_AS!F:F,""))</f>
        <v/>
      </c>
      <c r="Z103" s="3" t="str">
        <f>IF(B103="","",_xludf.XLOOKUP(B103,CODE_MASTER_AS!A:A,CODE_MASTER_AS!G:G,""))</f>
        <v/>
      </c>
      <c r="AA103" s="3" t="str">
        <f>IF(B103="","",_xludf.XLOOKUP(B103,CODE_MASTER_AS!A:A,CODE_MASTER_AS!H:H,""))</f>
        <v/>
      </c>
      <c r="AB103" s="2"/>
    </row>
    <row r="104" spans="1:28" x14ac:dyDescent="0.2">
      <c r="A104" s="2"/>
      <c r="B104" s="2"/>
      <c r="C104" s="5"/>
      <c r="D104" s="5"/>
      <c r="E104" s="5"/>
      <c r="F104" s="170"/>
      <c r="G104" s="170"/>
      <c r="H104" s="170"/>
      <c r="I104" s="170"/>
      <c r="J104" s="170"/>
      <c r="K104" s="170"/>
      <c r="L104" s="170"/>
      <c r="M104" s="170"/>
      <c r="N104" s="170"/>
      <c r="O104" s="170"/>
      <c r="P104" s="170"/>
      <c r="Q104" s="11"/>
      <c r="R104" s="11"/>
      <c r="S104" s="11"/>
      <c r="T104" s="11"/>
      <c r="U104" s="2"/>
      <c r="V104" s="4"/>
      <c r="W104" s="4" t="str">
        <f>IF(B104="","",IF(COUNTIF(CODE_MASTER_AS!A:A,B104)&gt;0,"OK","CHECK AS CODE"))</f>
        <v/>
      </c>
      <c r="X104" s="3" t="str">
        <f>IF(B104="","",_xludf.XLOOKUP(B104,CODE_MASTER_AS!A:A,CODE_MASTER_AS!E:E,""))</f>
        <v/>
      </c>
      <c r="Y104" s="3" t="str">
        <f>IF(B104="","",_xludf.XLOOKUP(B104,CODE_MASTER_AS!A:A,CODE_MASTER_AS!F:F,""))</f>
        <v/>
      </c>
      <c r="Z104" s="3" t="str">
        <f>IF(B104="","",_xludf.XLOOKUP(B104,CODE_MASTER_AS!A:A,CODE_MASTER_AS!G:G,""))</f>
        <v/>
      </c>
      <c r="AA104" s="3" t="str">
        <f>IF(B104="","",_xludf.XLOOKUP(B104,CODE_MASTER_AS!A:A,CODE_MASTER_AS!H:H,""))</f>
        <v/>
      </c>
      <c r="AB104" s="2"/>
    </row>
    <row r="105" spans="1:28" x14ac:dyDescent="0.2">
      <c r="A105" s="2"/>
      <c r="B105" s="2"/>
      <c r="C105" s="5"/>
      <c r="D105" s="5"/>
      <c r="E105" s="5"/>
      <c r="F105" s="170"/>
      <c r="G105" s="170"/>
      <c r="H105" s="170"/>
      <c r="I105" s="170"/>
      <c r="J105" s="170"/>
      <c r="K105" s="170"/>
      <c r="L105" s="170"/>
      <c r="M105" s="170"/>
      <c r="N105" s="170"/>
      <c r="O105" s="170"/>
      <c r="P105" s="170"/>
      <c r="Q105" s="11"/>
      <c r="R105" s="11"/>
      <c r="S105" s="11"/>
      <c r="T105" s="11"/>
      <c r="U105" s="2"/>
      <c r="V105" s="4"/>
      <c r="W105" s="4" t="str">
        <f>IF(B105="","",IF(COUNTIF(CODE_MASTER_AS!A:A,B105)&gt;0,"OK","CHECK AS CODE"))</f>
        <v/>
      </c>
      <c r="X105" s="3" t="str">
        <f>IF(B105="","",_xludf.XLOOKUP(B105,CODE_MASTER_AS!A:A,CODE_MASTER_AS!E:E,""))</f>
        <v/>
      </c>
      <c r="Y105" s="3" t="str">
        <f>IF(B105="","",_xludf.XLOOKUP(B105,CODE_MASTER_AS!A:A,CODE_MASTER_AS!F:F,""))</f>
        <v/>
      </c>
      <c r="Z105" s="3" t="str">
        <f>IF(B105="","",_xludf.XLOOKUP(B105,CODE_MASTER_AS!A:A,CODE_MASTER_AS!G:G,""))</f>
        <v/>
      </c>
      <c r="AA105" s="3" t="str">
        <f>IF(B105="","",_xludf.XLOOKUP(B105,CODE_MASTER_AS!A:A,CODE_MASTER_AS!H:H,""))</f>
        <v/>
      </c>
      <c r="AB105" s="2"/>
    </row>
    <row r="106" spans="1:28" x14ac:dyDescent="0.2">
      <c r="A106" s="2"/>
      <c r="B106" s="2"/>
      <c r="C106" s="5"/>
      <c r="D106" s="5"/>
      <c r="E106" s="5"/>
      <c r="F106" s="170"/>
      <c r="G106" s="170"/>
      <c r="H106" s="170"/>
      <c r="I106" s="170"/>
      <c r="J106" s="170"/>
      <c r="K106" s="170"/>
      <c r="L106" s="170"/>
      <c r="M106" s="170"/>
      <c r="N106" s="170"/>
      <c r="O106" s="170"/>
      <c r="P106" s="170"/>
      <c r="Q106" s="11"/>
      <c r="R106" s="11"/>
      <c r="S106" s="11"/>
      <c r="T106" s="11"/>
      <c r="U106" s="2"/>
      <c r="V106" s="4"/>
      <c r="W106" s="4" t="str">
        <f>IF(B106="","",IF(COUNTIF(CODE_MASTER_AS!A:A,B106)&gt;0,"OK","CHECK AS CODE"))</f>
        <v/>
      </c>
      <c r="X106" s="3" t="str">
        <f>IF(B106="","",_xludf.XLOOKUP(B106,CODE_MASTER_AS!A:A,CODE_MASTER_AS!E:E,""))</f>
        <v/>
      </c>
      <c r="Y106" s="3" t="str">
        <f>IF(B106="","",_xludf.XLOOKUP(B106,CODE_MASTER_AS!A:A,CODE_MASTER_AS!F:F,""))</f>
        <v/>
      </c>
      <c r="Z106" s="3" t="str">
        <f>IF(B106="","",_xludf.XLOOKUP(B106,CODE_MASTER_AS!A:A,CODE_MASTER_AS!G:G,""))</f>
        <v/>
      </c>
      <c r="AA106" s="3" t="str">
        <f>IF(B106="","",_xludf.XLOOKUP(B106,CODE_MASTER_AS!A:A,CODE_MASTER_AS!H:H,""))</f>
        <v/>
      </c>
      <c r="AB106" s="2"/>
    </row>
    <row r="107" spans="1:28" x14ac:dyDescent="0.2">
      <c r="A107" s="2"/>
      <c r="B107" s="2"/>
      <c r="C107" s="5"/>
      <c r="D107" s="5"/>
      <c r="E107" s="5"/>
      <c r="F107" s="170"/>
      <c r="G107" s="170"/>
      <c r="H107" s="170"/>
      <c r="I107" s="170"/>
      <c r="J107" s="170"/>
      <c r="K107" s="170"/>
      <c r="L107" s="170"/>
      <c r="M107" s="170"/>
      <c r="N107" s="170"/>
      <c r="O107" s="170"/>
      <c r="P107" s="170"/>
      <c r="Q107" s="11"/>
      <c r="R107" s="11"/>
      <c r="S107" s="11"/>
      <c r="T107" s="11"/>
      <c r="U107" s="2"/>
      <c r="V107" s="4"/>
      <c r="W107" s="4" t="str">
        <f>IF(B107="","",IF(COUNTIF(CODE_MASTER_AS!A:A,B107)&gt;0,"OK","CHECK AS CODE"))</f>
        <v/>
      </c>
      <c r="X107" s="3" t="str">
        <f>IF(B107="","",_xludf.XLOOKUP(B107,CODE_MASTER_AS!A:A,CODE_MASTER_AS!E:E,""))</f>
        <v/>
      </c>
      <c r="Y107" s="3" t="str">
        <f>IF(B107="","",_xludf.XLOOKUP(B107,CODE_MASTER_AS!A:A,CODE_MASTER_AS!F:F,""))</f>
        <v/>
      </c>
      <c r="Z107" s="3" t="str">
        <f>IF(B107="","",_xludf.XLOOKUP(B107,CODE_MASTER_AS!A:A,CODE_MASTER_AS!G:G,""))</f>
        <v/>
      </c>
      <c r="AA107" s="3" t="str">
        <f>IF(B107="","",_xludf.XLOOKUP(B107,CODE_MASTER_AS!A:A,CODE_MASTER_AS!H:H,""))</f>
        <v/>
      </c>
      <c r="AB107" s="2"/>
    </row>
    <row r="108" spans="1:28" x14ac:dyDescent="0.2">
      <c r="A108" s="2"/>
      <c r="B108" s="2"/>
      <c r="C108" s="5"/>
      <c r="D108" s="5"/>
      <c r="E108" s="5"/>
      <c r="F108" s="170"/>
      <c r="G108" s="170"/>
      <c r="H108" s="170"/>
      <c r="I108" s="170"/>
      <c r="J108" s="170"/>
      <c r="K108" s="170"/>
      <c r="L108" s="170"/>
      <c r="M108" s="170"/>
      <c r="N108" s="170"/>
      <c r="O108" s="170"/>
      <c r="P108" s="170"/>
      <c r="Q108" s="11"/>
      <c r="R108" s="11"/>
      <c r="S108" s="11"/>
      <c r="T108" s="11"/>
      <c r="U108" s="2"/>
      <c r="V108" s="4"/>
      <c r="W108" s="4" t="str">
        <f>IF(B108="","",IF(COUNTIF(CODE_MASTER_AS!A:A,B108)&gt;0,"OK","CHECK AS CODE"))</f>
        <v/>
      </c>
      <c r="X108" s="3" t="str">
        <f>IF(B108="","",_xludf.XLOOKUP(B108,CODE_MASTER_AS!A:A,CODE_MASTER_AS!E:E,""))</f>
        <v/>
      </c>
      <c r="Y108" s="3" t="str">
        <f>IF(B108="","",_xludf.XLOOKUP(B108,CODE_MASTER_AS!A:A,CODE_MASTER_AS!F:F,""))</f>
        <v/>
      </c>
      <c r="Z108" s="3" t="str">
        <f>IF(B108="","",_xludf.XLOOKUP(B108,CODE_MASTER_AS!A:A,CODE_MASTER_AS!G:G,""))</f>
        <v/>
      </c>
      <c r="AA108" s="3" t="str">
        <f>IF(B108="","",_xludf.XLOOKUP(B108,CODE_MASTER_AS!A:A,CODE_MASTER_AS!H:H,""))</f>
        <v/>
      </c>
      <c r="AB108" s="2"/>
    </row>
    <row r="109" spans="1:28" x14ac:dyDescent="0.2">
      <c r="A109" s="2"/>
      <c r="B109" s="2"/>
      <c r="C109" s="5"/>
      <c r="D109" s="5"/>
      <c r="E109" s="5"/>
      <c r="F109" s="170"/>
      <c r="G109" s="170"/>
      <c r="H109" s="170"/>
      <c r="I109" s="170"/>
      <c r="J109" s="170"/>
      <c r="K109" s="170"/>
      <c r="L109" s="170"/>
      <c r="M109" s="170"/>
      <c r="N109" s="170"/>
      <c r="O109" s="170"/>
      <c r="P109" s="170"/>
      <c r="Q109" s="11"/>
      <c r="R109" s="11"/>
      <c r="S109" s="11"/>
      <c r="T109" s="11"/>
      <c r="U109" s="2"/>
      <c r="V109" s="4"/>
      <c r="W109" s="4" t="str">
        <f>IF(B109="","",IF(COUNTIF(CODE_MASTER_AS!A:A,B109)&gt;0,"OK","CHECK AS CODE"))</f>
        <v/>
      </c>
      <c r="X109" s="3" t="str">
        <f>IF(B109="","",_xludf.XLOOKUP(B109,CODE_MASTER_AS!A:A,CODE_MASTER_AS!E:E,""))</f>
        <v/>
      </c>
      <c r="Y109" s="3" t="str">
        <f>IF(B109="","",_xludf.XLOOKUP(B109,CODE_MASTER_AS!A:A,CODE_MASTER_AS!F:F,""))</f>
        <v/>
      </c>
      <c r="Z109" s="3" t="str">
        <f>IF(B109="","",_xludf.XLOOKUP(B109,CODE_MASTER_AS!A:A,CODE_MASTER_AS!G:G,""))</f>
        <v/>
      </c>
      <c r="AA109" s="3" t="str">
        <f>IF(B109="","",_xludf.XLOOKUP(B109,CODE_MASTER_AS!A:A,CODE_MASTER_AS!H:H,""))</f>
        <v/>
      </c>
      <c r="AB109" s="2"/>
    </row>
    <row r="110" spans="1:28" x14ac:dyDescent="0.2">
      <c r="A110" s="2"/>
      <c r="B110" s="2"/>
      <c r="C110" s="5"/>
      <c r="D110" s="5"/>
      <c r="E110" s="5"/>
      <c r="F110" s="170"/>
      <c r="G110" s="170"/>
      <c r="H110" s="170"/>
      <c r="I110" s="170"/>
      <c r="J110" s="170"/>
      <c r="K110" s="170"/>
      <c r="L110" s="170"/>
      <c r="M110" s="170"/>
      <c r="N110" s="170"/>
      <c r="O110" s="170"/>
      <c r="P110" s="170"/>
      <c r="Q110" s="11"/>
      <c r="R110" s="11"/>
      <c r="S110" s="11"/>
      <c r="T110" s="11"/>
      <c r="U110" s="2"/>
      <c r="V110" s="4"/>
      <c r="W110" s="4" t="str">
        <f>IF(B110="","",IF(COUNTIF(CODE_MASTER_AS!A:A,B110)&gt;0,"OK","CHECK AS CODE"))</f>
        <v/>
      </c>
      <c r="X110" s="3" t="str">
        <f>IF(B110="","",_xludf.XLOOKUP(B110,CODE_MASTER_AS!A:A,CODE_MASTER_AS!E:E,""))</f>
        <v/>
      </c>
      <c r="Y110" s="3" t="str">
        <f>IF(B110="","",_xludf.XLOOKUP(B110,CODE_MASTER_AS!A:A,CODE_MASTER_AS!F:F,""))</f>
        <v/>
      </c>
      <c r="Z110" s="3" t="str">
        <f>IF(B110="","",_xludf.XLOOKUP(B110,CODE_MASTER_AS!A:A,CODE_MASTER_AS!G:G,""))</f>
        <v/>
      </c>
      <c r="AA110" s="3" t="str">
        <f>IF(B110="","",_xludf.XLOOKUP(B110,CODE_MASTER_AS!A:A,CODE_MASTER_AS!H:H,""))</f>
        <v/>
      </c>
      <c r="AB110" s="2"/>
    </row>
    <row r="111" spans="1:28" x14ac:dyDescent="0.2">
      <c r="A111" s="2"/>
      <c r="B111" s="2"/>
      <c r="C111" s="5"/>
      <c r="D111" s="5"/>
      <c r="E111" s="5"/>
      <c r="F111" s="170"/>
      <c r="G111" s="170"/>
      <c r="H111" s="170"/>
      <c r="I111" s="170"/>
      <c r="J111" s="170"/>
      <c r="K111" s="170"/>
      <c r="L111" s="170"/>
      <c r="M111" s="170"/>
      <c r="N111" s="170"/>
      <c r="O111" s="170"/>
      <c r="P111" s="170"/>
      <c r="Q111" s="11"/>
      <c r="R111" s="11"/>
      <c r="S111" s="11"/>
      <c r="T111" s="11"/>
      <c r="U111" s="2"/>
      <c r="V111" s="4"/>
      <c r="W111" s="4" t="str">
        <f>IF(B111="","",IF(COUNTIF(CODE_MASTER_AS!A:A,B111)&gt;0,"OK","CHECK AS CODE"))</f>
        <v/>
      </c>
      <c r="X111" s="3" t="str">
        <f>IF(B111="","",_xludf.XLOOKUP(B111,CODE_MASTER_AS!A:A,CODE_MASTER_AS!E:E,""))</f>
        <v/>
      </c>
      <c r="Y111" s="3" t="str">
        <f>IF(B111="","",_xludf.XLOOKUP(B111,CODE_MASTER_AS!A:A,CODE_MASTER_AS!F:F,""))</f>
        <v/>
      </c>
      <c r="Z111" s="3" t="str">
        <f>IF(B111="","",_xludf.XLOOKUP(B111,CODE_MASTER_AS!A:A,CODE_MASTER_AS!G:G,""))</f>
        <v/>
      </c>
      <c r="AA111" s="3" t="str">
        <f>IF(B111="","",_xludf.XLOOKUP(B111,CODE_MASTER_AS!A:A,CODE_MASTER_AS!H:H,""))</f>
        <v/>
      </c>
      <c r="AB111" s="2"/>
    </row>
    <row r="112" spans="1:28" x14ac:dyDescent="0.2">
      <c r="A112" s="2"/>
      <c r="B112" s="2"/>
      <c r="C112" s="5"/>
      <c r="D112" s="5"/>
      <c r="E112" s="5"/>
      <c r="F112" s="170"/>
      <c r="G112" s="170"/>
      <c r="H112" s="170"/>
      <c r="I112" s="170"/>
      <c r="J112" s="170"/>
      <c r="K112" s="170"/>
      <c r="L112" s="170"/>
      <c r="M112" s="170"/>
      <c r="N112" s="170"/>
      <c r="O112" s="170"/>
      <c r="P112" s="170"/>
      <c r="Q112" s="11"/>
      <c r="R112" s="11"/>
      <c r="S112" s="11"/>
      <c r="T112" s="11"/>
      <c r="U112" s="2"/>
      <c r="V112" s="4"/>
      <c r="W112" s="4" t="str">
        <f>IF(B112="","",IF(COUNTIF(CODE_MASTER_AS!A:A,B112)&gt;0,"OK","CHECK AS CODE"))</f>
        <v/>
      </c>
      <c r="X112" s="3" t="str">
        <f>IF(B112="","",_xludf.XLOOKUP(B112,CODE_MASTER_AS!A:A,CODE_MASTER_AS!E:E,""))</f>
        <v/>
      </c>
      <c r="Y112" s="3" t="str">
        <f>IF(B112="","",_xludf.XLOOKUP(B112,CODE_MASTER_AS!A:A,CODE_MASTER_AS!F:F,""))</f>
        <v/>
      </c>
      <c r="Z112" s="3" t="str">
        <f>IF(B112="","",_xludf.XLOOKUP(B112,CODE_MASTER_AS!A:A,CODE_MASTER_AS!G:G,""))</f>
        <v/>
      </c>
      <c r="AA112" s="3" t="str">
        <f>IF(B112="","",_xludf.XLOOKUP(B112,CODE_MASTER_AS!A:A,CODE_MASTER_AS!H:H,""))</f>
        <v/>
      </c>
      <c r="AB112" s="2"/>
    </row>
    <row r="113" spans="1:28" x14ac:dyDescent="0.2">
      <c r="A113" s="2"/>
      <c r="B113" s="2"/>
      <c r="C113" s="5"/>
      <c r="D113" s="5"/>
      <c r="E113" s="5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1"/>
      <c r="R113" s="11"/>
      <c r="S113" s="11"/>
      <c r="T113" s="11"/>
      <c r="U113" s="2"/>
      <c r="V113" s="4"/>
      <c r="W113" s="4" t="str">
        <f>IF(B113="","",IF(COUNTIF(CODE_MASTER_AS!A:A,B113)&gt;0,"OK","CHECK AS CODE"))</f>
        <v/>
      </c>
      <c r="X113" s="3" t="str">
        <f>IF(B113="","",_xludf.XLOOKUP(B113,CODE_MASTER_AS!A:A,CODE_MASTER_AS!E:E,""))</f>
        <v/>
      </c>
      <c r="Y113" s="3" t="str">
        <f>IF(B113="","",_xludf.XLOOKUP(B113,CODE_MASTER_AS!A:A,CODE_MASTER_AS!F:F,""))</f>
        <v/>
      </c>
      <c r="Z113" s="3" t="str">
        <f>IF(B113="","",_xludf.XLOOKUP(B113,CODE_MASTER_AS!A:A,CODE_MASTER_AS!G:G,""))</f>
        <v/>
      </c>
      <c r="AA113" s="3" t="str">
        <f>IF(B113="","",_xludf.XLOOKUP(B113,CODE_MASTER_AS!A:A,CODE_MASTER_AS!H:H,""))</f>
        <v/>
      </c>
      <c r="AB113" s="2"/>
    </row>
    <row r="114" spans="1:28" x14ac:dyDescent="0.2">
      <c r="A114" s="2"/>
      <c r="B114" s="2"/>
      <c r="C114" s="5"/>
      <c r="D114" s="5"/>
      <c r="E114" s="5"/>
      <c r="F114" s="170"/>
      <c r="G114" s="170"/>
      <c r="H114" s="170"/>
      <c r="I114" s="170"/>
      <c r="J114" s="170"/>
      <c r="K114" s="170"/>
      <c r="L114" s="170"/>
      <c r="M114" s="170"/>
      <c r="N114" s="170"/>
      <c r="O114" s="170"/>
      <c r="P114" s="170"/>
      <c r="Q114" s="11"/>
      <c r="R114" s="11"/>
      <c r="S114" s="11"/>
      <c r="T114" s="11"/>
      <c r="U114" s="2"/>
      <c r="V114" s="4"/>
      <c r="W114" s="4" t="str">
        <f>IF(B114="","",IF(COUNTIF(CODE_MASTER_AS!A:A,B114)&gt;0,"OK","CHECK AS CODE"))</f>
        <v/>
      </c>
      <c r="X114" s="3" t="str">
        <f>IF(B114="","",_xludf.XLOOKUP(B114,CODE_MASTER_AS!A:A,CODE_MASTER_AS!E:E,""))</f>
        <v/>
      </c>
      <c r="Y114" s="3" t="str">
        <f>IF(B114="","",_xludf.XLOOKUP(B114,CODE_MASTER_AS!A:A,CODE_MASTER_AS!F:F,""))</f>
        <v/>
      </c>
      <c r="Z114" s="3" t="str">
        <f>IF(B114="","",_xludf.XLOOKUP(B114,CODE_MASTER_AS!A:A,CODE_MASTER_AS!G:G,""))</f>
        <v/>
      </c>
      <c r="AA114" s="3" t="str">
        <f>IF(B114="","",_xludf.XLOOKUP(B114,CODE_MASTER_AS!A:A,CODE_MASTER_AS!H:H,""))</f>
        <v/>
      </c>
      <c r="AB114" s="2"/>
    </row>
    <row r="115" spans="1:28" x14ac:dyDescent="0.2">
      <c r="A115" s="2"/>
      <c r="B115" s="2"/>
      <c r="C115" s="5"/>
      <c r="D115" s="5"/>
      <c r="E115" s="5"/>
      <c r="F115" s="170"/>
      <c r="G115" s="170"/>
      <c r="H115" s="170"/>
      <c r="I115" s="170"/>
      <c r="J115" s="170"/>
      <c r="K115" s="170"/>
      <c r="L115" s="170"/>
      <c r="M115" s="170"/>
      <c r="N115" s="170"/>
      <c r="O115" s="170"/>
      <c r="P115" s="170"/>
      <c r="Q115" s="11"/>
      <c r="R115" s="11"/>
      <c r="S115" s="11"/>
      <c r="T115" s="11"/>
      <c r="U115" s="2"/>
      <c r="V115" s="4"/>
      <c r="W115" s="4" t="str">
        <f>IF(B115="","",IF(COUNTIF(CODE_MASTER_AS!A:A,B115)&gt;0,"OK","CHECK AS CODE"))</f>
        <v/>
      </c>
      <c r="X115" s="3" t="str">
        <f>IF(B115="","",_xludf.XLOOKUP(B115,CODE_MASTER_AS!A:A,CODE_MASTER_AS!E:E,""))</f>
        <v/>
      </c>
      <c r="Y115" s="3" t="str">
        <f>IF(B115="","",_xludf.XLOOKUP(B115,CODE_MASTER_AS!A:A,CODE_MASTER_AS!F:F,""))</f>
        <v/>
      </c>
      <c r="Z115" s="3" t="str">
        <f>IF(B115="","",_xludf.XLOOKUP(B115,CODE_MASTER_AS!A:A,CODE_MASTER_AS!G:G,""))</f>
        <v/>
      </c>
      <c r="AA115" s="3" t="str">
        <f>IF(B115="","",_xludf.XLOOKUP(B115,CODE_MASTER_AS!A:A,CODE_MASTER_AS!H:H,""))</f>
        <v/>
      </c>
      <c r="AB115" s="2"/>
    </row>
    <row r="116" spans="1:28" x14ac:dyDescent="0.2">
      <c r="A116" s="2"/>
      <c r="B116" s="2"/>
      <c r="C116" s="5"/>
      <c r="D116" s="5"/>
      <c r="E116" s="5"/>
      <c r="F116" s="170"/>
      <c r="G116" s="170"/>
      <c r="H116" s="170"/>
      <c r="I116" s="170"/>
      <c r="J116" s="170"/>
      <c r="K116" s="170"/>
      <c r="L116" s="170"/>
      <c r="M116" s="170"/>
      <c r="N116" s="170"/>
      <c r="O116" s="170"/>
      <c r="P116" s="170"/>
      <c r="Q116" s="11"/>
      <c r="R116" s="11"/>
      <c r="S116" s="11"/>
      <c r="T116" s="11"/>
      <c r="U116" s="2"/>
      <c r="V116" s="4"/>
      <c r="W116" s="4" t="str">
        <f>IF(B116="","",IF(COUNTIF(CODE_MASTER_AS!A:A,B116)&gt;0,"OK","CHECK AS CODE"))</f>
        <v/>
      </c>
      <c r="X116" s="3" t="str">
        <f>IF(B116="","",_xludf.XLOOKUP(B116,CODE_MASTER_AS!A:A,CODE_MASTER_AS!E:E,""))</f>
        <v/>
      </c>
      <c r="Y116" s="3" t="str">
        <f>IF(B116="","",_xludf.XLOOKUP(B116,CODE_MASTER_AS!A:A,CODE_MASTER_AS!F:F,""))</f>
        <v/>
      </c>
      <c r="Z116" s="3" t="str">
        <f>IF(B116="","",_xludf.XLOOKUP(B116,CODE_MASTER_AS!A:A,CODE_MASTER_AS!G:G,""))</f>
        <v/>
      </c>
      <c r="AA116" s="3" t="str">
        <f>IF(B116="","",_xludf.XLOOKUP(B116,CODE_MASTER_AS!A:A,CODE_MASTER_AS!H:H,""))</f>
        <v/>
      </c>
      <c r="AB116" s="2"/>
    </row>
    <row r="117" spans="1:28" x14ac:dyDescent="0.2">
      <c r="A117" s="2"/>
      <c r="B117" s="2"/>
      <c r="C117" s="5"/>
      <c r="D117" s="5"/>
      <c r="E117" s="5"/>
      <c r="F117" s="170"/>
      <c r="G117" s="170"/>
      <c r="H117" s="170"/>
      <c r="I117" s="170"/>
      <c r="J117" s="170"/>
      <c r="K117" s="170"/>
      <c r="L117" s="170"/>
      <c r="M117" s="170"/>
      <c r="N117" s="170"/>
      <c r="O117" s="170"/>
      <c r="P117" s="170"/>
      <c r="Q117" s="11"/>
      <c r="R117" s="11"/>
      <c r="S117" s="11"/>
      <c r="T117" s="11"/>
      <c r="U117" s="2"/>
      <c r="V117" s="4"/>
      <c r="W117" s="4" t="str">
        <f>IF(B117="","",IF(COUNTIF(CODE_MASTER_AS!A:A,B117)&gt;0,"OK","CHECK AS CODE"))</f>
        <v/>
      </c>
      <c r="X117" s="3" t="str">
        <f>IF(B117="","",_xludf.XLOOKUP(B117,CODE_MASTER_AS!A:A,CODE_MASTER_AS!E:E,""))</f>
        <v/>
      </c>
      <c r="Y117" s="3" t="str">
        <f>IF(B117="","",_xludf.XLOOKUP(B117,CODE_MASTER_AS!A:A,CODE_MASTER_AS!F:F,""))</f>
        <v/>
      </c>
      <c r="Z117" s="3" t="str">
        <f>IF(B117="","",_xludf.XLOOKUP(B117,CODE_MASTER_AS!A:A,CODE_MASTER_AS!G:G,""))</f>
        <v/>
      </c>
      <c r="AA117" s="3" t="str">
        <f>IF(B117="","",_xludf.XLOOKUP(B117,CODE_MASTER_AS!A:A,CODE_MASTER_AS!H:H,""))</f>
        <v/>
      </c>
      <c r="AB117" s="2"/>
    </row>
    <row r="118" spans="1:28" x14ac:dyDescent="0.2">
      <c r="A118" s="2"/>
      <c r="B118" s="2"/>
      <c r="C118" s="5"/>
      <c r="D118" s="5"/>
      <c r="E118" s="5"/>
      <c r="F118" s="170"/>
      <c r="G118" s="170"/>
      <c r="H118" s="170"/>
      <c r="I118" s="170"/>
      <c r="J118" s="170"/>
      <c r="K118" s="170"/>
      <c r="L118" s="170"/>
      <c r="M118" s="170"/>
      <c r="N118" s="170"/>
      <c r="O118" s="170"/>
      <c r="P118" s="170"/>
      <c r="Q118" s="11"/>
      <c r="R118" s="11"/>
      <c r="S118" s="11"/>
      <c r="T118" s="11"/>
      <c r="U118" s="2"/>
      <c r="V118" s="4"/>
      <c r="W118" s="4" t="str">
        <f>IF(B118="","",IF(COUNTIF(CODE_MASTER_AS!A:A,B118)&gt;0,"OK","CHECK AS CODE"))</f>
        <v/>
      </c>
      <c r="X118" s="3" t="str">
        <f>IF(B118="","",_xludf.XLOOKUP(B118,CODE_MASTER_AS!A:A,CODE_MASTER_AS!E:E,""))</f>
        <v/>
      </c>
      <c r="Y118" s="3" t="str">
        <f>IF(B118="","",_xludf.XLOOKUP(B118,CODE_MASTER_AS!A:A,CODE_MASTER_AS!F:F,""))</f>
        <v/>
      </c>
      <c r="Z118" s="3" t="str">
        <f>IF(B118="","",_xludf.XLOOKUP(B118,CODE_MASTER_AS!A:A,CODE_MASTER_AS!G:G,""))</f>
        <v/>
      </c>
      <c r="AA118" s="3" t="str">
        <f>IF(B118="","",_xludf.XLOOKUP(B118,CODE_MASTER_AS!A:A,CODE_MASTER_AS!H:H,""))</f>
        <v/>
      </c>
      <c r="AB118" s="2"/>
    </row>
    <row r="119" spans="1:28" x14ac:dyDescent="0.2">
      <c r="A119" s="2"/>
      <c r="B119" s="2"/>
      <c r="C119" s="5"/>
      <c r="D119" s="5"/>
      <c r="E119" s="5"/>
      <c r="F119" s="170"/>
      <c r="G119" s="170"/>
      <c r="H119" s="170"/>
      <c r="I119" s="170"/>
      <c r="J119" s="170"/>
      <c r="K119" s="170"/>
      <c r="L119" s="170"/>
      <c r="M119" s="170"/>
      <c r="N119" s="170"/>
      <c r="O119" s="170"/>
      <c r="P119" s="170"/>
      <c r="Q119" s="11"/>
      <c r="R119" s="11"/>
      <c r="S119" s="11"/>
      <c r="T119" s="11"/>
      <c r="U119" s="2"/>
      <c r="V119" s="4"/>
      <c r="W119" s="4" t="str">
        <f>IF(B119="","",IF(COUNTIF(CODE_MASTER_AS!A:A,B119)&gt;0,"OK","CHECK AS CODE"))</f>
        <v/>
      </c>
      <c r="X119" s="3" t="str">
        <f>IF(B119="","",_xludf.XLOOKUP(B119,CODE_MASTER_AS!A:A,CODE_MASTER_AS!E:E,""))</f>
        <v/>
      </c>
      <c r="Y119" s="3" t="str">
        <f>IF(B119="","",_xludf.XLOOKUP(B119,CODE_MASTER_AS!A:A,CODE_MASTER_AS!F:F,""))</f>
        <v/>
      </c>
      <c r="Z119" s="3" t="str">
        <f>IF(B119="","",_xludf.XLOOKUP(B119,CODE_MASTER_AS!A:A,CODE_MASTER_AS!G:G,""))</f>
        <v/>
      </c>
      <c r="AA119" s="3" t="str">
        <f>IF(B119="","",_xludf.XLOOKUP(B119,CODE_MASTER_AS!A:A,CODE_MASTER_AS!H:H,""))</f>
        <v/>
      </c>
      <c r="AB119" s="2"/>
    </row>
    <row r="120" spans="1:28" x14ac:dyDescent="0.2">
      <c r="A120" s="2"/>
      <c r="B120" s="2"/>
      <c r="C120" s="5"/>
      <c r="D120" s="5"/>
      <c r="E120" s="5"/>
      <c r="F120" s="170"/>
      <c r="G120" s="170"/>
      <c r="H120" s="170"/>
      <c r="I120" s="170"/>
      <c r="J120" s="170"/>
      <c r="K120" s="170"/>
      <c r="L120" s="170"/>
      <c r="M120" s="170"/>
      <c r="N120" s="170"/>
      <c r="O120" s="170"/>
      <c r="P120" s="170"/>
      <c r="Q120" s="11"/>
      <c r="R120" s="11"/>
      <c r="S120" s="11"/>
      <c r="T120" s="11"/>
      <c r="U120" s="2"/>
      <c r="V120" s="4"/>
      <c r="W120" s="4" t="str">
        <f>IF(B120="","",IF(COUNTIF(CODE_MASTER_AS!A:A,B120)&gt;0,"OK","CHECK AS CODE"))</f>
        <v/>
      </c>
      <c r="X120" s="3" t="str">
        <f>IF(B120="","",_xludf.XLOOKUP(B120,CODE_MASTER_AS!A:A,CODE_MASTER_AS!E:E,""))</f>
        <v/>
      </c>
      <c r="Y120" s="3" t="str">
        <f>IF(B120="","",_xludf.XLOOKUP(B120,CODE_MASTER_AS!A:A,CODE_MASTER_AS!F:F,""))</f>
        <v/>
      </c>
      <c r="Z120" s="3" t="str">
        <f>IF(B120="","",_xludf.XLOOKUP(B120,CODE_MASTER_AS!A:A,CODE_MASTER_AS!G:G,""))</f>
        <v/>
      </c>
      <c r="AA120" s="3" t="str">
        <f>IF(B120="","",_xludf.XLOOKUP(B120,CODE_MASTER_AS!A:A,CODE_MASTER_AS!H:H,""))</f>
        <v/>
      </c>
      <c r="AB120" s="2"/>
    </row>
    <row r="121" spans="1:28" x14ac:dyDescent="0.2">
      <c r="A121" s="2"/>
      <c r="B121" s="2"/>
      <c r="C121" s="5"/>
      <c r="D121" s="5"/>
      <c r="E121" s="5"/>
      <c r="F121" s="170"/>
      <c r="G121" s="170"/>
      <c r="H121" s="170"/>
      <c r="I121" s="170"/>
      <c r="J121" s="170"/>
      <c r="K121" s="170"/>
      <c r="L121" s="170"/>
      <c r="M121" s="170"/>
      <c r="N121" s="170"/>
      <c r="O121" s="170"/>
      <c r="P121" s="170"/>
      <c r="Q121" s="11"/>
      <c r="R121" s="11"/>
      <c r="S121" s="11"/>
      <c r="T121" s="11"/>
      <c r="U121" s="2"/>
      <c r="V121" s="4"/>
      <c r="W121" s="4" t="str">
        <f>IF(B121="","",IF(COUNTIF(CODE_MASTER_AS!A:A,B121)&gt;0,"OK","CHECK AS CODE"))</f>
        <v/>
      </c>
      <c r="X121" s="3" t="str">
        <f>IF(B121="","",_xludf.XLOOKUP(B121,CODE_MASTER_AS!A:A,CODE_MASTER_AS!E:E,""))</f>
        <v/>
      </c>
      <c r="Y121" s="3" t="str">
        <f>IF(B121="","",_xludf.XLOOKUP(B121,CODE_MASTER_AS!A:A,CODE_MASTER_AS!F:F,""))</f>
        <v/>
      </c>
      <c r="Z121" s="3" t="str">
        <f>IF(B121="","",_xludf.XLOOKUP(B121,CODE_MASTER_AS!A:A,CODE_MASTER_AS!G:G,""))</f>
        <v/>
      </c>
      <c r="AA121" s="3" t="str">
        <f>IF(B121="","",_xludf.XLOOKUP(B121,CODE_MASTER_AS!A:A,CODE_MASTER_AS!H:H,""))</f>
        <v/>
      </c>
      <c r="AB121" s="2"/>
    </row>
    <row r="122" spans="1:28" x14ac:dyDescent="0.2">
      <c r="A122" s="2"/>
      <c r="B122" s="2"/>
      <c r="C122" s="5"/>
      <c r="D122" s="5"/>
      <c r="E122" s="5"/>
      <c r="F122" s="170"/>
      <c r="G122" s="170"/>
      <c r="H122" s="170"/>
      <c r="I122" s="170"/>
      <c r="J122" s="170"/>
      <c r="K122" s="170"/>
      <c r="L122" s="170"/>
      <c r="M122" s="170"/>
      <c r="N122" s="170"/>
      <c r="O122" s="170"/>
      <c r="P122" s="170"/>
      <c r="Q122" s="11"/>
      <c r="R122" s="11"/>
      <c r="S122" s="11"/>
      <c r="T122" s="11"/>
      <c r="U122" s="2"/>
      <c r="V122" s="4"/>
      <c r="W122" s="4" t="str">
        <f>IF(B122="","",IF(COUNTIF(CODE_MASTER_AS!A:A,B122)&gt;0,"OK","CHECK AS CODE"))</f>
        <v/>
      </c>
      <c r="X122" s="3" t="str">
        <f>IF(B122="","",_xludf.XLOOKUP(B122,CODE_MASTER_AS!A:A,CODE_MASTER_AS!E:E,""))</f>
        <v/>
      </c>
      <c r="Y122" s="3" t="str">
        <f>IF(B122="","",_xludf.XLOOKUP(B122,CODE_MASTER_AS!A:A,CODE_MASTER_AS!F:F,""))</f>
        <v/>
      </c>
      <c r="Z122" s="3" t="str">
        <f>IF(B122="","",_xludf.XLOOKUP(B122,CODE_MASTER_AS!A:A,CODE_MASTER_AS!G:G,""))</f>
        <v/>
      </c>
      <c r="AA122" s="3" t="str">
        <f>IF(B122="","",_xludf.XLOOKUP(B122,CODE_MASTER_AS!A:A,CODE_MASTER_AS!H:H,""))</f>
        <v/>
      </c>
      <c r="AB122" s="2"/>
    </row>
    <row r="123" spans="1:28" x14ac:dyDescent="0.2">
      <c r="A123" s="2"/>
      <c r="B123" s="2"/>
      <c r="C123" s="5"/>
      <c r="D123" s="5"/>
      <c r="E123" s="5"/>
      <c r="F123" s="170"/>
      <c r="G123" s="170"/>
      <c r="H123" s="170"/>
      <c r="I123" s="170"/>
      <c r="J123" s="170"/>
      <c r="K123" s="170"/>
      <c r="L123" s="170"/>
      <c r="M123" s="170"/>
      <c r="N123" s="170"/>
      <c r="O123" s="170"/>
      <c r="P123" s="170"/>
      <c r="Q123" s="11"/>
      <c r="R123" s="11"/>
      <c r="S123" s="11"/>
      <c r="T123" s="11"/>
      <c r="U123" s="2"/>
      <c r="V123" s="4"/>
      <c r="W123" s="4" t="str">
        <f>IF(B123="","",IF(COUNTIF(CODE_MASTER_AS!A:A,B123)&gt;0,"OK","CHECK AS CODE"))</f>
        <v/>
      </c>
      <c r="X123" s="3" t="str">
        <f>IF(B123="","",_xludf.XLOOKUP(B123,CODE_MASTER_AS!A:A,CODE_MASTER_AS!E:E,""))</f>
        <v/>
      </c>
      <c r="Y123" s="3" t="str">
        <f>IF(B123="","",_xludf.XLOOKUP(B123,CODE_MASTER_AS!A:A,CODE_MASTER_AS!F:F,""))</f>
        <v/>
      </c>
      <c r="Z123" s="3" t="str">
        <f>IF(B123="","",_xludf.XLOOKUP(B123,CODE_MASTER_AS!A:A,CODE_MASTER_AS!G:G,""))</f>
        <v/>
      </c>
      <c r="AA123" s="3" t="str">
        <f>IF(B123="","",_xludf.XLOOKUP(B123,CODE_MASTER_AS!A:A,CODE_MASTER_AS!H:H,""))</f>
        <v/>
      </c>
      <c r="AB123" s="2"/>
    </row>
    <row r="124" spans="1:28" x14ac:dyDescent="0.2">
      <c r="A124" s="2"/>
      <c r="B124" s="2"/>
      <c r="C124" s="5"/>
      <c r="D124" s="5"/>
      <c r="E124" s="5"/>
      <c r="F124" s="170"/>
      <c r="G124" s="170"/>
      <c r="H124" s="170"/>
      <c r="I124" s="170"/>
      <c r="J124" s="170"/>
      <c r="K124" s="170"/>
      <c r="L124" s="170"/>
      <c r="M124" s="170"/>
      <c r="N124" s="170"/>
      <c r="O124" s="170"/>
      <c r="P124" s="170"/>
      <c r="Q124" s="11"/>
      <c r="R124" s="11"/>
      <c r="S124" s="11"/>
      <c r="T124" s="11"/>
      <c r="U124" s="2"/>
      <c r="V124" s="4"/>
      <c r="W124" s="4" t="str">
        <f>IF(B124="","",IF(COUNTIF(CODE_MASTER_AS!A:A,B124)&gt;0,"OK","CHECK AS CODE"))</f>
        <v/>
      </c>
      <c r="X124" s="3" t="str">
        <f>IF(B124="","",_xludf.XLOOKUP(B124,CODE_MASTER_AS!A:A,CODE_MASTER_AS!E:E,""))</f>
        <v/>
      </c>
      <c r="Y124" s="3" t="str">
        <f>IF(B124="","",_xludf.XLOOKUP(B124,CODE_MASTER_AS!A:A,CODE_MASTER_AS!F:F,""))</f>
        <v/>
      </c>
      <c r="Z124" s="3" t="str">
        <f>IF(B124="","",_xludf.XLOOKUP(B124,CODE_MASTER_AS!A:A,CODE_MASTER_AS!G:G,""))</f>
        <v/>
      </c>
      <c r="AA124" s="3" t="str">
        <f>IF(B124="","",_xludf.XLOOKUP(B124,CODE_MASTER_AS!A:A,CODE_MASTER_AS!H:H,""))</f>
        <v/>
      </c>
      <c r="AB124" s="2"/>
    </row>
    <row r="125" spans="1:28" x14ac:dyDescent="0.2">
      <c r="A125" s="2"/>
      <c r="B125" s="2"/>
      <c r="C125" s="5"/>
      <c r="D125" s="5"/>
      <c r="E125" s="5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1"/>
      <c r="R125" s="11"/>
      <c r="S125" s="11"/>
      <c r="T125" s="11"/>
      <c r="U125" s="2"/>
      <c r="V125" s="4"/>
      <c r="W125" s="4" t="str">
        <f>IF(B125="","",IF(COUNTIF(CODE_MASTER_AS!A:A,B125)&gt;0,"OK","CHECK AS CODE"))</f>
        <v/>
      </c>
      <c r="X125" s="3" t="str">
        <f>IF(B125="","",_xludf.XLOOKUP(B125,CODE_MASTER_AS!A:A,CODE_MASTER_AS!E:E,""))</f>
        <v/>
      </c>
      <c r="Y125" s="3" t="str">
        <f>IF(B125="","",_xludf.XLOOKUP(B125,CODE_MASTER_AS!A:A,CODE_MASTER_AS!F:F,""))</f>
        <v/>
      </c>
      <c r="Z125" s="3" t="str">
        <f>IF(B125="","",_xludf.XLOOKUP(B125,CODE_MASTER_AS!A:A,CODE_MASTER_AS!G:G,""))</f>
        <v/>
      </c>
      <c r="AA125" s="3" t="str">
        <f>IF(B125="","",_xludf.XLOOKUP(B125,CODE_MASTER_AS!A:A,CODE_MASTER_AS!H:H,""))</f>
        <v/>
      </c>
      <c r="AB125" s="2"/>
    </row>
    <row r="126" spans="1:28" x14ac:dyDescent="0.2">
      <c r="A126" s="2"/>
      <c r="B126" s="2"/>
      <c r="C126" s="5"/>
      <c r="D126" s="5"/>
      <c r="E126" s="5"/>
      <c r="F126" s="170"/>
      <c r="G126" s="170"/>
      <c r="H126" s="170"/>
      <c r="I126" s="170"/>
      <c r="J126" s="170"/>
      <c r="K126" s="170"/>
      <c r="L126" s="170"/>
      <c r="M126" s="170"/>
      <c r="N126" s="170"/>
      <c r="O126" s="170"/>
      <c r="P126" s="170"/>
      <c r="Q126" s="11"/>
      <c r="R126" s="11"/>
      <c r="S126" s="11"/>
      <c r="T126" s="11"/>
      <c r="U126" s="2"/>
      <c r="V126" s="4"/>
      <c r="W126" s="4" t="str">
        <f>IF(B126="","",IF(COUNTIF(CODE_MASTER_AS!A:A,B126)&gt;0,"OK","CHECK AS CODE"))</f>
        <v/>
      </c>
      <c r="X126" s="3" t="str">
        <f>IF(B126="","",_xludf.XLOOKUP(B126,CODE_MASTER_AS!A:A,CODE_MASTER_AS!E:E,""))</f>
        <v/>
      </c>
      <c r="Y126" s="3" t="str">
        <f>IF(B126="","",_xludf.XLOOKUP(B126,CODE_MASTER_AS!A:A,CODE_MASTER_AS!F:F,""))</f>
        <v/>
      </c>
      <c r="Z126" s="3" t="str">
        <f>IF(B126="","",_xludf.XLOOKUP(B126,CODE_MASTER_AS!A:A,CODE_MASTER_AS!G:G,""))</f>
        <v/>
      </c>
      <c r="AA126" s="3" t="str">
        <f>IF(B126="","",_xludf.XLOOKUP(B126,CODE_MASTER_AS!A:A,CODE_MASTER_AS!H:H,""))</f>
        <v/>
      </c>
      <c r="AB126" s="2"/>
    </row>
    <row r="127" spans="1:28" x14ac:dyDescent="0.2">
      <c r="A127" s="2"/>
      <c r="B127" s="2"/>
      <c r="C127" s="5"/>
      <c r="D127" s="5"/>
      <c r="E127" s="5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1"/>
      <c r="R127" s="11"/>
      <c r="S127" s="11"/>
      <c r="T127" s="11"/>
      <c r="U127" s="2"/>
      <c r="V127" s="4"/>
      <c r="W127" s="4" t="str">
        <f>IF(B127="","",IF(COUNTIF(CODE_MASTER_AS!A:A,B127)&gt;0,"OK","CHECK AS CODE"))</f>
        <v/>
      </c>
      <c r="X127" s="3" t="str">
        <f>IF(B127="","",_xludf.XLOOKUP(B127,CODE_MASTER_AS!A:A,CODE_MASTER_AS!E:E,""))</f>
        <v/>
      </c>
      <c r="Y127" s="3" t="str">
        <f>IF(B127="","",_xludf.XLOOKUP(B127,CODE_MASTER_AS!A:A,CODE_MASTER_AS!F:F,""))</f>
        <v/>
      </c>
      <c r="Z127" s="3" t="str">
        <f>IF(B127="","",_xludf.XLOOKUP(B127,CODE_MASTER_AS!A:A,CODE_MASTER_AS!G:G,""))</f>
        <v/>
      </c>
      <c r="AA127" s="3" t="str">
        <f>IF(B127="","",_xludf.XLOOKUP(B127,CODE_MASTER_AS!A:A,CODE_MASTER_AS!H:H,""))</f>
        <v/>
      </c>
      <c r="AB127" s="2"/>
    </row>
    <row r="128" spans="1:28" x14ac:dyDescent="0.2">
      <c r="A128" s="2"/>
      <c r="B128" s="2"/>
      <c r="C128" s="5"/>
      <c r="D128" s="5"/>
      <c r="E128" s="5"/>
      <c r="F128" s="170"/>
      <c r="G128" s="170"/>
      <c r="H128" s="170"/>
      <c r="I128" s="170"/>
      <c r="J128" s="170"/>
      <c r="K128" s="170"/>
      <c r="L128" s="170"/>
      <c r="M128" s="170"/>
      <c r="N128" s="170"/>
      <c r="O128" s="170"/>
      <c r="P128" s="170"/>
      <c r="Q128" s="11"/>
      <c r="R128" s="11"/>
      <c r="S128" s="11"/>
      <c r="T128" s="11"/>
      <c r="U128" s="2"/>
      <c r="V128" s="4"/>
      <c r="W128" s="4" t="str">
        <f>IF(B128="","",IF(COUNTIF(CODE_MASTER_AS!A:A,B128)&gt;0,"OK","CHECK AS CODE"))</f>
        <v/>
      </c>
      <c r="X128" s="3" t="str">
        <f>IF(B128="","",_xludf.XLOOKUP(B128,CODE_MASTER_AS!A:A,CODE_MASTER_AS!E:E,""))</f>
        <v/>
      </c>
      <c r="Y128" s="3" t="str">
        <f>IF(B128="","",_xludf.XLOOKUP(B128,CODE_MASTER_AS!A:A,CODE_MASTER_AS!F:F,""))</f>
        <v/>
      </c>
      <c r="Z128" s="3" t="str">
        <f>IF(B128="","",_xludf.XLOOKUP(B128,CODE_MASTER_AS!A:A,CODE_MASTER_AS!G:G,""))</f>
        <v/>
      </c>
      <c r="AA128" s="3" t="str">
        <f>IF(B128="","",_xludf.XLOOKUP(B128,CODE_MASTER_AS!A:A,CODE_MASTER_AS!H:H,""))</f>
        <v/>
      </c>
      <c r="AB128" s="2"/>
    </row>
    <row r="129" spans="1:28" x14ac:dyDescent="0.2">
      <c r="A129" s="2"/>
      <c r="B129" s="2"/>
      <c r="C129" s="5"/>
      <c r="D129" s="5"/>
      <c r="E129" s="5"/>
      <c r="F129" s="170"/>
      <c r="G129" s="170"/>
      <c r="H129" s="170"/>
      <c r="I129" s="170"/>
      <c r="J129" s="170"/>
      <c r="K129" s="170"/>
      <c r="L129" s="170"/>
      <c r="M129" s="170"/>
      <c r="N129" s="170"/>
      <c r="O129" s="170"/>
      <c r="P129" s="170"/>
      <c r="Q129" s="11"/>
      <c r="R129" s="11"/>
      <c r="S129" s="11"/>
      <c r="T129" s="11"/>
      <c r="U129" s="2"/>
      <c r="V129" s="4"/>
      <c r="W129" s="4" t="str">
        <f>IF(B129="","",IF(COUNTIF(CODE_MASTER_AS!A:A,B129)&gt;0,"OK","CHECK AS CODE"))</f>
        <v/>
      </c>
      <c r="X129" s="3" t="str">
        <f>IF(B129="","",_xludf.XLOOKUP(B129,CODE_MASTER_AS!A:A,CODE_MASTER_AS!E:E,""))</f>
        <v/>
      </c>
      <c r="Y129" s="3" t="str">
        <f>IF(B129="","",_xludf.XLOOKUP(B129,CODE_MASTER_AS!A:A,CODE_MASTER_AS!F:F,""))</f>
        <v/>
      </c>
      <c r="Z129" s="3" t="str">
        <f>IF(B129="","",_xludf.XLOOKUP(B129,CODE_MASTER_AS!A:A,CODE_MASTER_AS!G:G,""))</f>
        <v/>
      </c>
      <c r="AA129" s="3" t="str">
        <f>IF(B129="","",_xludf.XLOOKUP(B129,CODE_MASTER_AS!A:A,CODE_MASTER_AS!H:H,""))</f>
        <v/>
      </c>
      <c r="AB129" s="2"/>
    </row>
    <row r="130" spans="1:28" x14ac:dyDescent="0.2">
      <c r="A130" s="2"/>
      <c r="B130" s="2"/>
      <c r="C130" s="5"/>
      <c r="D130" s="5"/>
      <c r="E130" s="5"/>
      <c r="F130" s="170"/>
      <c r="G130" s="170"/>
      <c r="H130" s="170"/>
      <c r="I130" s="170"/>
      <c r="J130" s="170"/>
      <c r="K130" s="170"/>
      <c r="L130" s="170"/>
      <c r="M130" s="170"/>
      <c r="N130" s="170"/>
      <c r="O130" s="170"/>
      <c r="P130" s="170"/>
      <c r="Q130" s="11"/>
      <c r="R130" s="11"/>
      <c r="S130" s="11"/>
      <c r="T130" s="11"/>
      <c r="U130" s="2"/>
      <c r="V130" s="4"/>
      <c r="W130" s="4" t="str">
        <f>IF(B130="","",IF(COUNTIF(CODE_MASTER_AS!A:A,B130)&gt;0,"OK","CHECK AS CODE"))</f>
        <v/>
      </c>
      <c r="X130" s="3" t="str">
        <f>IF(B130="","",_xludf.XLOOKUP(B130,CODE_MASTER_AS!A:A,CODE_MASTER_AS!E:E,""))</f>
        <v/>
      </c>
      <c r="Y130" s="3" t="str">
        <f>IF(B130="","",_xludf.XLOOKUP(B130,CODE_MASTER_AS!A:A,CODE_MASTER_AS!F:F,""))</f>
        <v/>
      </c>
      <c r="Z130" s="3" t="str">
        <f>IF(B130="","",_xludf.XLOOKUP(B130,CODE_MASTER_AS!A:A,CODE_MASTER_AS!G:G,""))</f>
        <v/>
      </c>
      <c r="AA130" s="3" t="str">
        <f>IF(B130="","",_xludf.XLOOKUP(B130,CODE_MASTER_AS!A:A,CODE_MASTER_AS!H:H,""))</f>
        <v/>
      </c>
      <c r="AB130" s="2"/>
    </row>
    <row r="131" spans="1:28" x14ac:dyDescent="0.2">
      <c r="A131" s="2"/>
      <c r="B131" s="2"/>
      <c r="C131" s="5"/>
      <c r="D131" s="5"/>
      <c r="E131" s="5"/>
      <c r="F131" s="170"/>
      <c r="G131" s="170"/>
      <c r="H131" s="170"/>
      <c r="I131" s="170"/>
      <c r="J131" s="170"/>
      <c r="K131" s="170"/>
      <c r="L131" s="170"/>
      <c r="M131" s="170"/>
      <c r="N131" s="170"/>
      <c r="O131" s="170"/>
      <c r="P131" s="170"/>
      <c r="Q131" s="11"/>
      <c r="R131" s="11"/>
      <c r="S131" s="11"/>
      <c r="T131" s="11"/>
      <c r="U131" s="2"/>
      <c r="V131" s="4"/>
      <c r="W131" s="4" t="str">
        <f>IF(B131="","",IF(COUNTIF(CODE_MASTER_AS!A:A,B131)&gt;0,"OK","CHECK AS CODE"))</f>
        <v/>
      </c>
      <c r="X131" s="3" t="str">
        <f>IF(B131="","",_xludf.XLOOKUP(B131,CODE_MASTER_AS!A:A,CODE_MASTER_AS!E:E,""))</f>
        <v/>
      </c>
      <c r="Y131" s="3" t="str">
        <f>IF(B131="","",_xludf.XLOOKUP(B131,CODE_MASTER_AS!A:A,CODE_MASTER_AS!F:F,""))</f>
        <v/>
      </c>
      <c r="Z131" s="3" t="str">
        <f>IF(B131="","",_xludf.XLOOKUP(B131,CODE_MASTER_AS!A:A,CODE_MASTER_AS!G:G,""))</f>
        <v/>
      </c>
      <c r="AA131" s="3" t="str">
        <f>IF(B131="","",_xludf.XLOOKUP(B131,CODE_MASTER_AS!A:A,CODE_MASTER_AS!H:H,""))</f>
        <v/>
      </c>
      <c r="AB131" s="2"/>
    </row>
    <row r="132" spans="1:28" x14ac:dyDescent="0.2">
      <c r="A132" s="2"/>
      <c r="B132" s="2"/>
      <c r="C132" s="5"/>
      <c r="D132" s="5"/>
      <c r="E132" s="5"/>
      <c r="F132" s="170"/>
      <c r="G132" s="170"/>
      <c r="H132" s="170"/>
      <c r="I132" s="170"/>
      <c r="J132" s="170"/>
      <c r="K132" s="170"/>
      <c r="L132" s="170"/>
      <c r="M132" s="170"/>
      <c r="N132" s="170"/>
      <c r="O132" s="170"/>
      <c r="P132" s="170"/>
      <c r="Q132" s="11"/>
      <c r="R132" s="11"/>
      <c r="S132" s="11"/>
      <c r="T132" s="11"/>
      <c r="U132" s="2"/>
      <c r="V132" s="4"/>
      <c r="W132" s="4" t="str">
        <f>IF(B132="","",IF(COUNTIF(CODE_MASTER_AS!A:A,B132)&gt;0,"OK","CHECK AS CODE"))</f>
        <v/>
      </c>
      <c r="X132" s="3" t="str">
        <f>IF(B132="","",_xludf.XLOOKUP(B132,CODE_MASTER_AS!A:A,CODE_MASTER_AS!E:E,""))</f>
        <v/>
      </c>
      <c r="Y132" s="3" t="str">
        <f>IF(B132="","",_xludf.XLOOKUP(B132,CODE_MASTER_AS!A:A,CODE_MASTER_AS!F:F,""))</f>
        <v/>
      </c>
      <c r="Z132" s="3" t="str">
        <f>IF(B132="","",_xludf.XLOOKUP(B132,CODE_MASTER_AS!A:A,CODE_MASTER_AS!G:G,""))</f>
        <v/>
      </c>
      <c r="AA132" s="3" t="str">
        <f>IF(B132="","",_xludf.XLOOKUP(B132,CODE_MASTER_AS!A:A,CODE_MASTER_AS!H:H,""))</f>
        <v/>
      </c>
      <c r="AB132" s="2"/>
    </row>
    <row r="133" spans="1:28" x14ac:dyDescent="0.2">
      <c r="A133" s="2"/>
      <c r="B133" s="2"/>
      <c r="C133" s="5"/>
      <c r="D133" s="5"/>
      <c r="E133" s="5"/>
      <c r="F133" s="170"/>
      <c r="G133" s="170"/>
      <c r="H133" s="170"/>
      <c r="I133" s="170"/>
      <c r="J133" s="170"/>
      <c r="K133" s="170"/>
      <c r="L133" s="170"/>
      <c r="M133" s="170"/>
      <c r="N133" s="170"/>
      <c r="O133" s="170"/>
      <c r="P133" s="170"/>
      <c r="Q133" s="11"/>
      <c r="R133" s="11"/>
      <c r="S133" s="11"/>
      <c r="T133" s="11"/>
      <c r="U133" s="2"/>
      <c r="V133" s="4"/>
      <c r="W133" s="4" t="str">
        <f>IF(B133="","",IF(COUNTIF(CODE_MASTER_AS!A:A,B133)&gt;0,"OK","CHECK AS CODE"))</f>
        <v/>
      </c>
      <c r="X133" s="3" t="str">
        <f>IF(B133="","",_xludf.XLOOKUP(B133,CODE_MASTER_AS!A:A,CODE_MASTER_AS!E:E,""))</f>
        <v/>
      </c>
      <c r="Y133" s="3" t="str">
        <f>IF(B133="","",_xludf.XLOOKUP(B133,CODE_MASTER_AS!A:A,CODE_MASTER_AS!F:F,""))</f>
        <v/>
      </c>
      <c r="Z133" s="3" t="str">
        <f>IF(B133="","",_xludf.XLOOKUP(B133,CODE_MASTER_AS!A:A,CODE_MASTER_AS!G:G,""))</f>
        <v/>
      </c>
      <c r="AA133" s="3" t="str">
        <f>IF(B133="","",_xludf.XLOOKUP(B133,CODE_MASTER_AS!A:A,CODE_MASTER_AS!H:H,""))</f>
        <v/>
      </c>
      <c r="AB133" s="2"/>
    </row>
    <row r="134" spans="1:28" x14ac:dyDescent="0.2">
      <c r="A134" s="2"/>
      <c r="B134" s="2"/>
      <c r="C134" s="5"/>
      <c r="D134" s="5"/>
      <c r="E134" s="5"/>
      <c r="F134" s="170"/>
      <c r="G134" s="170"/>
      <c r="H134" s="170"/>
      <c r="I134" s="170"/>
      <c r="J134" s="170"/>
      <c r="K134" s="170"/>
      <c r="L134" s="170"/>
      <c r="M134" s="170"/>
      <c r="N134" s="170"/>
      <c r="O134" s="170"/>
      <c r="P134" s="170"/>
      <c r="Q134" s="11"/>
      <c r="R134" s="11"/>
      <c r="S134" s="11"/>
      <c r="T134" s="11"/>
      <c r="U134" s="2"/>
      <c r="V134" s="4"/>
      <c r="W134" s="4" t="str">
        <f>IF(B134="","",IF(COUNTIF(CODE_MASTER_AS!A:A,B134)&gt;0,"OK","CHECK AS CODE"))</f>
        <v/>
      </c>
      <c r="X134" s="3" t="str">
        <f>IF(B134="","",_xludf.XLOOKUP(B134,CODE_MASTER_AS!A:A,CODE_MASTER_AS!E:E,""))</f>
        <v/>
      </c>
      <c r="Y134" s="3" t="str">
        <f>IF(B134="","",_xludf.XLOOKUP(B134,CODE_MASTER_AS!A:A,CODE_MASTER_AS!F:F,""))</f>
        <v/>
      </c>
      <c r="Z134" s="3" t="str">
        <f>IF(B134="","",_xludf.XLOOKUP(B134,CODE_MASTER_AS!A:A,CODE_MASTER_AS!G:G,""))</f>
        <v/>
      </c>
      <c r="AA134" s="3" t="str">
        <f>IF(B134="","",_xludf.XLOOKUP(B134,CODE_MASTER_AS!A:A,CODE_MASTER_AS!H:H,""))</f>
        <v/>
      </c>
      <c r="AB134" s="2"/>
    </row>
    <row r="135" spans="1:28" x14ac:dyDescent="0.2">
      <c r="A135" s="2"/>
      <c r="B135" s="2"/>
      <c r="C135" s="5"/>
      <c r="D135" s="5"/>
      <c r="E135" s="5"/>
      <c r="F135" s="170"/>
      <c r="G135" s="170"/>
      <c r="H135" s="170"/>
      <c r="I135" s="170"/>
      <c r="J135" s="170"/>
      <c r="K135" s="170"/>
      <c r="L135" s="170"/>
      <c r="M135" s="170"/>
      <c r="N135" s="170"/>
      <c r="O135" s="170"/>
      <c r="P135" s="170"/>
      <c r="Q135" s="11"/>
      <c r="R135" s="11"/>
      <c r="S135" s="11"/>
      <c r="T135" s="11"/>
      <c r="U135" s="2"/>
      <c r="V135" s="4"/>
      <c r="W135" s="4" t="str">
        <f>IF(B135="","",IF(COUNTIF(CODE_MASTER_AS!A:A,B135)&gt;0,"OK","CHECK AS CODE"))</f>
        <v/>
      </c>
      <c r="X135" s="3" t="str">
        <f>IF(B135="","",_xludf.XLOOKUP(B135,CODE_MASTER_AS!A:A,CODE_MASTER_AS!E:E,""))</f>
        <v/>
      </c>
      <c r="Y135" s="3" t="str">
        <f>IF(B135="","",_xludf.XLOOKUP(B135,CODE_MASTER_AS!A:A,CODE_MASTER_AS!F:F,""))</f>
        <v/>
      </c>
      <c r="Z135" s="3" t="str">
        <f>IF(B135="","",_xludf.XLOOKUP(B135,CODE_MASTER_AS!A:A,CODE_MASTER_AS!G:G,""))</f>
        <v/>
      </c>
      <c r="AA135" s="3" t="str">
        <f>IF(B135="","",_xludf.XLOOKUP(B135,CODE_MASTER_AS!A:A,CODE_MASTER_AS!H:H,""))</f>
        <v/>
      </c>
      <c r="AB135" s="2"/>
    </row>
    <row r="136" spans="1:28" x14ac:dyDescent="0.2">
      <c r="A136" s="2"/>
      <c r="B136" s="2"/>
      <c r="C136" s="5"/>
      <c r="D136" s="5"/>
      <c r="E136" s="5"/>
      <c r="F136" s="170"/>
      <c r="G136" s="170"/>
      <c r="H136" s="170"/>
      <c r="I136" s="170"/>
      <c r="J136" s="170"/>
      <c r="K136" s="170"/>
      <c r="L136" s="170"/>
      <c r="M136" s="170"/>
      <c r="N136" s="170"/>
      <c r="O136" s="170"/>
      <c r="P136" s="170"/>
      <c r="Q136" s="11"/>
      <c r="R136" s="11"/>
      <c r="S136" s="11"/>
      <c r="T136" s="11"/>
      <c r="U136" s="2"/>
      <c r="V136" s="4"/>
      <c r="W136" s="4" t="str">
        <f>IF(B136="","",IF(COUNTIF(CODE_MASTER_AS!A:A,B136)&gt;0,"OK","CHECK AS CODE"))</f>
        <v/>
      </c>
      <c r="X136" s="3" t="str">
        <f>IF(B136="","",_xludf.XLOOKUP(B136,CODE_MASTER_AS!A:A,CODE_MASTER_AS!E:E,""))</f>
        <v/>
      </c>
      <c r="Y136" s="3" t="str">
        <f>IF(B136="","",_xludf.XLOOKUP(B136,CODE_MASTER_AS!A:A,CODE_MASTER_AS!F:F,""))</f>
        <v/>
      </c>
      <c r="Z136" s="3" t="str">
        <f>IF(B136="","",_xludf.XLOOKUP(B136,CODE_MASTER_AS!A:A,CODE_MASTER_AS!G:G,""))</f>
        <v/>
      </c>
      <c r="AA136" s="3" t="str">
        <f>IF(B136="","",_xludf.XLOOKUP(B136,CODE_MASTER_AS!A:A,CODE_MASTER_AS!H:H,""))</f>
        <v/>
      </c>
      <c r="AB136" s="2"/>
    </row>
    <row r="137" spans="1:28" x14ac:dyDescent="0.2">
      <c r="A137" s="2"/>
      <c r="B137" s="2"/>
      <c r="C137" s="5"/>
      <c r="D137" s="5"/>
      <c r="E137" s="5"/>
      <c r="F137" s="170"/>
      <c r="G137" s="170"/>
      <c r="H137" s="170"/>
      <c r="I137" s="170"/>
      <c r="J137" s="170"/>
      <c r="K137" s="170"/>
      <c r="L137" s="170"/>
      <c r="M137" s="170"/>
      <c r="N137" s="170"/>
      <c r="O137" s="170"/>
      <c r="P137" s="170"/>
      <c r="Q137" s="11"/>
      <c r="R137" s="11"/>
      <c r="S137" s="11"/>
      <c r="T137" s="11"/>
      <c r="U137" s="2"/>
      <c r="V137" s="4"/>
      <c r="W137" s="4" t="str">
        <f>IF(B137="","",IF(COUNTIF(CODE_MASTER_AS!A:A,B137)&gt;0,"OK","CHECK AS CODE"))</f>
        <v/>
      </c>
      <c r="X137" s="3" t="str">
        <f>IF(B137="","",_xludf.XLOOKUP(B137,CODE_MASTER_AS!A:A,CODE_MASTER_AS!E:E,""))</f>
        <v/>
      </c>
      <c r="Y137" s="3" t="str">
        <f>IF(B137="","",_xludf.XLOOKUP(B137,CODE_MASTER_AS!A:A,CODE_MASTER_AS!F:F,""))</f>
        <v/>
      </c>
      <c r="Z137" s="3" t="str">
        <f>IF(B137="","",_xludf.XLOOKUP(B137,CODE_MASTER_AS!A:A,CODE_MASTER_AS!G:G,""))</f>
        <v/>
      </c>
      <c r="AA137" s="3" t="str">
        <f>IF(B137="","",_xludf.XLOOKUP(B137,CODE_MASTER_AS!A:A,CODE_MASTER_AS!H:H,""))</f>
        <v/>
      </c>
      <c r="AB137" s="2"/>
    </row>
    <row r="138" spans="1:28" x14ac:dyDescent="0.2">
      <c r="A138" s="2"/>
      <c r="B138" s="2"/>
      <c r="C138" s="5"/>
      <c r="D138" s="5"/>
      <c r="E138" s="5"/>
      <c r="F138" s="170"/>
      <c r="G138" s="170"/>
      <c r="H138" s="170"/>
      <c r="I138" s="170"/>
      <c r="J138" s="170"/>
      <c r="K138" s="170"/>
      <c r="L138" s="170"/>
      <c r="M138" s="170"/>
      <c r="N138" s="170"/>
      <c r="O138" s="170"/>
      <c r="P138" s="170"/>
      <c r="Q138" s="11"/>
      <c r="R138" s="11"/>
      <c r="S138" s="11"/>
      <c r="T138" s="11"/>
      <c r="U138" s="2"/>
      <c r="V138" s="4"/>
      <c r="W138" s="4" t="str">
        <f>IF(B138="","",IF(COUNTIF(CODE_MASTER_AS!A:A,B138)&gt;0,"OK","CHECK AS CODE"))</f>
        <v/>
      </c>
      <c r="X138" s="3" t="str">
        <f>IF(B138="","",_xludf.XLOOKUP(B138,CODE_MASTER_AS!A:A,CODE_MASTER_AS!E:E,""))</f>
        <v/>
      </c>
      <c r="Y138" s="3" t="str">
        <f>IF(B138="","",_xludf.XLOOKUP(B138,CODE_MASTER_AS!A:A,CODE_MASTER_AS!F:F,""))</f>
        <v/>
      </c>
      <c r="Z138" s="3" t="str">
        <f>IF(B138="","",_xludf.XLOOKUP(B138,CODE_MASTER_AS!A:A,CODE_MASTER_AS!G:G,""))</f>
        <v/>
      </c>
      <c r="AA138" s="3" t="str">
        <f>IF(B138="","",_xludf.XLOOKUP(B138,CODE_MASTER_AS!A:A,CODE_MASTER_AS!H:H,""))</f>
        <v/>
      </c>
      <c r="AB138" s="2"/>
    </row>
    <row r="139" spans="1:28" x14ac:dyDescent="0.2">
      <c r="A139" s="2"/>
      <c r="B139" s="2"/>
      <c r="C139" s="5"/>
      <c r="D139" s="5"/>
      <c r="E139" s="5"/>
      <c r="F139" s="170"/>
      <c r="G139" s="170"/>
      <c r="H139" s="170"/>
      <c r="I139" s="170"/>
      <c r="J139" s="170"/>
      <c r="K139" s="170"/>
      <c r="L139" s="170"/>
      <c r="M139" s="170"/>
      <c r="N139" s="170"/>
      <c r="O139" s="170"/>
      <c r="P139" s="170"/>
      <c r="Q139" s="11"/>
      <c r="R139" s="11"/>
      <c r="S139" s="11"/>
      <c r="T139" s="11"/>
      <c r="U139" s="2"/>
      <c r="V139" s="4"/>
      <c r="W139" s="4" t="str">
        <f>IF(B139="","",IF(COUNTIF(CODE_MASTER_AS!A:A,B139)&gt;0,"OK","CHECK AS CODE"))</f>
        <v/>
      </c>
      <c r="X139" s="3" t="str">
        <f>IF(B139="","",_xludf.XLOOKUP(B139,CODE_MASTER_AS!A:A,CODE_MASTER_AS!E:E,""))</f>
        <v/>
      </c>
      <c r="Y139" s="3" t="str">
        <f>IF(B139="","",_xludf.XLOOKUP(B139,CODE_MASTER_AS!A:A,CODE_MASTER_AS!F:F,""))</f>
        <v/>
      </c>
      <c r="Z139" s="3" t="str">
        <f>IF(B139="","",_xludf.XLOOKUP(B139,CODE_MASTER_AS!A:A,CODE_MASTER_AS!G:G,""))</f>
        <v/>
      </c>
      <c r="AA139" s="3" t="str">
        <f>IF(B139="","",_xludf.XLOOKUP(B139,CODE_MASTER_AS!A:A,CODE_MASTER_AS!H:H,""))</f>
        <v/>
      </c>
      <c r="AB139" s="2"/>
    </row>
    <row r="140" spans="1:28" x14ac:dyDescent="0.2">
      <c r="A140" s="2"/>
      <c r="B140" s="2"/>
      <c r="C140" s="5"/>
      <c r="D140" s="5"/>
      <c r="E140" s="5"/>
      <c r="F140" s="170"/>
      <c r="G140" s="170"/>
      <c r="H140" s="170"/>
      <c r="I140" s="170"/>
      <c r="J140" s="170"/>
      <c r="K140" s="170"/>
      <c r="L140" s="170"/>
      <c r="M140" s="170"/>
      <c r="N140" s="170"/>
      <c r="O140" s="170"/>
      <c r="P140" s="170"/>
      <c r="Q140" s="11"/>
      <c r="R140" s="11"/>
      <c r="S140" s="11"/>
      <c r="T140" s="11"/>
      <c r="U140" s="2"/>
      <c r="V140" s="4"/>
      <c r="W140" s="4" t="str">
        <f>IF(B140="","",IF(COUNTIF(CODE_MASTER_AS!A:A,B140)&gt;0,"OK","CHECK AS CODE"))</f>
        <v/>
      </c>
      <c r="X140" s="3" t="str">
        <f>IF(B140="","",_xludf.XLOOKUP(B140,CODE_MASTER_AS!A:A,CODE_MASTER_AS!E:E,""))</f>
        <v/>
      </c>
      <c r="Y140" s="3" t="str">
        <f>IF(B140="","",_xludf.XLOOKUP(B140,CODE_MASTER_AS!A:A,CODE_MASTER_AS!F:F,""))</f>
        <v/>
      </c>
      <c r="Z140" s="3" t="str">
        <f>IF(B140="","",_xludf.XLOOKUP(B140,CODE_MASTER_AS!A:A,CODE_MASTER_AS!G:G,""))</f>
        <v/>
      </c>
      <c r="AA140" s="3" t="str">
        <f>IF(B140="","",_xludf.XLOOKUP(B140,CODE_MASTER_AS!A:A,CODE_MASTER_AS!H:H,""))</f>
        <v/>
      </c>
      <c r="AB140" s="2"/>
    </row>
    <row r="141" spans="1:28" x14ac:dyDescent="0.2">
      <c r="A141" s="2"/>
      <c r="B141" s="2"/>
      <c r="C141" s="5"/>
      <c r="D141" s="5"/>
      <c r="E141" s="5"/>
      <c r="F141" s="170"/>
      <c r="G141" s="170"/>
      <c r="H141" s="170"/>
      <c r="I141" s="170"/>
      <c r="J141" s="170"/>
      <c r="K141" s="170"/>
      <c r="L141" s="170"/>
      <c r="M141" s="170"/>
      <c r="N141" s="170"/>
      <c r="O141" s="170"/>
      <c r="P141" s="170"/>
      <c r="Q141" s="11"/>
      <c r="R141" s="11"/>
      <c r="S141" s="11"/>
      <c r="T141" s="11"/>
      <c r="U141" s="2"/>
      <c r="V141" s="4"/>
      <c r="W141" s="4" t="str">
        <f>IF(B141="","",IF(COUNTIF(CODE_MASTER_AS!A:A,B141)&gt;0,"OK","CHECK AS CODE"))</f>
        <v/>
      </c>
      <c r="X141" s="3" t="str">
        <f>IF(B141="","",_xludf.XLOOKUP(B141,CODE_MASTER_AS!A:A,CODE_MASTER_AS!E:E,""))</f>
        <v/>
      </c>
      <c r="Y141" s="3" t="str">
        <f>IF(B141="","",_xludf.XLOOKUP(B141,CODE_MASTER_AS!A:A,CODE_MASTER_AS!F:F,""))</f>
        <v/>
      </c>
      <c r="Z141" s="3" t="str">
        <f>IF(B141="","",_xludf.XLOOKUP(B141,CODE_MASTER_AS!A:A,CODE_MASTER_AS!G:G,""))</f>
        <v/>
      </c>
      <c r="AA141" s="3" t="str">
        <f>IF(B141="","",_xludf.XLOOKUP(B141,CODE_MASTER_AS!A:A,CODE_MASTER_AS!H:H,""))</f>
        <v/>
      </c>
      <c r="AB141" s="2"/>
    </row>
    <row r="142" spans="1:28" x14ac:dyDescent="0.2">
      <c r="A142" s="2"/>
      <c r="B142" s="2"/>
      <c r="C142" s="5"/>
      <c r="D142" s="5"/>
      <c r="E142" s="5"/>
      <c r="F142" s="170"/>
      <c r="G142" s="170"/>
      <c r="H142" s="170"/>
      <c r="I142" s="170"/>
      <c r="J142" s="170"/>
      <c r="K142" s="170"/>
      <c r="L142" s="170"/>
      <c r="M142" s="170"/>
      <c r="N142" s="170"/>
      <c r="O142" s="170"/>
      <c r="P142" s="170"/>
      <c r="Q142" s="11"/>
      <c r="R142" s="11"/>
      <c r="S142" s="11"/>
      <c r="T142" s="11"/>
      <c r="U142" s="2"/>
      <c r="V142" s="4"/>
      <c r="W142" s="4" t="str">
        <f>IF(B142="","",IF(COUNTIF(CODE_MASTER_AS!A:A,B142)&gt;0,"OK","CHECK AS CODE"))</f>
        <v/>
      </c>
      <c r="X142" s="3" t="str">
        <f>IF(B142="","",_xludf.XLOOKUP(B142,CODE_MASTER_AS!A:A,CODE_MASTER_AS!E:E,""))</f>
        <v/>
      </c>
      <c r="Y142" s="3" t="str">
        <f>IF(B142="","",_xludf.XLOOKUP(B142,CODE_MASTER_AS!A:A,CODE_MASTER_AS!F:F,""))</f>
        <v/>
      </c>
      <c r="Z142" s="3" t="str">
        <f>IF(B142="","",_xludf.XLOOKUP(B142,CODE_MASTER_AS!A:A,CODE_MASTER_AS!G:G,""))</f>
        <v/>
      </c>
      <c r="AA142" s="3" t="str">
        <f>IF(B142="","",_xludf.XLOOKUP(B142,CODE_MASTER_AS!A:A,CODE_MASTER_AS!H:H,""))</f>
        <v/>
      </c>
      <c r="AB142" s="2"/>
    </row>
    <row r="143" spans="1:28" x14ac:dyDescent="0.2">
      <c r="A143" s="2"/>
      <c r="B143" s="2"/>
      <c r="C143" s="5"/>
      <c r="D143" s="5"/>
      <c r="E143" s="5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1"/>
      <c r="R143" s="11"/>
      <c r="S143" s="11"/>
      <c r="T143" s="11"/>
      <c r="U143" s="2"/>
      <c r="V143" s="4"/>
      <c r="W143" s="4" t="str">
        <f>IF(B143="","",IF(COUNTIF(CODE_MASTER_AS!A:A,B143)&gt;0,"OK","CHECK AS CODE"))</f>
        <v/>
      </c>
      <c r="X143" s="3" t="str">
        <f>IF(B143="","",_xludf.XLOOKUP(B143,CODE_MASTER_AS!A:A,CODE_MASTER_AS!E:E,""))</f>
        <v/>
      </c>
      <c r="Y143" s="3" t="str">
        <f>IF(B143="","",_xludf.XLOOKUP(B143,CODE_MASTER_AS!A:A,CODE_MASTER_AS!F:F,""))</f>
        <v/>
      </c>
      <c r="Z143" s="3" t="str">
        <f>IF(B143="","",_xludf.XLOOKUP(B143,CODE_MASTER_AS!A:A,CODE_MASTER_AS!G:G,""))</f>
        <v/>
      </c>
      <c r="AA143" s="3" t="str">
        <f>IF(B143="","",_xludf.XLOOKUP(B143,CODE_MASTER_AS!A:A,CODE_MASTER_AS!H:H,""))</f>
        <v/>
      </c>
      <c r="AB143" s="2"/>
    </row>
    <row r="144" spans="1:28" x14ac:dyDescent="0.2">
      <c r="A144" s="2"/>
      <c r="B144" s="2"/>
      <c r="C144" s="5"/>
      <c r="D144" s="5"/>
      <c r="E144" s="5"/>
      <c r="F144" s="170"/>
      <c r="G144" s="170"/>
      <c r="H144" s="170"/>
      <c r="I144" s="170"/>
      <c r="J144" s="170"/>
      <c r="K144" s="170"/>
      <c r="L144" s="170"/>
      <c r="M144" s="170"/>
      <c r="N144" s="170"/>
      <c r="O144" s="170"/>
      <c r="P144" s="170"/>
      <c r="Q144" s="11"/>
      <c r="R144" s="11"/>
      <c r="S144" s="11"/>
      <c r="T144" s="11"/>
      <c r="U144" s="2"/>
      <c r="V144" s="4"/>
      <c r="W144" s="4" t="str">
        <f>IF(B144="","",IF(COUNTIF(CODE_MASTER_AS!A:A,B144)&gt;0,"OK","CHECK AS CODE"))</f>
        <v/>
      </c>
      <c r="X144" s="3" t="str">
        <f>IF(B144="","",_xludf.XLOOKUP(B144,CODE_MASTER_AS!A:A,CODE_MASTER_AS!E:E,""))</f>
        <v/>
      </c>
      <c r="Y144" s="3" t="str">
        <f>IF(B144="","",_xludf.XLOOKUP(B144,CODE_MASTER_AS!A:A,CODE_MASTER_AS!F:F,""))</f>
        <v/>
      </c>
      <c r="Z144" s="3" t="str">
        <f>IF(B144="","",_xludf.XLOOKUP(B144,CODE_MASTER_AS!A:A,CODE_MASTER_AS!G:G,""))</f>
        <v/>
      </c>
      <c r="AA144" s="3" t="str">
        <f>IF(B144="","",_xludf.XLOOKUP(B144,CODE_MASTER_AS!A:A,CODE_MASTER_AS!H:H,""))</f>
        <v/>
      </c>
      <c r="AB144" s="2"/>
    </row>
    <row r="145" spans="1:28" x14ac:dyDescent="0.2">
      <c r="A145" s="2"/>
      <c r="B145" s="2"/>
      <c r="C145" s="5"/>
      <c r="D145" s="5"/>
      <c r="E145" s="5"/>
      <c r="F145" s="170"/>
      <c r="G145" s="170"/>
      <c r="H145" s="170"/>
      <c r="I145" s="170"/>
      <c r="J145" s="170"/>
      <c r="K145" s="170"/>
      <c r="L145" s="170"/>
      <c r="M145" s="170"/>
      <c r="N145" s="170"/>
      <c r="O145" s="170"/>
      <c r="P145" s="170"/>
      <c r="Q145" s="11"/>
      <c r="R145" s="11"/>
      <c r="S145" s="11"/>
      <c r="T145" s="11"/>
      <c r="U145" s="2"/>
      <c r="V145" s="4"/>
      <c r="W145" s="4" t="str">
        <f>IF(B145="","",IF(COUNTIF(CODE_MASTER_AS!A:A,B145)&gt;0,"OK","CHECK AS CODE"))</f>
        <v/>
      </c>
      <c r="X145" s="3" t="str">
        <f>IF(B145="","",_xludf.XLOOKUP(B145,CODE_MASTER_AS!A:A,CODE_MASTER_AS!E:E,""))</f>
        <v/>
      </c>
      <c r="Y145" s="3" t="str">
        <f>IF(B145="","",_xludf.XLOOKUP(B145,CODE_MASTER_AS!A:A,CODE_MASTER_AS!F:F,""))</f>
        <v/>
      </c>
      <c r="Z145" s="3" t="str">
        <f>IF(B145="","",_xludf.XLOOKUP(B145,CODE_MASTER_AS!A:A,CODE_MASTER_AS!G:G,""))</f>
        <v/>
      </c>
      <c r="AA145" s="3" t="str">
        <f>IF(B145="","",_xludf.XLOOKUP(B145,CODE_MASTER_AS!A:A,CODE_MASTER_AS!H:H,""))</f>
        <v/>
      </c>
      <c r="AB145" s="2"/>
    </row>
    <row r="146" spans="1:28" x14ac:dyDescent="0.2">
      <c r="A146" s="2"/>
      <c r="B146" s="2"/>
      <c r="C146" s="5"/>
      <c r="D146" s="5"/>
      <c r="E146" s="5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1"/>
      <c r="R146" s="11"/>
      <c r="S146" s="11"/>
      <c r="T146" s="11"/>
      <c r="U146" s="2"/>
      <c r="V146" s="4"/>
      <c r="W146" s="4" t="str">
        <f>IF(B146="","",IF(COUNTIF(CODE_MASTER_AS!A:A,B146)&gt;0,"OK","CHECK AS CODE"))</f>
        <v/>
      </c>
      <c r="X146" s="3" t="str">
        <f>IF(B146="","",_xludf.XLOOKUP(B146,CODE_MASTER_AS!A:A,CODE_MASTER_AS!E:E,""))</f>
        <v/>
      </c>
      <c r="Y146" s="3" t="str">
        <f>IF(B146="","",_xludf.XLOOKUP(B146,CODE_MASTER_AS!A:A,CODE_MASTER_AS!F:F,""))</f>
        <v/>
      </c>
      <c r="Z146" s="3" t="str">
        <f>IF(B146="","",_xludf.XLOOKUP(B146,CODE_MASTER_AS!A:A,CODE_MASTER_AS!G:G,""))</f>
        <v/>
      </c>
      <c r="AA146" s="3" t="str">
        <f>IF(B146="","",_xludf.XLOOKUP(B146,CODE_MASTER_AS!A:A,CODE_MASTER_AS!H:H,""))</f>
        <v/>
      </c>
      <c r="AB146" s="2"/>
    </row>
    <row r="147" spans="1:28" x14ac:dyDescent="0.2">
      <c r="A147" s="2"/>
      <c r="B147" s="2"/>
      <c r="C147" s="5"/>
      <c r="D147" s="5"/>
      <c r="E147" s="5"/>
      <c r="F147" s="170"/>
      <c r="G147" s="170"/>
      <c r="H147" s="170"/>
      <c r="I147" s="170"/>
      <c r="J147" s="170"/>
      <c r="K147" s="170"/>
      <c r="L147" s="170"/>
      <c r="M147" s="170"/>
      <c r="N147" s="170"/>
      <c r="O147" s="170"/>
      <c r="P147" s="170"/>
      <c r="Q147" s="11"/>
      <c r="R147" s="11"/>
      <c r="S147" s="11"/>
      <c r="T147" s="11"/>
      <c r="U147" s="2"/>
      <c r="V147" s="4"/>
      <c r="W147" s="4" t="str">
        <f>IF(B147="","",IF(COUNTIF(CODE_MASTER_AS!A:A,B147)&gt;0,"OK","CHECK AS CODE"))</f>
        <v/>
      </c>
      <c r="X147" s="3" t="str">
        <f>IF(B147="","",_xludf.XLOOKUP(B147,CODE_MASTER_AS!A:A,CODE_MASTER_AS!E:E,""))</f>
        <v/>
      </c>
      <c r="Y147" s="3" t="str">
        <f>IF(B147="","",_xludf.XLOOKUP(B147,CODE_MASTER_AS!A:A,CODE_MASTER_AS!F:F,""))</f>
        <v/>
      </c>
      <c r="Z147" s="3" t="str">
        <f>IF(B147="","",_xludf.XLOOKUP(B147,CODE_MASTER_AS!A:A,CODE_MASTER_AS!G:G,""))</f>
        <v/>
      </c>
      <c r="AA147" s="3" t="str">
        <f>IF(B147="","",_xludf.XLOOKUP(B147,CODE_MASTER_AS!A:A,CODE_MASTER_AS!H:H,""))</f>
        <v/>
      </c>
      <c r="AB147" s="2"/>
    </row>
    <row r="148" spans="1:28" x14ac:dyDescent="0.2">
      <c r="A148" s="2"/>
      <c r="B148" s="2"/>
      <c r="C148" s="5"/>
      <c r="D148" s="5"/>
      <c r="E148" s="5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1"/>
      <c r="R148" s="11"/>
      <c r="S148" s="11"/>
      <c r="T148" s="11"/>
      <c r="U148" s="2"/>
      <c r="V148" s="4"/>
      <c r="W148" s="4" t="str">
        <f>IF(B148="","",IF(COUNTIF(CODE_MASTER_AS!A:A,B148)&gt;0,"OK","CHECK AS CODE"))</f>
        <v/>
      </c>
      <c r="X148" s="3" t="str">
        <f>IF(B148="","",_xludf.XLOOKUP(B148,CODE_MASTER_AS!A:A,CODE_MASTER_AS!E:E,""))</f>
        <v/>
      </c>
      <c r="Y148" s="3" t="str">
        <f>IF(B148="","",_xludf.XLOOKUP(B148,CODE_MASTER_AS!A:A,CODE_MASTER_AS!F:F,""))</f>
        <v/>
      </c>
      <c r="Z148" s="3" t="str">
        <f>IF(B148="","",_xludf.XLOOKUP(B148,CODE_MASTER_AS!A:A,CODE_MASTER_AS!G:G,""))</f>
        <v/>
      </c>
      <c r="AA148" s="3" t="str">
        <f>IF(B148="","",_xludf.XLOOKUP(B148,CODE_MASTER_AS!A:A,CODE_MASTER_AS!H:H,""))</f>
        <v/>
      </c>
      <c r="AB148" s="2"/>
    </row>
    <row r="149" spans="1:28" x14ac:dyDescent="0.2">
      <c r="A149" s="2"/>
      <c r="B149" s="2"/>
      <c r="C149" s="5"/>
      <c r="D149" s="5"/>
      <c r="E149" s="5"/>
      <c r="F149" s="170"/>
      <c r="G149" s="170"/>
      <c r="H149" s="170"/>
      <c r="I149" s="170"/>
      <c r="J149" s="170"/>
      <c r="K149" s="170"/>
      <c r="L149" s="170"/>
      <c r="M149" s="170"/>
      <c r="N149" s="170"/>
      <c r="O149" s="170"/>
      <c r="P149" s="170"/>
      <c r="Q149" s="11"/>
      <c r="R149" s="11"/>
      <c r="S149" s="11"/>
      <c r="T149" s="11"/>
      <c r="U149" s="2"/>
      <c r="V149" s="4"/>
      <c r="W149" s="4" t="str">
        <f>IF(B149="","",IF(COUNTIF(CODE_MASTER_AS!A:A,B149)&gt;0,"OK","CHECK AS CODE"))</f>
        <v/>
      </c>
      <c r="X149" s="3" t="str">
        <f>IF(B149="","",_xludf.XLOOKUP(B149,CODE_MASTER_AS!A:A,CODE_MASTER_AS!E:E,""))</f>
        <v/>
      </c>
      <c r="Y149" s="3" t="str">
        <f>IF(B149="","",_xludf.XLOOKUP(B149,CODE_MASTER_AS!A:A,CODE_MASTER_AS!F:F,""))</f>
        <v/>
      </c>
      <c r="Z149" s="3" t="str">
        <f>IF(B149="","",_xludf.XLOOKUP(B149,CODE_MASTER_AS!A:A,CODE_MASTER_AS!G:G,""))</f>
        <v/>
      </c>
      <c r="AA149" s="3" t="str">
        <f>IF(B149="","",_xludf.XLOOKUP(B149,CODE_MASTER_AS!A:A,CODE_MASTER_AS!H:H,""))</f>
        <v/>
      </c>
      <c r="AB149" s="2"/>
    </row>
    <row r="150" spans="1:28" x14ac:dyDescent="0.2">
      <c r="A150" s="2"/>
      <c r="B150" s="2"/>
      <c r="C150" s="5"/>
      <c r="D150" s="5"/>
      <c r="E150" s="5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1"/>
      <c r="R150" s="11"/>
      <c r="S150" s="11"/>
      <c r="T150" s="11"/>
      <c r="U150" s="2"/>
      <c r="V150" s="4"/>
      <c r="W150" s="4" t="str">
        <f>IF(B150="","",IF(COUNTIF(CODE_MASTER_AS!A:A,B150)&gt;0,"OK","CHECK AS CODE"))</f>
        <v/>
      </c>
      <c r="X150" s="3" t="str">
        <f>IF(B150="","",_xludf.XLOOKUP(B150,CODE_MASTER_AS!A:A,CODE_MASTER_AS!E:E,""))</f>
        <v/>
      </c>
      <c r="Y150" s="3" t="str">
        <f>IF(B150="","",_xludf.XLOOKUP(B150,CODE_MASTER_AS!A:A,CODE_MASTER_AS!F:F,""))</f>
        <v/>
      </c>
      <c r="Z150" s="3" t="str">
        <f>IF(B150="","",_xludf.XLOOKUP(B150,CODE_MASTER_AS!A:A,CODE_MASTER_AS!G:G,""))</f>
        <v/>
      </c>
      <c r="AA150" s="3" t="str">
        <f>IF(B150="","",_xludf.XLOOKUP(B150,CODE_MASTER_AS!A:A,CODE_MASTER_AS!H:H,""))</f>
        <v/>
      </c>
      <c r="AB150" s="2"/>
    </row>
    <row r="151" spans="1:28" x14ac:dyDescent="0.2">
      <c r="A151" s="2"/>
      <c r="B151" s="2"/>
      <c r="C151" s="5"/>
      <c r="D151" s="5"/>
      <c r="E151" s="5"/>
      <c r="F151" s="170"/>
      <c r="G151" s="170"/>
      <c r="H151" s="170"/>
      <c r="I151" s="170"/>
      <c r="J151" s="170"/>
      <c r="K151" s="170"/>
      <c r="L151" s="170"/>
      <c r="M151" s="170"/>
      <c r="N151" s="170"/>
      <c r="O151" s="170"/>
      <c r="P151" s="170"/>
      <c r="Q151" s="11"/>
      <c r="R151" s="11"/>
      <c r="S151" s="11"/>
      <c r="T151" s="11"/>
      <c r="U151" s="2"/>
      <c r="V151" s="4"/>
      <c r="W151" s="4" t="str">
        <f>IF(B151="","",IF(COUNTIF(CODE_MASTER_AS!A:A,B151)&gt;0,"OK","CHECK AS CODE"))</f>
        <v/>
      </c>
      <c r="X151" s="3" t="str">
        <f>IF(B151="","",_xludf.XLOOKUP(B151,CODE_MASTER_AS!A:A,CODE_MASTER_AS!E:E,""))</f>
        <v/>
      </c>
      <c r="Y151" s="3" t="str">
        <f>IF(B151="","",_xludf.XLOOKUP(B151,CODE_MASTER_AS!A:A,CODE_MASTER_AS!F:F,""))</f>
        <v/>
      </c>
      <c r="Z151" s="3" t="str">
        <f>IF(B151="","",_xludf.XLOOKUP(B151,CODE_MASTER_AS!A:A,CODE_MASTER_AS!G:G,""))</f>
        <v/>
      </c>
      <c r="AA151" s="3" t="str">
        <f>IF(B151="","",_xludf.XLOOKUP(B151,CODE_MASTER_AS!A:A,CODE_MASTER_AS!H:H,""))</f>
        <v/>
      </c>
      <c r="AB151" s="2"/>
    </row>
    <row r="152" spans="1:28" x14ac:dyDescent="0.2">
      <c r="A152" s="2"/>
      <c r="B152" s="2"/>
      <c r="C152" s="5"/>
      <c r="D152" s="5"/>
      <c r="E152" s="5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1"/>
      <c r="R152" s="11"/>
      <c r="S152" s="11"/>
      <c r="T152" s="11"/>
      <c r="U152" s="2"/>
      <c r="V152" s="4"/>
      <c r="W152" s="4" t="str">
        <f>IF(B152="","",IF(COUNTIF(CODE_MASTER_AS!A:A,B152)&gt;0,"OK","CHECK AS CODE"))</f>
        <v/>
      </c>
      <c r="X152" s="3" t="str">
        <f>IF(B152="","",_xludf.XLOOKUP(B152,CODE_MASTER_AS!A:A,CODE_MASTER_AS!E:E,""))</f>
        <v/>
      </c>
      <c r="Y152" s="3" t="str">
        <f>IF(B152="","",_xludf.XLOOKUP(B152,CODE_MASTER_AS!A:A,CODE_MASTER_AS!F:F,""))</f>
        <v/>
      </c>
      <c r="Z152" s="3" t="str">
        <f>IF(B152="","",_xludf.XLOOKUP(B152,CODE_MASTER_AS!A:A,CODE_MASTER_AS!G:G,""))</f>
        <v/>
      </c>
      <c r="AA152" s="3" t="str">
        <f>IF(B152="","",_xludf.XLOOKUP(B152,CODE_MASTER_AS!A:A,CODE_MASTER_AS!H:H,""))</f>
        <v/>
      </c>
      <c r="AB152" s="2"/>
    </row>
    <row r="153" spans="1:28" x14ac:dyDescent="0.2">
      <c r="A153" s="2"/>
      <c r="B153" s="2"/>
      <c r="C153" s="5"/>
      <c r="D153" s="5"/>
      <c r="E153" s="5"/>
      <c r="F153" s="170"/>
      <c r="G153" s="170"/>
      <c r="H153" s="170"/>
      <c r="I153" s="170"/>
      <c r="J153" s="170"/>
      <c r="K153" s="170"/>
      <c r="L153" s="170"/>
      <c r="M153" s="170"/>
      <c r="N153" s="170"/>
      <c r="O153" s="170"/>
      <c r="P153" s="170"/>
      <c r="Q153" s="11"/>
      <c r="R153" s="11"/>
      <c r="S153" s="11"/>
      <c r="T153" s="11"/>
      <c r="U153" s="2"/>
      <c r="V153" s="4"/>
      <c r="W153" s="4" t="str">
        <f>IF(B153="","",IF(COUNTIF(CODE_MASTER_AS!A:A,B153)&gt;0,"OK","CHECK AS CODE"))</f>
        <v/>
      </c>
      <c r="X153" s="3" t="str">
        <f>IF(B153="","",_xludf.XLOOKUP(B153,CODE_MASTER_AS!A:A,CODE_MASTER_AS!E:E,""))</f>
        <v/>
      </c>
      <c r="Y153" s="3" t="str">
        <f>IF(B153="","",_xludf.XLOOKUP(B153,CODE_MASTER_AS!A:A,CODE_MASTER_AS!F:F,""))</f>
        <v/>
      </c>
      <c r="Z153" s="3" t="str">
        <f>IF(B153="","",_xludf.XLOOKUP(B153,CODE_MASTER_AS!A:A,CODE_MASTER_AS!G:G,""))</f>
        <v/>
      </c>
      <c r="AA153" s="3" t="str">
        <f>IF(B153="","",_xludf.XLOOKUP(B153,CODE_MASTER_AS!A:A,CODE_MASTER_AS!H:H,""))</f>
        <v/>
      </c>
      <c r="AB153" s="2"/>
    </row>
    <row r="154" spans="1:28" x14ac:dyDescent="0.2">
      <c r="A154" s="2"/>
      <c r="B154" s="2"/>
      <c r="C154" s="5"/>
      <c r="D154" s="5"/>
      <c r="E154" s="5"/>
      <c r="F154" s="170"/>
      <c r="G154" s="170"/>
      <c r="H154" s="170"/>
      <c r="I154" s="170"/>
      <c r="J154" s="170"/>
      <c r="K154" s="170"/>
      <c r="L154" s="170"/>
      <c r="M154" s="170"/>
      <c r="N154" s="170"/>
      <c r="O154" s="170"/>
      <c r="P154" s="170"/>
      <c r="Q154" s="11"/>
      <c r="R154" s="11"/>
      <c r="S154" s="11"/>
      <c r="T154" s="11"/>
      <c r="U154" s="2"/>
      <c r="V154" s="4"/>
      <c r="W154" s="4" t="str">
        <f>IF(B154="","",IF(COUNTIF(CODE_MASTER_AS!A:A,B154)&gt;0,"OK","CHECK AS CODE"))</f>
        <v/>
      </c>
      <c r="X154" s="3" t="str">
        <f>IF(B154="","",_xludf.XLOOKUP(B154,CODE_MASTER_AS!A:A,CODE_MASTER_AS!E:E,""))</f>
        <v/>
      </c>
      <c r="Y154" s="3" t="str">
        <f>IF(B154="","",_xludf.XLOOKUP(B154,CODE_MASTER_AS!A:A,CODE_MASTER_AS!F:F,""))</f>
        <v/>
      </c>
      <c r="Z154" s="3" t="str">
        <f>IF(B154="","",_xludf.XLOOKUP(B154,CODE_MASTER_AS!A:A,CODE_MASTER_AS!G:G,""))</f>
        <v/>
      </c>
      <c r="AA154" s="3" t="str">
        <f>IF(B154="","",_xludf.XLOOKUP(B154,CODE_MASTER_AS!A:A,CODE_MASTER_AS!H:H,""))</f>
        <v/>
      </c>
      <c r="AB154" s="2"/>
    </row>
    <row r="155" spans="1:28" x14ac:dyDescent="0.2">
      <c r="A155" s="2"/>
      <c r="B155" s="2"/>
      <c r="C155" s="5"/>
      <c r="D155" s="5"/>
      <c r="E155" s="5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1"/>
      <c r="R155" s="11"/>
      <c r="S155" s="11"/>
      <c r="T155" s="11"/>
      <c r="U155" s="2"/>
      <c r="V155" s="4"/>
      <c r="W155" s="4" t="str">
        <f>IF(B155="","",IF(COUNTIF(CODE_MASTER_AS!A:A,B155)&gt;0,"OK","CHECK AS CODE"))</f>
        <v/>
      </c>
      <c r="X155" s="3" t="str">
        <f>IF(B155="","",_xludf.XLOOKUP(B155,CODE_MASTER_AS!A:A,CODE_MASTER_AS!E:E,""))</f>
        <v/>
      </c>
      <c r="Y155" s="3" t="str">
        <f>IF(B155="","",_xludf.XLOOKUP(B155,CODE_MASTER_AS!A:A,CODE_MASTER_AS!F:F,""))</f>
        <v/>
      </c>
      <c r="Z155" s="3" t="str">
        <f>IF(B155="","",_xludf.XLOOKUP(B155,CODE_MASTER_AS!A:A,CODE_MASTER_AS!G:G,""))</f>
        <v/>
      </c>
      <c r="AA155" s="3" t="str">
        <f>IF(B155="","",_xludf.XLOOKUP(B155,CODE_MASTER_AS!A:A,CODE_MASTER_AS!H:H,""))</f>
        <v/>
      </c>
      <c r="AB155" s="2"/>
    </row>
    <row r="156" spans="1:28" x14ac:dyDescent="0.2">
      <c r="A156" s="2"/>
      <c r="B156" s="2"/>
      <c r="C156" s="5"/>
      <c r="D156" s="5"/>
      <c r="E156" s="5"/>
      <c r="F156" s="170"/>
      <c r="G156" s="170"/>
      <c r="H156" s="170"/>
      <c r="I156" s="170"/>
      <c r="J156" s="170"/>
      <c r="K156" s="170"/>
      <c r="L156" s="170"/>
      <c r="M156" s="170"/>
      <c r="N156" s="170"/>
      <c r="O156" s="170"/>
      <c r="P156" s="170"/>
      <c r="Q156" s="11"/>
      <c r="R156" s="11"/>
      <c r="S156" s="11"/>
      <c r="T156" s="11"/>
      <c r="U156" s="2"/>
      <c r="V156" s="4"/>
      <c r="W156" s="4" t="str">
        <f>IF(B156="","",IF(COUNTIF(CODE_MASTER_AS!A:A,B156)&gt;0,"OK","CHECK AS CODE"))</f>
        <v/>
      </c>
      <c r="X156" s="3" t="str">
        <f>IF(B156="","",_xludf.XLOOKUP(B156,CODE_MASTER_AS!A:A,CODE_MASTER_AS!E:E,""))</f>
        <v/>
      </c>
      <c r="Y156" s="3" t="str">
        <f>IF(B156="","",_xludf.XLOOKUP(B156,CODE_MASTER_AS!A:A,CODE_MASTER_AS!F:F,""))</f>
        <v/>
      </c>
      <c r="Z156" s="3" t="str">
        <f>IF(B156="","",_xludf.XLOOKUP(B156,CODE_MASTER_AS!A:A,CODE_MASTER_AS!G:G,""))</f>
        <v/>
      </c>
      <c r="AA156" s="3" t="str">
        <f>IF(B156="","",_xludf.XLOOKUP(B156,CODE_MASTER_AS!A:A,CODE_MASTER_AS!H:H,""))</f>
        <v/>
      </c>
      <c r="AB156" s="2"/>
    </row>
    <row r="157" spans="1:28" x14ac:dyDescent="0.2">
      <c r="A157" s="2"/>
      <c r="B157" s="2"/>
      <c r="C157" s="5"/>
      <c r="D157" s="5"/>
      <c r="E157" s="5"/>
      <c r="F157" s="170"/>
      <c r="G157" s="170"/>
      <c r="H157" s="170"/>
      <c r="I157" s="170"/>
      <c r="J157" s="170"/>
      <c r="K157" s="170"/>
      <c r="L157" s="170"/>
      <c r="M157" s="170"/>
      <c r="N157" s="170"/>
      <c r="O157" s="170"/>
      <c r="P157" s="170"/>
      <c r="Q157" s="11"/>
      <c r="R157" s="11"/>
      <c r="S157" s="11"/>
      <c r="T157" s="11"/>
      <c r="U157" s="2"/>
      <c r="V157" s="4"/>
      <c r="W157" s="4" t="str">
        <f>IF(B157="","",IF(COUNTIF(CODE_MASTER_AS!A:A,B157)&gt;0,"OK","CHECK AS CODE"))</f>
        <v/>
      </c>
      <c r="X157" s="3" t="str">
        <f>IF(B157="","",_xludf.XLOOKUP(B157,CODE_MASTER_AS!A:A,CODE_MASTER_AS!E:E,""))</f>
        <v/>
      </c>
      <c r="Y157" s="3" t="str">
        <f>IF(B157="","",_xludf.XLOOKUP(B157,CODE_MASTER_AS!A:A,CODE_MASTER_AS!F:F,""))</f>
        <v/>
      </c>
      <c r="Z157" s="3" t="str">
        <f>IF(B157="","",_xludf.XLOOKUP(B157,CODE_MASTER_AS!A:A,CODE_MASTER_AS!G:G,""))</f>
        <v/>
      </c>
      <c r="AA157" s="3" t="str">
        <f>IF(B157="","",_xludf.XLOOKUP(B157,CODE_MASTER_AS!A:A,CODE_MASTER_AS!H:H,""))</f>
        <v/>
      </c>
      <c r="AB157" s="2"/>
    </row>
    <row r="158" spans="1:28" x14ac:dyDescent="0.2">
      <c r="A158" s="2"/>
      <c r="B158" s="2"/>
      <c r="C158" s="5"/>
      <c r="D158" s="5"/>
      <c r="E158" s="5"/>
      <c r="F158" s="170"/>
      <c r="G158" s="170"/>
      <c r="H158" s="170"/>
      <c r="I158" s="170"/>
      <c r="J158" s="170"/>
      <c r="K158" s="170"/>
      <c r="L158" s="170"/>
      <c r="M158" s="170"/>
      <c r="N158" s="170"/>
      <c r="O158" s="170"/>
      <c r="P158" s="170"/>
      <c r="Q158" s="11"/>
      <c r="R158" s="11"/>
      <c r="S158" s="11"/>
      <c r="T158" s="11"/>
      <c r="U158" s="2"/>
      <c r="V158" s="4"/>
      <c r="W158" s="4" t="str">
        <f>IF(B158="","",IF(COUNTIF(CODE_MASTER_AS!A:A,B158)&gt;0,"OK","CHECK AS CODE"))</f>
        <v/>
      </c>
      <c r="X158" s="3" t="str">
        <f>IF(B158="","",_xludf.XLOOKUP(B158,CODE_MASTER_AS!A:A,CODE_MASTER_AS!E:E,""))</f>
        <v/>
      </c>
      <c r="Y158" s="3" t="str">
        <f>IF(B158="","",_xludf.XLOOKUP(B158,CODE_MASTER_AS!A:A,CODE_MASTER_AS!F:F,""))</f>
        <v/>
      </c>
      <c r="Z158" s="3" t="str">
        <f>IF(B158="","",_xludf.XLOOKUP(B158,CODE_MASTER_AS!A:A,CODE_MASTER_AS!G:G,""))</f>
        <v/>
      </c>
      <c r="AA158" s="3" t="str">
        <f>IF(B158="","",_xludf.XLOOKUP(B158,CODE_MASTER_AS!A:A,CODE_MASTER_AS!H:H,""))</f>
        <v/>
      </c>
      <c r="AB158" s="2"/>
    </row>
    <row r="159" spans="1:28" x14ac:dyDescent="0.2">
      <c r="A159" s="2"/>
      <c r="B159" s="2"/>
      <c r="C159" s="5"/>
      <c r="D159" s="5"/>
      <c r="E159" s="5"/>
      <c r="F159" s="170"/>
      <c r="G159" s="170"/>
      <c r="H159" s="170"/>
      <c r="I159" s="170"/>
      <c r="J159" s="170"/>
      <c r="K159" s="170"/>
      <c r="L159" s="170"/>
      <c r="M159" s="170"/>
      <c r="N159" s="170"/>
      <c r="O159" s="170"/>
      <c r="P159" s="170"/>
      <c r="Q159" s="11"/>
      <c r="R159" s="11"/>
      <c r="S159" s="11"/>
      <c r="T159" s="11"/>
      <c r="U159" s="2"/>
      <c r="V159" s="4"/>
      <c r="W159" s="4" t="str">
        <f>IF(B159="","",IF(COUNTIF(CODE_MASTER_AS!A:A,B159)&gt;0,"OK","CHECK AS CODE"))</f>
        <v/>
      </c>
      <c r="X159" s="3" t="str">
        <f>IF(B159="","",_xludf.XLOOKUP(B159,CODE_MASTER_AS!A:A,CODE_MASTER_AS!E:E,""))</f>
        <v/>
      </c>
      <c r="Y159" s="3" t="str">
        <f>IF(B159="","",_xludf.XLOOKUP(B159,CODE_MASTER_AS!A:A,CODE_MASTER_AS!F:F,""))</f>
        <v/>
      </c>
      <c r="Z159" s="3" t="str">
        <f>IF(B159="","",_xludf.XLOOKUP(B159,CODE_MASTER_AS!A:A,CODE_MASTER_AS!G:G,""))</f>
        <v/>
      </c>
      <c r="AA159" s="3" t="str">
        <f>IF(B159="","",_xludf.XLOOKUP(B159,CODE_MASTER_AS!A:A,CODE_MASTER_AS!H:H,""))</f>
        <v/>
      </c>
      <c r="AB159" s="2"/>
    </row>
    <row r="160" spans="1:28" x14ac:dyDescent="0.2">
      <c r="A160" s="2"/>
      <c r="B160" s="2"/>
      <c r="C160" s="5"/>
      <c r="D160" s="5"/>
      <c r="E160" s="5"/>
      <c r="F160" s="170"/>
      <c r="G160" s="170"/>
      <c r="H160" s="170"/>
      <c r="I160" s="170"/>
      <c r="J160" s="170"/>
      <c r="K160" s="170"/>
      <c r="L160" s="170"/>
      <c r="M160" s="170"/>
      <c r="N160" s="170"/>
      <c r="O160" s="170"/>
      <c r="P160" s="170"/>
      <c r="Q160" s="11"/>
      <c r="R160" s="11"/>
      <c r="S160" s="11"/>
      <c r="T160" s="11"/>
      <c r="U160" s="2"/>
      <c r="V160" s="4"/>
      <c r="W160" s="4" t="str">
        <f>IF(B160="","",IF(COUNTIF(CODE_MASTER_AS!A:A,B160)&gt;0,"OK","CHECK AS CODE"))</f>
        <v/>
      </c>
      <c r="X160" s="3" t="str">
        <f>IF(B160="","",_xludf.XLOOKUP(B160,CODE_MASTER_AS!A:A,CODE_MASTER_AS!E:E,""))</f>
        <v/>
      </c>
      <c r="Y160" s="3" t="str">
        <f>IF(B160="","",_xludf.XLOOKUP(B160,CODE_MASTER_AS!A:A,CODE_MASTER_AS!F:F,""))</f>
        <v/>
      </c>
      <c r="Z160" s="3" t="str">
        <f>IF(B160="","",_xludf.XLOOKUP(B160,CODE_MASTER_AS!A:A,CODE_MASTER_AS!G:G,""))</f>
        <v/>
      </c>
      <c r="AA160" s="3" t="str">
        <f>IF(B160="","",_xludf.XLOOKUP(B160,CODE_MASTER_AS!A:A,CODE_MASTER_AS!H:H,""))</f>
        <v/>
      </c>
      <c r="AB160" s="2"/>
    </row>
    <row r="161" spans="1:28" x14ac:dyDescent="0.2">
      <c r="A161" s="2"/>
      <c r="B161" s="2"/>
      <c r="C161" s="5"/>
      <c r="D161" s="5"/>
      <c r="E161" s="5"/>
      <c r="F161" s="170"/>
      <c r="G161" s="170"/>
      <c r="H161" s="170"/>
      <c r="I161" s="170"/>
      <c r="J161" s="170"/>
      <c r="K161" s="170"/>
      <c r="L161" s="170"/>
      <c r="M161" s="170"/>
      <c r="N161" s="170"/>
      <c r="O161" s="170"/>
      <c r="P161" s="170"/>
      <c r="Q161" s="11"/>
      <c r="R161" s="11"/>
      <c r="S161" s="11"/>
      <c r="T161" s="11"/>
      <c r="U161" s="2"/>
      <c r="V161" s="4"/>
      <c r="W161" s="4" t="str">
        <f>IF(B161="","",IF(COUNTIF(CODE_MASTER_AS!A:A,B161)&gt;0,"OK","CHECK AS CODE"))</f>
        <v/>
      </c>
      <c r="X161" s="3" t="str">
        <f>IF(B161="","",_xludf.XLOOKUP(B161,CODE_MASTER_AS!A:A,CODE_MASTER_AS!E:E,""))</f>
        <v/>
      </c>
      <c r="Y161" s="3" t="str">
        <f>IF(B161="","",_xludf.XLOOKUP(B161,CODE_MASTER_AS!A:A,CODE_MASTER_AS!F:F,""))</f>
        <v/>
      </c>
      <c r="Z161" s="3" t="str">
        <f>IF(B161="","",_xludf.XLOOKUP(B161,CODE_MASTER_AS!A:A,CODE_MASTER_AS!G:G,""))</f>
        <v/>
      </c>
      <c r="AA161" s="3" t="str">
        <f>IF(B161="","",_xludf.XLOOKUP(B161,CODE_MASTER_AS!A:A,CODE_MASTER_AS!H:H,""))</f>
        <v/>
      </c>
      <c r="AB161" s="2"/>
    </row>
    <row r="162" spans="1:28" x14ac:dyDescent="0.2">
      <c r="A162" s="2"/>
      <c r="B162" s="2"/>
      <c r="C162" s="5"/>
      <c r="D162" s="5"/>
      <c r="E162" s="5"/>
      <c r="F162" s="170"/>
      <c r="G162" s="170"/>
      <c r="H162" s="170"/>
      <c r="I162" s="170"/>
      <c r="J162" s="170"/>
      <c r="K162" s="170"/>
      <c r="L162" s="170"/>
      <c r="M162" s="170"/>
      <c r="N162" s="170"/>
      <c r="O162" s="170"/>
      <c r="P162" s="170"/>
      <c r="Q162" s="11"/>
      <c r="R162" s="11"/>
      <c r="S162" s="11"/>
      <c r="T162" s="11"/>
      <c r="U162" s="2"/>
      <c r="V162" s="4"/>
      <c r="W162" s="4" t="str">
        <f>IF(B162="","",IF(COUNTIF(CODE_MASTER_AS!A:A,B162)&gt;0,"OK","CHECK AS CODE"))</f>
        <v/>
      </c>
      <c r="X162" s="3" t="str">
        <f>IF(B162="","",_xludf.XLOOKUP(B162,CODE_MASTER_AS!A:A,CODE_MASTER_AS!E:E,""))</f>
        <v/>
      </c>
      <c r="Y162" s="3" t="str">
        <f>IF(B162="","",_xludf.XLOOKUP(B162,CODE_MASTER_AS!A:A,CODE_MASTER_AS!F:F,""))</f>
        <v/>
      </c>
      <c r="Z162" s="3" t="str">
        <f>IF(B162="","",_xludf.XLOOKUP(B162,CODE_MASTER_AS!A:A,CODE_MASTER_AS!G:G,""))</f>
        <v/>
      </c>
      <c r="AA162" s="3" t="str">
        <f>IF(B162="","",_xludf.XLOOKUP(B162,CODE_MASTER_AS!A:A,CODE_MASTER_AS!H:H,""))</f>
        <v/>
      </c>
      <c r="AB162" s="2"/>
    </row>
    <row r="163" spans="1:28" x14ac:dyDescent="0.2">
      <c r="A163" s="2"/>
      <c r="B163" s="2"/>
      <c r="C163" s="5"/>
      <c r="D163" s="5"/>
      <c r="E163" s="5"/>
      <c r="F163" s="170"/>
      <c r="G163" s="170"/>
      <c r="H163" s="170"/>
      <c r="I163" s="170"/>
      <c r="J163" s="170"/>
      <c r="K163" s="170"/>
      <c r="L163" s="170"/>
      <c r="M163" s="170"/>
      <c r="N163" s="170"/>
      <c r="O163" s="170"/>
      <c r="P163" s="170"/>
      <c r="Q163" s="11"/>
      <c r="R163" s="11"/>
      <c r="S163" s="11"/>
      <c r="T163" s="11"/>
      <c r="U163" s="2"/>
      <c r="V163" s="4"/>
      <c r="W163" s="4" t="str">
        <f>IF(B163="","",IF(COUNTIF(CODE_MASTER_AS!A:A,B163)&gt;0,"OK","CHECK AS CODE"))</f>
        <v/>
      </c>
      <c r="X163" s="3" t="str">
        <f>IF(B163="","",_xludf.XLOOKUP(B163,CODE_MASTER_AS!A:A,CODE_MASTER_AS!E:E,""))</f>
        <v/>
      </c>
      <c r="Y163" s="3" t="str">
        <f>IF(B163="","",_xludf.XLOOKUP(B163,CODE_MASTER_AS!A:A,CODE_MASTER_AS!F:F,""))</f>
        <v/>
      </c>
      <c r="Z163" s="3" t="str">
        <f>IF(B163="","",_xludf.XLOOKUP(B163,CODE_MASTER_AS!A:A,CODE_MASTER_AS!G:G,""))</f>
        <v/>
      </c>
      <c r="AA163" s="3" t="str">
        <f>IF(B163="","",_xludf.XLOOKUP(B163,CODE_MASTER_AS!A:A,CODE_MASTER_AS!H:H,""))</f>
        <v/>
      </c>
      <c r="AB163" s="2"/>
    </row>
    <row r="164" spans="1:28" x14ac:dyDescent="0.2">
      <c r="A164" s="2"/>
      <c r="B164" s="2"/>
      <c r="C164" s="5"/>
      <c r="D164" s="5"/>
      <c r="E164" s="5"/>
      <c r="F164" s="170"/>
      <c r="G164" s="170"/>
      <c r="H164" s="170"/>
      <c r="I164" s="170"/>
      <c r="J164" s="170"/>
      <c r="K164" s="170"/>
      <c r="L164" s="170"/>
      <c r="M164" s="170"/>
      <c r="N164" s="170"/>
      <c r="O164" s="170"/>
      <c r="P164" s="170"/>
      <c r="Q164" s="11"/>
      <c r="R164" s="11"/>
      <c r="S164" s="11"/>
      <c r="T164" s="11"/>
      <c r="U164" s="2"/>
      <c r="V164" s="4"/>
      <c r="W164" s="4" t="str">
        <f>IF(B164="","",IF(COUNTIF(CODE_MASTER_AS!A:A,B164)&gt;0,"OK","CHECK AS CODE"))</f>
        <v/>
      </c>
      <c r="X164" s="3" t="str">
        <f>IF(B164="","",_xludf.XLOOKUP(B164,CODE_MASTER_AS!A:A,CODE_MASTER_AS!E:E,""))</f>
        <v/>
      </c>
      <c r="Y164" s="3" t="str">
        <f>IF(B164="","",_xludf.XLOOKUP(B164,CODE_MASTER_AS!A:A,CODE_MASTER_AS!F:F,""))</f>
        <v/>
      </c>
      <c r="Z164" s="3" t="str">
        <f>IF(B164="","",_xludf.XLOOKUP(B164,CODE_MASTER_AS!A:A,CODE_MASTER_AS!G:G,""))</f>
        <v/>
      </c>
      <c r="AA164" s="3" t="str">
        <f>IF(B164="","",_xludf.XLOOKUP(B164,CODE_MASTER_AS!A:A,CODE_MASTER_AS!H:H,""))</f>
        <v/>
      </c>
      <c r="AB164" s="2"/>
    </row>
    <row r="165" spans="1:28" x14ac:dyDescent="0.2">
      <c r="A165" s="2"/>
      <c r="B165" s="2"/>
      <c r="C165" s="5"/>
      <c r="D165" s="5"/>
      <c r="E165" s="5"/>
      <c r="F165" s="170"/>
      <c r="G165" s="170"/>
      <c r="H165" s="170"/>
      <c r="I165" s="170"/>
      <c r="J165" s="170"/>
      <c r="K165" s="170"/>
      <c r="L165" s="170"/>
      <c r="M165" s="170"/>
      <c r="N165" s="170"/>
      <c r="O165" s="170"/>
      <c r="P165" s="170"/>
      <c r="Q165" s="11"/>
      <c r="R165" s="11"/>
      <c r="S165" s="11"/>
      <c r="T165" s="11"/>
      <c r="U165" s="2"/>
      <c r="V165" s="4"/>
      <c r="W165" s="4" t="str">
        <f>IF(B165="","",IF(COUNTIF(CODE_MASTER_AS!A:A,B165)&gt;0,"OK","CHECK AS CODE"))</f>
        <v/>
      </c>
      <c r="X165" s="3" t="str">
        <f>IF(B165="","",_xludf.XLOOKUP(B165,CODE_MASTER_AS!A:A,CODE_MASTER_AS!E:E,""))</f>
        <v/>
      </c>
      <c r="Y165" s="3" t="str">
        <f>IF(B165="","",_xludf.XLOOKUP(B165,CODE_MASTER_AS!A:A,CODE_MASTER_AS!F:F,""))</f>
        <v/>
      </c>
      <c r="Z165" s="3" t="str">
        <f>IF(B165="","",_xludf.XLOOKUP(B165,CODE_MASTER_AS!A:A,CODE_MASTER_AS!G:G,""))</f>
        <v/>
      </c>
      <c r="AA165" s="3" t="str">
        <f>IF(B165="","",_xludf.XLOOKUP(B165,CODE_MASTER_AS!A:A,CODE_MASTER_AS!H:H,""))</f>
        <v/>
      </c>
      <c r="AB165" s="2"/>
    </row>
    <row r="166" spans="1:28" x14ac:dyDescent="0.2">
      <c r="A166" s="2"/>
      <c r="B166" s="2"/>
      <c r="C166" s="5"/>
      <c r="D166" s="5"/>
      <c r="E166" s="5"/>
      <c r="F166" s="170"/>
      <c r="G166" s="170"/>
      <c r="H166" s="170"/>
      <c r="I166" s="170"/>
      <c r="J166" s="170"/>
      <c r="K166" s="170"/>
      <c r="L166" s="170"/>
      <c r="M166" s="170"/>
      <c r="N166" s="170"/>
      <c r="O166" s="170"/>
      <c r="P166" s="170"/>
      <c r="Q166" s="11"/>
      <c r="R166" s="11"/>
      <c r="S166" s="11"/>
      <c r="T166" s="11"/>
      <c r="U166" s="2"/>
      <c r="V166" s="4"/>
      <c r="W166" s="4" t="str">
        <f>IF(B166="","",IF(COUNTIF(CODE_MASTER_AS!A:A,B166)&gt;0,"OK","CHECK AS CODE"))</f>
        <v/>
      </c>
      <c r="X166" s="3" t="str">
        <f>IF(B166="","",_xludf.XLOOKUP(B166,CODE_MASTER_AS!A:A,CODE_MASTER_AS!E:E,""))</f>
        <v/>
      </c>
      <c r="Y166" s="3" t="str">
        <f>IF(B166="","",_xludf.XLOOKUP(B166,CODE_MASTER_AS!A:A,CODE_MASTER_AS!F:F,""))</f>
        <v/>
      </c>
      <c r="Z166" s="3" t="str">
        <f>IF(B166="","",_xludf.XLOOKUP(B166,CODE_MASTER_AS!A:A,CODE_MASTER_AS!G:G,""))</f>
        <v/>
      </c>
      <c r="AA166" s="3" t="str">
        <f>IF(B166="","",_xludf.XLOOKUP(B166,CODE_MASTER_AS!A:A,CODE_MASTER_AS!H:H,""))</f>
        <v/>
      </c>
      <c r="AB166" s="2"/>
    </row>
    <row r="167" spans="1:28" x14ac:dyDescent="0.2">
      <c r="A167" s="2"/>
      <c r="B167" s="2"/>
      <c r="C167" s="5"/>
      <c r="D167" s="5"/>
      <c r="E167" s="5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1"/>
      <c r="R167" s="11"/>
      <c r="S167" s="11"/>
      <c r="T167" s="11"/>
      <c r="U167" s="2"/>
      <c r="V167" s="4"/>
      <c r="W167" s="4" t="str">
        <f>IF(B167="","",IF(COUNTIF(CODE_MASTER_AS!A:A,B167)&gt;0,"OK","CHECK AS CODE"))</f>
        <v/>
      </c>
      <c r="X167" s="3" t="str">
        <f>IF(B167="","",_xludf.XLOOKUP(B167,CODE_MASTER_AS!A:A,CODE_MASTER_AS!E:E,""))</f>
        <v/>
      </c>
      <c r="Y167" s="3" t="str">
        <f>IF(B167="","",_xludf.XLOOKUP(B167,CODE_MASTER_AS!A:A,CODE_MASTER_AS!F:F,""))</f>
        <v/>
      </c>
      <c r="Z167" s="3" t="str">
        <f>IF(B167="","",_xludf.XLOOKUP(B167,CODE_MASTER_AS!A:A,CODE_MASTER_AS!G:G,""))</f>
        <v/>
      </c>
      <c r="AA167" s="3" t="str">
        <f>IF(B167="","",_xludf.XLOOKUP(B167,CODE_MASTER_AS!A:A,CODE_MASTER_AS!H:H,""))</f>
        <v/>
      </c>
      <c r="AB167" s="2"/>
    </row>
    <row r="168" spans="1:28" x14ac:dyDescent="0.2">
      <c r="A168" s="2"/>
      <c r="B168" s="2"/>
      <c r="C168" s="5"/>
      <c r="D168" s="5"/>
      <c r="E168" s="5"/>
      <c r="F168" s="170"/>
      <c r="G168" s="170"/>
      <c r="H168" s="170"/>
      <c r="I168" s="170"/>
      <c r="J168" s="170"/>
      <c r="K168" s="170"/>
      <c r="L168" s="170"/>
      <c r="M168" s="170"/>
      <c r="N168" s="170"/>
      <c r="O168" s="170"/>
      <c r="P168" s="170"/>
      <c r="Q168" s="11"/>
      <c r="R168" s="11"/>
      <c r="S168" s="11"/>
      <c r="T168" s="11"/>
      <c r="U168" s="2"/>
      <c r="V168" s="4"/>
      <c r="W168" s="4" t="str">
        <f>IF(B168="","",IF(COUNTIF(CODE_MASTER_AS!A:A,B168)&gt;0,"OK","CHECK AS CODE"))</f>
        <v/>
      </c>
      <c r="X168" s="3" t="str">
        <f>IF(B168="","",_xludf.XLOOKUP(B168,CODE_MASTER_AS!A:A,CODE_MASTER_AS!E:E,""))</f>
        <v/>
      </c>
      <c r="Y168" s="3" t="str">
        <f>IF(B168="","",_xludf.XLOOKUP(B168,CODE_MASTER_AS!A:A,CODE_MASTER_AS!F:F,""))</f>
        <v/>
      </c>
      <c r="Z168" s="3" t="str">
        <f>IF(B168="","",_xludf.XLOOKUP(B168,CODE_MASTER_AS!A:A,CODE_MASTER_AS!G:G,""))</f>
        <v/>
      </c>
      <c r="AA168" s="3" t="str">
        <f>IF(B168="","",_xludf.XLOOKUP(B168,CODE_MASTER_AS!A:A,CODE_MASTER_AS!H:H,""))</f>
        <v/>
      </c>
      <c r="AB168" s="2"/>
    </row>
    <row r="169" spans="1:28" x14ac:dyDescent="0.2">
      <c r="A169" s="2"/>
      <c r="B169" s="2"/>
      <c r="C169" s="5"/>
      <c r="D169" s="5"/>
      <c r="E169" s="5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1"/>
      <c r="R169" s="11"/>
      <c r="S169" s="11"/>
      <c r="T169" s="11"/>
      <c r="U169" s="2"/>
      <c r="V169" s="4"/>
      <c r="W169" s="4" t="str">
        <f>IF(B169="","",IF(COUNTIF(CODE_MASTER_AS!A:A,B169)&gt;0,"OK","CHECK AS CODE"))</f>
        <v/>
      </c>
      <c r="X169" s="3" t="str">
        <f>IF(B169="","",_xludf.XLOOKUP(B169,CODE_MASTER_AS!A:A,CODE_MASTER_AS!E:E,""))</f>
        <v/>
      </c>
      <c r="Y169" s="3" t="str">
        <f>IF(B169="","",_xludf.XLOOKUP(B169,CODE_MASTER_AS!A:A,CODE_MASTER_AS!F:F,""))</f>
        <v/>
      </c>
      <c r="Z169" s="3" t="str">
        <f>IF(B169="","",_xludf.XLOOKUP(B169,CODE_MASTER_AS!A:A,CODE_MASTER_AS!G:G,""))</f>
        <v/>
      </c>
      <c r="AA169" s="3" t="str">
        <f>IF(B169="","",_xludf.XLOOKUP(B169,CODE_MASTER_AS!A:A,CODE_MASTER_AS!H:H,""))</f>
        <v/>
      </c>
      <c r="AB169" s="2"/>
    </row>
    <row r="170" spans="1:28" x14ac:dyDescent="0.2">
      <c r="A170" s="2"/>
      <c r="B170" s="2"/>
      <c r="C170" s="5"/>
      <c r="D170" s="5"/>
      <c r="E170" s="5"/>
      <c r="F170" s="170"/>
      <c r="G170" s="170"/>
      <c r="H170" s="170"/>
      <c r="I170" s="170"/>
      <c r="J170" s="170"/>
      <c r="K170" s="170"/>
      <c r="L170" s="170"/>
      <c r="M170" s="170"/>
      <c r="N170" s="170"/>
      <c r="O170" s="170"/>
      <c r="P170" s="170"/>
      <c r="Q170" s="11"/>
      <c r="R170" s="11"/>
      <c r="S170" s="11"/>
      <c r="T170" s="11"/>
      <c r="U170" s="2"/>
      <c r="V170" s="4"/>
      <c r="W170" s="4" t="str">
        <f>IF(B170="","",IF(COUNTIF(CODE_MASTER_AS!A:A,B170)&gt;0,"OK","CHECK AS CODE"))</f>
        <v/>
      </c>
      <c r="X170" s="3" t="str">
        <f>IF(B170="","",_xludf.XLOOKUP(B170,CODE_MASTER_AS!A:A,CODE_MASTER_AS!E:E,""))</f>
        <v/>
      </c>
      <c r="Y170" s="3" t="str">
        <f>IF(B170="","",_xludf.XLOOKUP(B170,CODE_MASTER_AS!A:A,CODE_MASTER_AS!F:F,""))</f>
        <v/>
      </c>
      <c r="Z170" s="3" t="str">
        <f>IF(B170="","",_xludf.XLOOKUP(B170,CODE_MASTER_AS!A:A,CODE_MASTER_AS!G:G,""))</f>
        <v/>
      </c>
      <c r="AA170" s="3" t="str">
        <f>IF(B170="","",_xludf.XLOOKUP(B170,CODE_MASTER_AS!A:A,CODE_MASTER_AS!H:H,""))</f>
        <v/>
      </c>
      <c r="AB170" s="2"/>
    </row>
    <row r="171" spans="1:28" x14ac:dyDescent="0.2">
      <c r="A171" s="2"/>
      <c r="B171" s="2"/>
      <c r="C171" s="5"/>
      <c r="D171" s="5"/>
      <c r="E171" s="5"/>
      <c r="F171" s="170"/>
      <c r="G171" s="170"/>
      <c r="H171" s="170"/>
      <c r="I171" s="170"/>
      <c r="J171" s="170"/>
      <c r="K171" s="170"/>
      <c r="L171" s="170"/>
      <c r="M171" s="170"/>
      <c r="N171" s="170"/>
      <c r="O171" s="170"/>
      <c r="P171" s="170"/>
      <c r="Q171" s="11"/>
      <c r="R171" s="11"/>
      <c r="S171" s="11"/>
      <c r="T171" s="11"/>
      <c r="U171" s="2"/>
      <c r="V171" s="4"/>
      <c r="W171" s="4" t="str">
        <f>IF(B171="","",IF(COUNTIF(CODE_MASTER_AS!A:A,B171)&gt;0,"OK","CHECK AS CODE"))</f>
        <v/>
      </c>
      <c r="X171" s="3" t="str">
        <f>IF(B171="","",_xludf.XLOOKUP(B171,CODE_MASTER_AS!A:A,CODE_MASTER_AS!E:E,""))</f>
        <v/>
      </c>
      <c r="Y171" s="3" t="str">
        <f>IF(B171="","",_xludf.XLOOKUP(B171,CODE_MASTER_AS!A:A,CODE_MASTER_AS!F:F,""))</f>
        <v/>
      </c>
      <c r="Z171" s="3" t="str">
        <f>IF(B171="","",_xludf.XLOOKUP(B171,CODE_MASTER_AS!A:A,CODE_MASTER_AS!G:G,""))</f>
        <v/>
      </c>
      <c r="AA171" s="3" t="str">
        <f>IF(B171="","",_xludf.XLOOKUP(B171,CODE_MASTER_AS!A:A,CODE_MASTER_AS!H:H,""))</f>
        <v/>
      </c>
      <c r="AB171" s="2"/>
    </row>
    <row r="172" spans="1:28" x14ac:dyDescent="0.2">
      <c r="A172" s="2"/>
      <c r="B172" s="2"/>
      <c r="C172" s="5"/>
      <c r="D172" s="5"/>
      <c r="E172" s="5"/>
      <c r="F172" s="170"/>
      <c r="G172" s="170"/>
      <c r="H172" s="170"/>
      <c r="I172" s="170"/>
      <c r="J172" s="170"/>
      <c r="K172" s="170"/>
      <c r="L172" s="170"/>
      <c r="M172" s="170"/>
      <c r="N172" s="170"/>
      <c r="O172" s="170"/>
      <c r="P172" s="170"/>
      <c r="Q172" s="11"/>
      <c r="R172" s="11"/>
      <c r="S172" s="11"/>
      <c r="T172" s="11"/>
      <c r="U172" s="2"/>
      <c r="V172" s="4"/>
      <c r="W172" s="4" t="str">
        <f>IF(B172="","",IF(COUNTIF(CODE_MASTER_AS!A:A,B172)&gt;0,"OK","CHECK AS CODE"))</f>
        <v/>
      </c>
      <c r="X172" s="3" t="str">
        <f>IF(B172="","",_xludf.XLOOKUP(B172,CODE_MASTER_AS!A:A,CODE_MASTER_AS!E:E,""))</f>
        <v/>
      </c>
      <c r="Y172" s="3" t="str">
        <f>IF(B172="","",_xludf.XLOOKUP(B172,CODE_MASTER_AS!A:A,CODE_MASTER_AS!F:F,""))</f>
        <v/>
      </c>
      <c r="Z172" s="3" t="str">
        <f>IF(B172="","",_xludf.XLOOKUP(B172,CODE_MASTER_AS!A:A,CODE_MASTER_AS!G:G,""))</f>
        <v/>
      </c>
      <c r="AA172" s="3" t="str">
        <f>IF(B172="","",_xludf.XLOOKUP(B172,CODE_MASTER_AS!A:A,CODE_MASTER_AS!H:H,""))</f>
        <v/>
      </c>
      <c r="AB172" s="2"/>
    </row>
    <row r="173" spans="1:28" x14ac:dyDescent="0.2">
      <c r="A173" s="2"/>
      <c r="B173" s="2"/>
      <c r="C173" s="5"/>
      <c r="D173" s="5"/>
      <c r="E173" s="5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1"/>
      <c r="R173" s="11"/>
      <c r="S173" s="11"/>
      <c r="T173" s="11"/>
      <c r="U173" s="2"/>
      <c r="V173" s="4"/>
      <c r="W173" s="4" t="str">
        <f>IF(B173="","",IF(COUNTIF(CODE_MASTER_AS!A:A,B173)&gt;0,"OK","CHECK AS CODE"))</f>
        <v/>
      </c>
      <c r="X173" s="3" t="str">
        <f>IF(B173="","",_xludf.XLOOKUP(B173,CODE_MASTER_AS!A:A,CODE_MASTER_AS!E:E,""))</f>
        <v/>
      </c>
      <c r="Y173" s="3" t="str">
        <f>IF(B173="","",_xludf.XLOOKUP(B173,CODE_MASTER_AS!A:A,CODE_MASTER_AS!F:F,""))</f>
        <v/>
      </c>
      <c r="Z173" s="3" t="str">
        <f>IF(B173="","",_xludf.XLOOKUP(B173,CODE_MASTER_AS!A:A,CODE_MASTER_AS!G:G,""))</f>
        <v/>
      </c>
      <c r="AA173" s="3" t="str">
        <f>IF(B173="","",_xludf.XLOOKUP(B173,CODE_MASTER_AS!A:A,CODE_MASTER_AS!H:H,""))</f>
        <v/>
      </c>
      <c r="AB173" s="2"/>
    </row>
    <row r="174" spans="1:28" x14ac:dyDescent="0.2">
      <c r="A174" s="2"/>
      <c r="B174" s="2"/>
      <c r="C174" s="5"/>
      <c r="D174" s="5"/>
      <c r="E174" s="5"/>
      <c r="F174" s="170"/>
      <c r="G174" s="170"/>
      <c r="H174" s="170"/>
      <c r="I174" s="170"/>
      <c r="J174" s="170"/>
      <c r="K174" s="170"/>
      <c r="L174" s="170"/>
      <c r="M174" s="170"/>
      <c r="N174" s="170"/>
      <c r="O174" s="170"/>
      <c r="P174" s="170"/>
      <c r="Q174" s="11"/>
      <c r="R174" s="11"/>
      <c r="S174" s="11"/>
      <c r="T174" s="11"/>
      <c r="U174" s="2"/>
      <c r="V174" s="4"/>
      <c r="W174" s="4" t="str">
        <f>IF(B174="","",IF(COUNTIF(CODE_MASTER_AS!A:A,B174)&gt;0,"OK","CHECK AS CODE"))</f>
        <v/>
      </c>
      <c r="X174" s="3" t="str">
        <f>IF(B174="","",_xludf.XLOOKUP(B174,CODE_MASTER_AS!A:A,CODE_MASTER_AS!E:E,""))</f>
        <v/>
      </c>
      <c r="Y174" s="3" t="str">
        <f>IF(B174="","",_xludf.XLOOKUP(B174,CODE_MASTER_AS!A:A,CODE_MASTER_AS!F:F,""))</f>
        <v/>
      </c>
      <c r="Z174" s="3" t="str">
        <f>IF(B174="","",_xludf.XLOOKUP(B174,CODE_MASTER_AS!A:A,CODE_MASTER_AS!G:G,""))</f>
        <v/>
      </c>
      <c r="AA174" s="3" t="str">
        <f>IF(B174="","",_xludf.XLOOKUP(B174,CODE_MASTER_AS!A:A,CODE_MASTER_AS!H:H,""))</f>
        <v/>
      </c>
      <c r="AB174" s="2"/>
    </row>
    <row r="175" spans="1:28" x14ac:dyDescent="0.2">
      <c r="A175" s="2"/>
      <c r="B175" s="2"/>
      <c r="C175" s="5"/>
      <c r="D175" s="5"/>
      <c r="E175" s="5"/>
      <c r="F175" s="170"/>
      <c r="G175" s="170"/>
      <c r="H175" s="170"/>
      <c r="I175" s="170"/>
      <c r="J175" s="170"/>
      <c r="K175" s="170"/>
      <c r="L175" s="170"/>
      <c r="M175" s="170"/>
      <c r="N175" s="170"/>
      <c r="O175" s="170"/>
      <c r="P175" s="170"/>
      <c r="Q175" s="11"/>
      <c r="R175" s="11"/>
      <c r="S175" s="11"/>
      <c r="T175" s="11"/>
      <c r="U175" s="2"/>
      <c r="V175" s="4"/>
      <c r="W175" s="4" t="str">
        <f>IF(B175="","",IF(COUNTIF(CODE_MASTER_AS!A:A,B175)&gt;0,"OK","CHECK AS CODE"))</f>
        <v/>
      </c>
      <c r="X175" s="3" t="str">
        <f>IF(B175="","",_xludf.XLOOKUP(B175,CODE_MASTER_AS!A:A,CODE_MASTER_AS!E:E,""))</f>
        <v/>
      </c>
      <c r="Y175" s="3" t="str">
        <f>IF(B175="","",_xludf.XLOOKUP(B175,CODE_MASTER_AS!A:A,CODE_MASTER_AS!F:F,""))</f>
        <v/>
      </c>
      <c r="Z175" s="3" t="str">
        <f>IF(B175="","",_xludf.XLOOKUP(B175,CODE_MASTER_AS!A:A,CODE_MASTER_AS!G:G,""))</f>
        <v/>
      </c>
      <c r="AA175" s="3" t="str">
        <f>IF(B175="","",_xludf.XLOOKUP(B175,CODE_MASTER_AS!A:A,CODE_MASTER_AS!H:H,""))</f>
        <v/>
      </c>
      <c r="AB175" s="2"/>
    </row>
    <row r="176" spans="1:28" x14ac:dyDescent="0.2">
      <c r="A176" s="2"/>
      <c r="B176" s="2"/>
      <c r="C176" s="5"/>
      <c r="D176" s="5"/>
      <c r="E176" s="5"/>
      <c r="F176" s="170"/>
      <c r="G176" s="170"/>
      <c r="H176" s="170"/>
      <c r="I176" s="170"/>
      <c r="J176" s="170"/>
      <c r="K176" s="170"/>
      <c r="L176" s="170"/>
      <c r="M176" s="170"/>
      <c r="N176" s="170"/>
      <c r="O176" s="170"/>
      <c r="P176" s="170"/>
      <c r="Q176" s="11"/>
      <c r="R176" s="11"/>
      <c r="S176" s="11"/>
      <c r="T176" s="11"/>
      <c r="U176" s="2"/>
      <c r="V176" s="4"/>
      <c r="W176" s="4" t="str">
        <f>IF(B176="","",IF(COUNTIF(CODE_MASTER_AS!A:A,B176)&gt;0,"OK","CHECK AS CODE"))</f>
        <v/>
      </c>
      <c r="X176" s="3" t="str">
        <f>IF(B176="","",_xludf.XLOOKUP(B176,CODE_MASTER_AS!A:A,CODE_MASTER_AS!E:E,""))</f>
        <v/>
      </c>
      <c r="Y176" s="3" t="str">
        <f>IF(B176="","",_xludf.XLOOKUP(B176,CODE_MASTER_AS!A:A,CODE_MASTER_AS!F:F,""))</f>
        <v/>
      </c>
      <c r="Z176" s="3" t="str">
        <f>IF(B176="","",_xludf.XLOOKUP(B176,CODE_MASTER_AS!A:A,CODE_MASTER_AS!G:G,""))</f>
        <v/>
      </c>
      <c r="AA176" s="3" t="str">
        <f>IF(B176="","",_xludf.XLOOKUP(B176,CODE_MASTER_AS!A:A,CODE_MASTER_AS!H:H,""))</f>
        <v/>
      </c>
      <c r="AB176" s="2"/>
    </row>
    <row r="177" spans="1:28" x14ac:dyDescent="0.2">
      <c r="A177" s="2"/>
      <c r="B177" s="2"/>
      <c r="C177" s="5"/>
      <c r="D177" s="5"/>
      <c r="E177" s="5"/>
      <c r="F177" s="170"/>
      <c r="G177" s="170"/>
      <c r="H177" s="170"/>
      <c r="I177" s="170"/>
      <c r="J177" s="170"/>
      <c r="K177" s="170"/>
      <c r="L177" s="170"/>
      <c r="M177" s="170"/>
      <c r="N177" s="170"/>
      <c r="O177" s="170"/>
      <c r="P177" s="170"/>
      <c r="Q177" s="11"/>
      <c r="R177" s="11"/>
      <c r="S177" s="11"/>
      <c r="T177" s="11"/>
      <c r="U177" s="2"/>
      <c r="V177" s="4"/>
      <c r="W177" s="4" t="str">
        <f>IF(B177="","",IF(COUNTIF(CODE_MASTER_AS!A:A,B177)&gt;0,"OK","CHECK AS CODE"))</f>
        <v/>
      </c>
      <c r="X177" s="3" t="str">
        <f>IF(B177="","",_xludf.XLOOKUP(B177,CODE_MASTER_AS!A:A,CODE_MASTER_AS!E:E,""))</f>
        <v/>
      </c>
      <c r="Y177" s="3" t="str">
        <f>IF(B177="","",_xludf.XLOOKUP(B177,CODE_MASTER_AS!A:A,CODE_MASTER_AS!F:F,""))</f>
        <v/>
      </c>
      <c r="Z177" s="3" t="str">
        <f>IF(B177="","",_xludf.XLOOKUP(B177,CODE_MASTER_AS!A:A,CODE_MASTER_AS!G:G,""))</f>
        <v/>
      </c>
      <c r="AA177" s="3" t="str">
        <f>IF(B177="","",_xludf.XLOOKUP(B177,CODE_MASTER_AS!A:A,CODE_MASTER_AS!H:H,""))</f>
        <v/>
      </c>
      <c r="AB177" s="2"/>
    </row>
    <row r="178" spans="1:28" x14ac:dyDescent="0.2">
      <c r="A178" s="2"/>
      <c r="B178" s="2"/>
      <c r="C178" s="5"/>
      <c r="D178" s="5"/>
      <c r="E178" s="5"/>
      <c r="F178" s="170"/>
      <c r="G178" s="170"/>
      <c r="H178" s="170"/>
      <c r="I178" s="170"/>
      <c r="J178" s="170"/>
      <c r="K178" s="170"/>
      <c r="L178" s="170"/>
      <c r="M178" s="170"/>
      <c r="N178" s="170"/>
      <c r="O178" s="170"/>
      <c r="P178" s="170"/>
      <c r="Q178" s="11"/>
      <c r="R178" s="11"/>
      <c r="S178" s="11"/>
      <c r="T178" s="11"/>
      <c r="U178" s="2"/>
      <c r="V178" s="4"/>
      <c r="W178" s="4" t="str">
        <f>IF(B178="","",IF(COUNTIF(CODE_MASTER_AS!A:A,B178)&gt;0,"OK","CHECK AS CODE"))</f>
        <v/>
      </c>
      <c r="X178" s="3" t="str">
        <f>IF(B178="","",_xludf.XLOOKUP(B178,CODE_MASTER_AS!A:A,CODE_MASTER_AS!E:E,""))</f>
        <v/>
      </c>
      <c r="Y178" s="3" t="str">
        <f>IF(B178="","",_xludf.XLOOKUP(B178,CODE_MASTER_AS!A:A,CODE_MASTER_AS!F:F,""))</f>
        <v/>
      </c>
      <c r="Z178" s="3" t="str">
        <f>IF(B178="","",_xludf.XLOOKUP(B178,CODE_MASTER_AS!A:A,CODE_MASTER_AS!G:G,""))</f>
        <v/>
      </c>
      <c r="AA178" s="3" t="str">
        <f>IF(B178="","",_xludf.XLOOKUP(B178,CODE_MASTER_AS!A:A,CODE_MASTER_AS!H:H,""))</f>
        <v/>
      </c>
      <c r="AB178" s="2"/>
    </row>
    <row r="179" spans="1:28" x14ac:dyDescent="0.2">
      <c r="A179" s="2"/>
      <c r="B179" s="2"/>
      <c r="C179" s="5"/>
      <c r="D179" s="5"/>
      <c r="E179" s="5"/>
      <c r="F179" s="170"/>
      <c r="G179" s="170"/>
      <c r="H179" s="170"/>
      <c r="I179" s="170"/>
      <c r="J179" s="170"/>
      <c r="K179" s="170"/>
      <c r="L179" s="170"/>
      <c r="M179" s="170"/>
      <c r="N179" s="170"/>
      <c r="O179" s="170"/>
      <c r="P179" s="170"/>
      <c r="Q179" s="11"/>
      <c r="R179" s="11"/>
      <c r="S179" s="11"/>
      <c r="T179" s="11"/>
      <c r="U179" s="2"/>
      <c r="V179" s="4"/>
      <c r="W179" s="4" t="str">
        <f>IF(B179="","",IF(COUNTIF(CODE_MASTER_AS!A:A,B179)&gt;0,"OK","CHECK AS CODE"))</f>
        <v/>
      </c>
      <c r="X179" s="3" t="str">
        <f>IF(B179="","",_xludf.XLOOKUP(B179,CODE_MASTER_AS!A:A,CODE_MASTER_AS!E:E,""))</f>
        <v/>
      </c>
      <c r="Y179" s="3" t="str">
        <f>IF(B179="","",_xludf.XLOOKUP(B179,CODE_MASTER_AS!A:A,CODE_MASTER_AS!F:F,""))</f>
        <v/>
      </c>
      <c r="Z179" s="3" t="str">
        <f>IF(B179="","",_xludf.XLOOKUP(B179,CODE_MASTER_AS!A:A,CODE_MASTER_AS!G:G,""))</f>
        <v/>
      </c>
      <c r="AA179" s="3" t="str">
        <f>IF(B179="","",_xludf.XLOOKUP(B179,CODE_MASTER_AS!A:A,CODE_MASTER_AS!H:H,""))</f>
        <v/>
      </c>
      <c r="AB179" s="2"/>
    </row>
    <row r="180" spans="1:28" x14ac:dyDescent="0.2">
      <c r="A180" s="2"/>
      <c r="B180" s="2"/>
      <c r="C180" s="5"/>
      <c r="D180" s="5"/>
      <c r="E180" s="5"/>
      <c r="F180" s="170"/>
      <c r="G180" s="170"/>
      <c r="H180" s="170"/>
      <c r="I180" s="170"/>
      <c r="J180" s="170"/>
      <c r="K180" s="170"/>
      <c r="L180" s="170"/>
      <c r="M180" s="170"/>
      <c r="N180" s="170"/>
      <c r="O180" s="170"/>
      <c r="P180" s="170"/>
      <c r="Q180" s="11"/>
      <c r="R180" s="11"/>
      <c r="S180" s="11"/>
      <c r="T180" s="11"/>
      <c r="U180" s="2"/>
      <c r="V180" s="4"/>
      <c r="W180" s="4" t="str">
        <f>IF(B180="","",IF(COUNTIF(CODE_MASTER_AS!A:A,B180)&gt;0,"OK","CHECK AS CODE"))</f>
        <v/>
      </c>
      <c r="X180" s="3" t="str">
        <f>IF(B180="","",_xludf.XLOOKUP(B180,CODE_MASTER_AS!A:A,CODE_MASTER_AS!E:E,""))</f>
        <v/>
      </c>
      <c r="Y180" s="3" t="str">
        <f>IF(B180="","",_xludf.XLOOKUP(B180,CODE_MASTER_AS!A:A,CODE_MASTER_AS!F:F,""))</f>
        <v/>
      </c>
      <c r="Z180" s="3" t="str">
        <f>IF(B180="","",_xludf.XLOOKUP(B180,CODE_MASTER_AS!A:A,CODE_MASTER_AS!G:G,""))</f>
        <v/>
      </c>
      <c r="AA180" s="3" t="str">
        <f>IF(B180="","",_xludf.XLOOKUP(B180,CODE_MASTER_AS!A:A,CODE_MASTER_AS!H:H,""))</f>
        <v/>
      </c>
      <c r="AB180" s="2"/>
    </row>
    <row r="181" spans="1:28" x14ac:dyDescent="0.2">
      <c r="A181" s="2"/>
      <c r="B181" s="2"/>
      <c r="C181" s="5"/>
      <c r="D181" s="5"/>
      <c r="E181" s="5"/>
      <c r="F181" s="170"/>
      <c r="G181" s="170"/>
      <c r="H181" s="170"/>
      <c r="I181" s="170"/>
      <c r="J181" s="170"/>
      <c r="K181" s="170"/>
      <c r="L181" s="170"/>
      <c r="M181" s="170"/>
      <c r="N181" s="170"/>
      <c r="O181" s="170"/>
      <c r="P181" s="170"/>
      <c r="Q181" s="11"/>
      <c r="R181" s="11"/>
      <c r="S181" s="11"/>
      <c r="T181" s="11"/>
      <c r="U181" s="2"/>
      <c r="V181" s="4"/>
      <c r="W181" s="4" t="str">
        <f>IF(B181="","",IF(COUNTIF(CODE_MASTER_AS!A:A,B181)&gt;0,"OK","CHECK AS CODE"))</f>
        <v/>
      </c>
      <c r="X181" s="3" t="str">
        <f>IF(B181="","",_xludf.XLOOKUP(B181,CODE_MASTER_AS!A:A,CODE_MASTER_AS!E:E,""))</f>
        <v/>
      </c>
      <c r="Y181" s="3" t="str">
        <f>IF(B181="","",_xludf.XLOOKUP(B181,CODE_MASTER_AS!A:A,CODE_MASTER_AS!F:F,""))</f>
        <v/>
      </c>
      <c r="Z181" s="3" t="str">
        <f>IF(B181="","",_xludf.XLOOKUP(B181,CODE_MASTER_AS!A:A,CODE_MASTER_AS!G:G,""))</f>
        <v/>
      </c>
      <c r="AA181" s="3" t="str">
        <f>IF(B181="","",_xludf.XLOOKUP(B181,CODE_MASTER_AS!A:A,CODE_MASTER_AS!H:H,""))</f>
        <v/>
      </c>
      <c r="AB181" s="2"/>
    </row>
    <row r="182" spans="1:28" x14ac:dyDescent="0.2">
      <c r="A182" s="2"/>
      <c r="B182" s="2"/>
      <c r="C182" s="5"/>
      <c r="D182" s="5"/>
      <c r="E182" s="5"/>
      <c r="F182" s="170"/>
      <c r="G182" s="170"/>
      <c r="H182" s="170"/>
      <c r="I182" s="170"/>
      <c r="J182" s="170"/>
      <c r="K182" s="170"/>
      <c r="L182" s="170"/>
      <c r="M182" s="170"/>
      <c r="N182" s="170"/>
      <c r="O182" s="170"/>
      <c r="P182" s="170"/>
      <c r="Q182" s="11"/>
      <c r="R182" s="11"/>
      <c r="S182" s="11"/>
      <c r="T182" s="11"/>
      <c r="U182" s="2"/>
      <c r="V182" s="4"/>
      <c r="W182" s="4" t="str">
        <f>IF(B182="","",IF(COUNTIF(CODE_MASTER_AS!A:A,B182)&gt;0,"OK","CHECK AS CODE"))</f>
        <v/>
      </c>
      <c r="X182" s="3" t="str">
        <f>IF(B182="","",_xludf.XLOOKUP(B182,CODE_MASTER_AS!A:A,CODE_MASTER_AS!E:E,""))</f>
        <v/>
      </c>
      <c r="Y182" s="3" t="str">
        <f>IF(B182="","",_xludf.XLOOKUP(B182,CODE_MASTER_AS!A:A,CODE_MASTER_AS!F:F,""))</f>
        <v/>
      </c>
      <c r="Z182" s="3" t="str">
        <f>IF(B182="","",_xludf.XLOOKUP(B182,CODE_MASTER_AS!A:A,CODE_MASTER_AS!G:G,""))</f>
        <v/>
      </c>
      <c r="AA182" s="3" t="str">
        <f>IF(B182="","",_xludf.XLOOKUP(B182,CODE_MASTER_AS!A:A,CODE_MASTER_AS!H:H,""))</f>
        <v/>
      </c>
      <c r="AB182" s="2"/>
    </row>
    <row r="183" spans="1:28" x14ac:dyDescent="0.2">
      <c r="A183" s="2"/>
      <c r="B183" s="2"/>
      <c r="C183" s="5"/>
      <c r="D183" s="5"/>
      <c r="E183" s="5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1"/>
      <c r="R183" s="11"/>
      <c r="S183" s="11"/>
      <c r="T183" s="11"/>
      <c r="U183" s="2"/>
      <c r="V183" s="4"/>
      <c r="W183" s="4" t="str">
        <f>IF(B183="","",IF(COUNTIF(CODE_MASTER_AS!A:A,B183)&gt;0,"OK","CHECK AS CODE"))</f>
        <v/>
      </c>
      <c r="X183" s="3" t="str">
        <f>IF(B183="","",_xludf.XLOOKUP(B183,CODE_MASTER_AS!A:A,CODE_MASTER_AS!E:E,""))</f>
        <v/>
      </c>
      <c r="Y183" s="3" t="str">
        <f>IF(B183="","",_xludf.XLOOKUP(B183,CODE_MASTER_AS!A:A,CODE_MASTER_AS!F:F,""))</f>
        <v/>
      </c>
      <c r="Z183" s="3" t="str">
        <f>IF(B183="","",_xludf.XLOOKUP(B183,CODE_MASTER_AS!A:A,CODE_MASTER_AS!G:G,""))</f>
        <v/>
      </c>
      <c r="AA183" s="3" t="str">
        <f>IF(B183="","",_xludf.XLOOKUP(B183,CODE_MASTER_AS!A:A,CODE_MASTER_AS!H:H,""))</f>
        <v/>
      </c>
      <c r="AB183" s="2"/>
    </row>
    <row r="184" spans="1:28" x14ac:dyDescent="0.2">
      <c r="A184" s="2"/>
      <c r="B184" s="2"/>
      <c r="C184" s="5"/>
      <c r="D184" s="5"/>
      <c r="E184" s="5"/>
      <c r="F184" s="170"/>
      <c r="G184" s="170"/>
      <c r="H184" s="170"/>
      <c r="I184" s="170"/>
      <c r="J184" s="170"/>
      <c r="K184" s="170"/>
      <c r="L184" s="170"/>
      <c r="M184" s="170"/>
      <c r="N184" s="170"/>
      <c r="O184" s="170"/>
      <c r="P184" s="170"/>
      <c r="Q184" s="11"/>
      <c r="R184" s="11"/>
      <c r="S184" s="11"/>
      <c r="T184" s="11"/>
      <c r="U184" s="2"/>
      <c r="V184" s="4"/>
      <c r="W184" s="4" t="str">
        <f>IF(B184="","",IF(COUNTIF(CODE_MASTER_AS!A:A,B184)&gt;0,"OK","CHECK AS CODE"))</f>
        <v/>
      </c>
      <c r="X184" s="3" t="str">
        <f>IF(B184="","",_xludf.XLOOKUP(B184,CODE_MASTER_AS!A:A,CODE_MASTER_AS!E:E,""))</f>
        <v/>
      </c>
      <c r="Y184" s="3" t="str">
        <f>IF(B184="","",_xludf.XLOOKUP(B184,CODE_MASTER_AS!A:A,CODE_MASTER_AS!F:F,""))</f>
        <v/>
      </c>
      <c r="Z184" s="3" t="str">
        <f>IF(B184="","",_xludf.XLOOKUP(B184,CODE_MASTER_AS!A:A,CODE_MASTER_AS!G:G,""))</f>
        <v/>
      </c>
      <c r="AA184" s="3" t="str">
        <f>IF(B184="","",_xludf.XLOOKUP(B184,CODE_MASTER_AS!A:A,CODE_MASTER_AS!H:H,""))</f>
        <v/>
      </c>
      <c r="AB184" s="2"/>
    </row>
    <row r="185" spans="1:28" x14ac:dyDescent="0.2">
      <c r="A185" s="2"/>
      <c r="B185" s="2"/>
      <c r="C185" s="5"/>
      <c r="D185" s="5"/>
      <c r="E185" s="5"/>
      <c r="F185" s="170"/>
      <c r="G185" s="170"/>
      <c r="H185" s="170"/>
      <c r="I185" s="170"/>
      <c r="J185" s="170"/>
      <c r="K185" s="170"/>
      <c r="L185" s="170"/>
      <c r="M185" s="170"/>
      <c r="N185" s="170"/>
      <c r="O185" s="170"/>
      <c r="P185" s="170"/>
      <c r="Q185" s="11"/>
      <c r="R185" s="11"/>
      <c r="S185" s="11"/>
      <c r="T185" s="11"/>
      <c r="U185" s="2"/>
      <c r="V185" s="4"/>
      <c r="W185" s="4" t="str">
        <f>IF(B185="","",IF(COUNTIF(CODE_MASTER_AS!A:A,B185)&gt;0,"OK","CHECK AS CODE"))</f>
        <v/>
      </c>
      <c r="X185" s="3" t="str">
        <f>IF(B185="","",_xludf.XLOOKUP(B185,CODE_MASTER_AS!A:A,CODE_MASTER_AS!E:E,""))</f>
        <v/>
      </c>
      <c r="Y185" s="3" t="str">
        <f>IF(B185="","",_xludf.XLOOKUP(B185,CODE_MASTER_AS!A:A,CODE_MASTER_AS!F:F,""))</f>
        <v/>
      </c>
      <c r="Z185" s="3" t="str">
        <f>IF(B185="","",_xludf.XLOOKUP(B185,CODE_MASTER_AS!A:A,CODE_MASTER_AS!G:G,""))</f>
        <v/>
      </c>
      <c r="AA185" s="3" t="str">
        <f>IF(B185="","",_xludf.XLOOKUP(B185,CODE_MASTER_AS!A:A,CODE_MASTER_AS!H:H,""))</f>
        <v/>
      </c>
      <c r="AB185" s="2"/>
    </row>
    <row r="186" spans="1:28" x14ac:dyDescent="0.2">
      <c r="A186" s="2"/>
      <c r="B186" s="2"/>
      <c r="C186" s="5"/>
      <c r="D186" s="5"/>
      <c r="E186" s="5"/>
      <c r="F186" s="170"/>
      <c r="G186" s="170"/>
      <c r="H186" s="170"/>
      <c r="I186" s="170"/>
      <c r="J186" s="170"/>
      <c r="K186" s="170"/>
      <c r="L186" s="170"/>
      <c r="M186" s="170"/>
      <c r="N186" s="170"/>
      <c r="O186" s="170"/>
      <c r="P186" s="170"/>
      <c r="Q186" s="11"/>
      <c r="R186" s="11"/>
      <c r="S186" s="11"/>
      <c r="T186" s="11"/>
      <c r="U186" s="2"/>
      <c r="V186" s="4"/>
      <c r="W186" s="4" t="str">
        <f>IF(B186="","",IF(COUNTIF(CODE_MASTER_AS!A:A,B186)&gt;0,"OK","CHECK AS CODE"))</f>
        <v/>
      </c>
      <c r="X186" s="3" t="str">
        <f>IF(B186="","",_xludf.XLOOKUP(B186,CODE_MASTER_AS!A:A,CODE_MASTER_AS!E:E,""))</f>
        <v/>
      </c>
      <c r="Y186" s="3" t="str">
        <f>IF(B186="","",_xludf.XLOOKUP(B186,CODE_MASTER_AS!A:A,CODE_MASTER_AS!F:F,""))</f>
        <v/>
      </c>
      <c r="Z186" s="3" t="str">
        <f>IF(B186="","",_xludf.XLOOKUP(B186,CODE_MASTER_AS!A:A,CODE_MASTER_AS!G:G,""))</f>
        <v/>
      </c>
      <c r="AA186" s="3" t="str">
        <f>IF(B186="","",_xludf.XLOOKUP(B186,CODE_MASTER_AS!A:A,CODE_MASTER_AS!H:H,""))</f>
        <v/>
      </c>
      <c r="AB186" s="2"/>
    </row>
    <row r="187" spans="1:28" x14ac:dyDescent="0.2">
      <c r="A187" s="2"/>
      <c r="B187" s="2"/>
      <c r="C187" s="5"/>
      <c r="D187" s="5"/>
      <c r="E187" s="5"/>
      <c r="F187" s="170"/>
      <c r="G187" s="170"/>
      <c r="H187" s="170"/>
      <c r="I187" s="170"/>
      <c r="J187" s="170"/>
      <c r="K187" s="170"/>
      <c r="L187" s="170"/>
      <c r="M187" s="170"/>
      <c r="N187" s="170"/>
      <c r="O187" s="170"/>
      <c r="P187" s="170"/>
      <c r="Q187" s="11"/>
      <c r="R187" s="11"/>
      <c r="S187" s="11"/>
      <c r="T187" s="11"/>
      <c r="U187" s="2"/>
      <c r="V187" s="4"/>
      <c r="W187" s="4" t="str">
        <f>IF(B187="","",IF(COUNTIF(CODE_MASTER_AS!A:A,B187)&gt;0,"OK","CHECK AS CODE"))</f>
        <v/>
      </c>
      <c r="X187" s="3" t="str">
        <f>IF(B187="","",_xludf.XLOOKUP(B187,CODE_MASTER_AS!A:A,CODE_MASTER_AS!E:E,""))</f>
        <v/>
      </c>
      <c r="Y187" s="3" t="str">
        <f>IF(B187="","",_xludf.XLOOKUP(B187,CODE_MASTER_AS!A:A,CODE_MASTER_AS!F:F,""))</f>
        <v/>
      </c>
      <c r="Z187" s="3" t="str">
        <f>IF(B187="","",_xludf.XLOOKUP(B187,CODE_MASTER_AS!A:A,CODE_MASTER_AS!G:G,""))</f>
        <v/>
      </c>
      <c r="AA187" s="3" t="str">
        <f>IF(B187="","",_xludf.XLOOKUP(B187,CODE_MASTER_AS!A:A,CODE_MASTER_AS!H:H,""))</f>
        <v/>
      </c>
      <c r="AB187" s="2"/>
    </row>
    <row r="188" spans="1:28" x14ac:dyDescent="0.2">
      <c r="A188" s="2"/>
      <c r="B188" s="2"/>
      <c r="C188" s="5"/>
      <c r="D188" s="5"/>
      <c r="E188" s="5"/>
      <c r="F188" s="170"/>
      <c r="G188" s="170"/>
      <c r="H188" s="170"/>
      <c r="I188" s="170"/>
      <c r="J188" s="170"/>
      <c r="K188" s="170"/>
      <c r="L188" s="170"/>
      <c r="M188" s="170"/>
      <c r="N188" s="170"/>
      <c r="O188" s="170"/>
      <c r="P188" s="170"/>
      <c r="Q188" s="11"/>
      <c r="R188" s="11"/>
      <c r="S188" s="11"/>
      <c r="T188" s="11"/>
      <c r="U188" s="2"/>
      <c r="V188" s="4"/>
      <c r="W188" s="4" t="str">
        <f>IF(B188="","",IF(COUNTIF(CODE_MASTER_AS!A:A,B188)&gt;0,"OK","CHECK AS CODE"))</f>
        <v/>
      </c>
      <c r="X188" s="3" t="str">
        <f>IF(B188="","",_xludf.XLOOKUP(B188,CODE_MASTER_AS!A:A,CODE_MASTER_AS!E:E,""))</f>
        <v/>
      </c>
      <c r="Y188" s="3" t="str">
        <f>IF(B188="","",_xludf.XLOOKUP(B188,CODE_MASTER_AS!A:A,CODE_MASTER_AS!F:F,""))</f>
        <v/>
      </c>
      <c r="Z188" s="3" t="str">
        <f>IF(B188="","",_xludf.XLOOKUP(B188,CODE_MASTER_AS!A:A,CODE_MASTER_AS!G:G,""))</f>
        <v/>
      </c>
      <c r="AA188" s="3" t="str">
        <f>IF(B188="","",_xludf.XLOOKUP(B188,CODE_MASTER_AS!A:A,CODE_MASTER_AS!H:H,""))</f>
        <v/>
      </c>
      <c r="AB188" s="2"/>
    </row>
    <row r="189" spans="1:28" x14ac:dyDescent="0.2">
      <c r="A189" s="2"/>
      <c r="B189" s="2"/>
      <c r="C189" s="5"/>
      <c r="D189" s="5"/>
      <c r="E189" s="5"/>
      <c r="F189" s="170"/>
      <c r="G189" s="170"/>
      <c r="H189" s="170"/>
      <c r="I189" s="170"/>
      <c r="J189" s="170"/>
      <c r="K189" s="170"/>
      <c r="L189" s="170"/>
      <c r="M189" s="170"/>
      <c r="N189" s="170"/>
      <c r="O189" s="170"/>
      <c r="P189" s="170"/>
      <c r="Q189" s="11"/>
      <c r="R189" s="11"/>
      <c r="S189" s="11"/>
      <c r="T189" s="11"/>
      <c r="U189" s="2"/>
      <c r="V189" s="4"/>
      <c r="W189" s="4" t="str">
        <f>IF(B189="","",IF(COUNTIF(CODE_MASTER_AS!A:A,B189)&gt;0,"OK","CHECK AS CODE"))</f>
        <v/>
      </c>
      <c r="X189" s="3" t="str">
        <f>IF(B189="","",_xludf.XLOOKUP(B189,CODE_MASTER_AS!A:A,CODE_MASTER_AS!E:E,""))</f>
        <v/>
      </c>
      <c r="Y189" s="3" t="str">
        <f>IF(B189="","",_xludf.XLOOKUP(B189,CODE_MASTER_AS!A:A,CODE_MASTER_AS!F:F,""))</f>
        <v/>
      </c>
      <c r="Z189" s="3" t="str">
        <f>IF(B189="","",_xludf.XLOOKUP(B189,CODE_MASTER_AS!A:A,CODE_MASTER_AS!G:G,""))</f>
        <v/>
      </c>
      <c r="AA189" s="3" t="str">
        <f>IF(B189="","",_xludf.XLOOKUP(B189,CODE_MASTER_AS!A:A,CODE_MASTER_AS!H:H,""))</f>
        <v/>
      </c>
      <c r="AB189" s="2"/>
    </row>
    <row r="190" spans="1:28" x14ac:dyDescent="0.2">
      <c r="A190" s="2"/>
      <c r="B190" s="2"/>
      <c r="C190" s="5"/>
      <c r="D190" s="5"/>
      <c r="E190" s="5"/>
      <c r="F190" s="170"/>
      <c r="G190" s="170"/>
      <c r="H190" s="170"/>
      <c r="I190" s="170"/>
      <c r="J190" s="170"/>
      <c r="K190" s="170"/>
      <c r="L190" s="170"/>
      <c r="M190" s="170"/>
      <c r="N190" s="170"/>
      <c r="O190" s="170"/>
      <c r="P190" s="170"/>
      <c r="Q190" s="11"/>
      <c r="R190" s="11"/>
      <c r="S190" s="11"/>
      <c r="T190" s="11"/>
      <c r="U190" s="2"/>
      <c r="V190" s="4"/>
      <c r="W190" s="4" t="str">
        <f>IF(B190="","",IF(COUNTIF(CODE_MASTER_AS!A:A,B190)&gt;0,"OK","CHECK AS CODE"))</f>
        <v/>
      </c>
      <c r="X190" s="3" t="str">
        <f>IF(B190="","",_xludf.XLOOKUP(B190,CODE_MASTER_AS!A:A,CODE_MASTER_AS!E:E,""))</f>
        <v/>
      </c>
      <c r="Y190" s="3" t="str">
        <f>IF(B190="","",_xludf.XLOOKUP(B190,CODE_MASTER_AS!A:A,CODE_MASTER_AS!F:F,""))</f>
        <v/>
      </c>
      <c r="Z190" s="3" t="str">
        <f>IF(B190="","",_xludf.XLOOKUP(B190,CODE_MASTER_AS!A:A,CODE_MASTER_AS!G:G,""))</f>
        <v/>
      </c>
      <c r="AA190" s="3" t="str">
        <f>IF(B190="","",_xludf.XLOOKUP(B190,CODE_MASTER_AS!A:A,CODE_MASTER_AS!H:H,""))</f>
        <v/>
      </c>
      <c r="AB190" s="2"/>
    </row>
    <row r="191" spans="1:28" x14ac:dyDescent="0.2">
      <c r="A191" s="2"/>
      <c r="B191" s="2"/>
      <c r="C191" s="5"/>
      <c r="D191" s="5"/>
      <c r="E191" s="5"/>
      <c r="F191" s="170"/>
      <c r="G191" s="170"/>
      <c r="H191" s="170"/>
      <c r="I191" s="170"/>
      <c r="J191" s="170"/>
      <c r="K191" s="170"/>
      <c r="L191" s="170"/>
      <c r="M191" s="170"/>
      <c r="N191" s="170"/>
      <c r="O191" s="170"/>
      <c r="P191" s="170"/>
      <c r="Q191" s="11"/>
      <c r="R191" s="11"/>
      <c r="S191" s="11"/>
      <c r="T191" s="11"/>
      <c r="U191" s="2"/>
      <c r="V191" s="4"/>
      <c r="W191" s="4" t="str">
        <f>IF(B191="","",IF(COUNTIF(CODE_MASTER_AS!A:A,B191)&gt;0,"OK","CHECK AS CODE"))</f>
        <v/>
      </c>
      <c r="X191" s="3" t="str">
        <f>IF(B191="","",_xludf.XLOOKUP(B191,CODE_MASTER_AS!A:A,CODE_MASTER_AS!E:E,""))</f>
        <v/>
      </c>
      <c r="Y191" s="3" t="str">
        <f>IF(B191="","",_xludf.XLOOKUP(B191,CODE_MASTER_AS!A:A,CODE_MASTER_AS!F:F,""))</f>
        <v/>
      </c>
      <c r="Z191" s="3" t="str">
        <f>IF(B191="","",_xludf.XLOOKUP(B191,CODE_MASTER_AS!A:A,CODE_MASTER_AS!G:G,""))</f>
        <v/>
      </c>
      <c r="AA191" s="3" t="str">
        <f>IF(B191="","",_xludf.XLOOKUP(B191,CODE_MASTER_AS!A:A,CODE_MASTER_AS!H:H,""))</f>
        <v/>
      </c>
      <c r="AB191" s="2"/>
    </row>
    <row r="192" spans="1:28" x14ac:dyDescent="0.2">
      <c r="A192" s="2"/>
      <c r="B192" s="2"/>
      <c r="C192" s="5"/>
      <c r="D192" s="5"/>
      <c r="E192" s="5"/>
      <c r="F192" s="170"/>
      <c r="G192" s="170"/>
      <c r="H192" s="170"/>
      <c r="I192" s="170"/>
      <c r="J192" s="170"/>
      <c r="K192" s="170"/>
      <c r="L192" s="170"/>
      <c r="M192" s="170"/>
      <c r="N192" s="170"/>
      <c r="O192" s="170"/>
      <c r="P192" s="170"/>
      <c r="Q192" s="11"/>
      <c r="R192" s="11"/>
      <c r="S192" s="11"/>
      <c r="T192" s="11"/>
      <c r="U192" s="2"/>
      <c r="V192" s="4"/>
      <c r="W192" s="4" t="str">
        <f>IF(B192="","",IF(COUNTIF(CODE_MASTER_AS!A:A,B192)&gt;0,"OK","CHECK AS CODE"))</f>
        <v/>
      </c>
      <c r="X192" s="3" t="str">
        <f>IF(B192="","",_xludf.XLOOKUP(B192,CODE_MASTER_AS!A:A,CODE_MASTER_AS!E:E,""))</f>
        <v/>
      </c>
      <c r="Y192" s="3" t="str">
        <f>IF(B192="","",_xludf.XLOOKUP(B192,CODE_MASTER_AS!A:A,CODE_MASTER_AS!F:F,""))</f>
        <v/>
      </c>
      <c r="Z192" s="3" t="str">
        <f>IF(B192="","",_xludf.XLOOKUP(B192,CODE_MASTER_AS!A:A,CODE_MASTER_AS!G:G,""))</f>
        <v/>
      </c>
      <c r="AA192" s="3" t="str">
        <f>IF(B192="","",_xludf.XLOOKUP(B192,CODE_MASTER_AS!A:A,CODE_MASTER_AS!H:H,""))</f>
        <v/>
      </c>
      <c r="AB192" s="2"/>
    </row>
    <row r="193" spans="1:28" x14ac:dyDescent="0.2">
      <c r="A193" s="2"/>
      <c r="B193" s="2"/>
      <c r="C193" s="5"/>
      <c r="D193" s="5"/>
      <c r="E193" s="5"/>
      <c r="F193" s="170"/>
      <c r="G193" s="170"/>
      <c r="H193" s="170"/>
      <c r="I193" s="170"/>
      <c r="J193" s="170"/>
      <c r="K193" s="170"/>
      <c r="L193" s="170"/>
      <c r="M193" s="170"/>
      <c r="N193" s="170"/>
      <c r="O193" s="170"/>
      <c r="P193" s="170"/>
      <c r="Q193" s="11"/>
      <c r="R193" s="11"/>
      <c r="S193" s="11"/>
      <c r="T193" s="11"/>
      <c r="U193" s="2"/>
      <c r="V193" s="4"/>
      <c r="W193" s="4" t="str">
        <f>IF(B193="","",IF(COUNTIF(CODE_MASTER_AS!A:A,B193)&gt;0,"OK","CHECK AS CODE"))</f>
        <v/>
      </c>
      <c r="X193" s="3" t="str">
        <f>IF(B193="","",_xludf.XLOOKUP(B193,CODE_MASTER_AS!A:A,CODE_MASTER_AS!E:E,""))</f>
        <v/>
      </c>
      <c r="Y193" s="3" t="str">
        <f>IF(B193="","",_xludf.XLOOKUP(B193,CODE_MASTER_AS!A:A,CODE_MASTER_AS!F:F,""))</f>
        <v/>
      </c>
      <c r="Z193" s="3" t="str">
        <f>IF(B193="","",_xludf.XLOOKUP(B193,CODE_MASTER_AS!A:A,CODE_MASTER_AS!G:G,""))</f>
        <v/>
      </c>
      <c r="AA193" s="3" t="str">
        <f>IF(B193="","",_xludf.XLOOKUP(B193,CODE_MASTER_AS!A:A,CODE_MASTER_AS!H:H,""))</f>
        <v/>
      </c>
      <c r="AB193" s="2"/>
    </row>
    <row r="194" spans="1:28" x14ac:dyDescent="0.2">
      <c r="A194" s="2"/>
      <c r="B194" s="2"/>
      <c r="C194" s="5"/>
      <c r="D194" s="5"/>
      <c r="E194" s="5"/>
      <c r="F194" s="170"/>
      <c r="G194" s="170"/>
      <c r="H194" s="170"/>
      <c r="I194" s="170"/>
      <c r="J194" s="170"/>
      <c r="K194" s="170"/>
      <c r="L194" s="170"/>
      <c r="M194" s="170"/>
      <c r="N194" s="170"/>
      <c r="O194" s="170"/>
      <c r="P194" s="170"/>
      <c r="Q194" s="11"/>
      <c r="R194" s="11"/>
      <c r="S194" s="11"/>
      <c r="T194" s="11"/>
      <c r="U194" s="2"/>
      <c r="V194" s="4"/>
      <c r="W194" s="4" t="str">
        <f>IF(B194="","",IF(COUNTIF(CODE_MASTER_AS!A:A,B194)&gt;0,"OK","CHECK AS CODE"))</f>
        <v/>
      </c>
      <c r="X194" s="3" t="str">
        <f>IF(B194="","",_xludf.XLOOKUP(B194,CODE_MASTER_AS!A:A,CODE_MASTER_AS!E:E,""))</f>
        <v/>
      </c>
      <c r="Y194" s="3" t="str">
        <f>IF(B194="","",_xludf.XLOOKUP(B194,CODE_MASTER_AS!A:A,CODE_MASTER_AS!F:F,""))</f>
        <v/>
      </c>
      <c r="Z194" s="3" t="str">
        <f>IF(B194="","",_xludf.XLOOKUP(B194,CODE_MASTER_AS!A:A,CODE_MASTER_AS!G:G,""))</f>
        <v/>
      </c>
      <c r="AA194" s="3" t="str">
        <f>IF(B194="","",_xludf.XLOOKUP(B194,CODE_MASTER_AS!A:A,CODE_MASTER_AS!H:H,""))</f>
        <v/>
      </c>
      <c r="AB194" s="2"/>
    </row>
    <row r="195" spans="1:28" x14ac:dyDescent="0.2">
      <c r="A195" s="2"/>
      <c r="B195" s="2"/>
      <c r="C195" s="5"/>
      <c r="D195" s="5"/>
      <c r="E195" s="5"/>
      <c r="F195" s="170"/>
      <c r="G195" s="170"/>
      <c r="H195" s="170"/>
      <c r="I195" s="170"/>
      <c r="J195" s="170"/>
      <c r="K195" s="170"/>
      <c r="L195" s="170"/>
      <c r="M195" s="170"/>
      <c r="N195" s="170"/>
      <c r="O195" s="170"/>
      <c r="P195" s="170"/>
      <c r="Q195" s="11"/>
      <c r="R195" s="11"/>
      <c r="S195" s="11"/>
      <c r="T195" s="11"/>
      <c r="U195" s="2"/>
      <c r="V195" s="4"/>
      <c r="W195" s="4" t="str">
        <f>IF(B195="","",IF(COUNTIF(CODE_MASTER_AS!A:A,B195)&gt;0,"OK","CHECK AS CODE"))</f>
        <v/>
      </c>
      <c r="X195" s="3" t="str">
        <f>IF(B195="","",_xludf.XLOOKUP(B195,CODE_MASTER_AS!A:A,CODE_MASTER_AS!E:E,""))</f>
        <v/>
      </c>
      <c r="Y195" s="3" t="str">
        <f>IF(B195="","",_xludf.XLOOKUP(B195,CODE_MASTER_AS!A:A,CODE_MASTER_AS!F:F,""))</f>
        <v/>
      </c>
      <c r="Z195" s="3" t="str">
        <f>IF(B195="","",_xludf.XLOOKUP(B195,CODE_MASTER_AS!A:A,CODE_MASTER_AS!G:G,""))</f>
        <v/>
      </c>
      <c r="AA195" s="3" t="str">
        <f>IF(B195="","",_xludf.XLOOKUP(B195,CODE_MASTER_AS!A:A,CODE_MASTER_AS!H:H,""))</f>
        <v/>
      </c>
      <c r="AB195" s="2"/>
    </row>
    <row r="196" spans="1:28" x14ac:dyDescent="0.2">
      <c r="A196" s="2"/>
      <c r="B196" s="2"/>
      <c r="C196" s="5"/>
      <c r="D196" s="5"/>
      <c r="E196" s="5"/>
      <c r="F196" s="170"/>
      <c r="G196" s="170"/>
      <c r="H196" s="170"/>
      <c r="I196" s="170"/>
      <c r="J196" s="170"/>
      <c r="K196" s="170"/>
      <c r="L196" s="170"/>
      <c r="M196" s="170"/>
      <c r="N196" s="170"/>
      <c r="O196" s="170"/>
      <c r="P196" s="170"/>
      <c r="Q196" s="11"/>
      <c r="R196" s="11"/>
      <c r="S196" s="11"/>
      <c r="T196" s="11"/>
      <c r="U196" s="2"/>
      <c r="V196" s="4"/>
      <c r="W196" s="4" t="str">
        <f>IF(B196="","",IF(COUNTIF(CODE_MASTER_AS!A:A,B196)&gt;0,"OK","CHECK AS CODE"))</f>
        <v/>
      </c>
      <c r="X196" s="3" t="str">
        <f>IF(B196="","",_xludf.XLOOKUP(B196,CODE_MASTER_AS!A:A,CODE_MASTER_AS!E:E,""))</f>
        <v/>
      </c>
      <c r="Y196" s="3" t="str">
        <f>IF(B196="","",_xludf.XLOOKUP(B196,CODE_MASTER_AS!A:A,CODE_MASTER_AS!F:F,""))</f>
        <v/>
      </c>
      <c r="Z196" s="3" t="str">
        <f>IF(B196="","",_xludf.XLOOKUP(B196,CODE_MASTER_AS!A:A,CODE_MASTER_AS!G:G,""))</f>
        <v/>
      </c>
      <c r="AA196" s="3" t="str">
        <f>IF(B196="","",_xludf.XLOOKUP(B196,CODE_MASTER_AS!A:A,CODE_MASTER_AS!H:H,""))</f>
        <v/>
      </c>
      <c r="AB196" s="2"/>
    </row>
    <row r="197" spans="1:28" x14ac:dyDescent="0.2">
      <c r="A197" s="2"/>
      <c r="B197" s="2"/>
      <c r="C197" s="5"/>
      <c r="D197" s="5"/>
      <c r="E197" s="5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1"/>
      <c r="R197" s="11"/>
      <c r="S197" s="11"/>
      <c r="T197" s="11"/>
      <c r="U197" s="2"/>
      <c r="V197" s="4"/>
      <c r="W197" s="4" t="str">
        <f>IF(B197="","",IF(COUNTIF(CODE_MASTER_AS!A:A,B197)&gt;0,"OK","CHECK AS CODE"))</f>
        <v/>
      </c>
      <c r="X197" s="3" t="str">
        <f>IF(B197="","",_xludf.XLOOKUP(B197,CODE_MASTER_AS!A:A,CODE_MASTER_AS!E:E,""))</f>
        <v/>
      </c>
      <c r="Y197" s="3" t="str">
        <f>IF(B197="","",_xludf.XLOOKUP(B197,CODE_MASTER_AS!A:A,CODE_MASTER_AS!F:F,""))</f>
        <v/>
      </c>
      <c r="Z197" s="3" t="str">
        <f>IF(B197="","",_xludf.XLOOKUP(B197,CODE_MASTER_AS!A:A,CODE_MASTER_AS!G:G,""))</f>
        <v/>
      </c>
      <c r="AA197" s="3" t="str">
        <f>IF(B197="","",_xludf.XLOOKUP(B197,CODE_MASTER_AS!A:A,CODE_MASTER_AS!H:H,""))</f>
        <v/>
      </c>
      <c r="AB197" s="2"/>
    </row>
    <row r="198" spans="1:28" x14ac:dyDescent="0.2">
      <c r="A198" s="2"/>
      <c r="B198" s="2"/>
      <c r="C198" s="5"/>
      <c r="D198" s="5"/>
      <c r="E198" s="5"/>
      <c r="F198" s="170"/>
      <c r="G198" s="170"/>
      <c r="H198" s="170"/>
      <c r="I198" s="170"/>
      <c r="J198" s="170"/>
      <c r="K198" s="170"/>
      <c r="L198" s="170"/>
      <c r="M198" s="170"/>
      <c r="N198" s="170"/>
      <c r="O198" s="170"/>
      <c r="P198" s="170"/>
      <c r="Q198" s="11"/>
      <c r="R198" s="11"/>
      <c r="S198" s="11"/>
      <c r="T198" s="11"/>
      <c r="U198" s="2"/>
      <c r="V198" s="4"/>
      <c r="W198" s="4" t="str">
        <f>IF(B198="","",IF(COUNTIF(CODE_MASTER_AS!A:A,B198)&gt;0,"OK","CHECK AS CODE"))</f>
        <v/>
      </c>
      <c r="X198" s="3" t="str">
        <f>IF(B198="","",_xludf.XLOOKUP(B198,CODE_MASTER_AS!A:A,CODE_MASTER_AS!E:E,""))</f>
        <v/>
      </c>
      <c r="Y198" s="3" t="str">
        <f>IF(B198="","",_xludf.XLOOKUP(B198,CODE_MASTER_AS!A:A,CODE_MASTER_AS!F:F,""))</f>
        <v/>
      </c>
      <c r="Z198" s="3" t="str">
        <f>IF(B198="","",_xludf.XLOOKUP(B198,CODE_MASTER_AS!A:A,CODE_MASTER_AS!G:G,""))</f>
        <v/>
      </c>
      <c r="AA198" s="3" t="str">
        <f>IF(B198="","",_xludf.XLOOKUP(B198,CODE_MASTER_AS!A:A,CODE_MASTER_AS!H:H,""))</f>
        <v/>
      </c>
      <c r="AB198" s="2"/>
    </row>
    <row r="199" spans="1:28" x14ac:dyDescent="0.2">
      <c r="A199" s="2"/>
      <c r="B199" s="2"/>
      <c r="C199" s="5"/>
      <c r="D199" s="5"/>
      <c r="E199" s="5"/>
      <c r="F199" s="170"/>
      <c r="G199" s="170"/>
      <c r="H199" s="170"/>
      <c r="I199" s="170"/>
      <c r="J199" s="170"/>
      <c r="K199" s="170"/>
      <c r="L199" s="170"/>
      <c r="M199" s="170"/>
      <c r="N199" s="170"/>
      <c r="O199" s="170"/>
      <c r="P199" s="170"/>
      <c r="Q199" s="11"/>
      <c r="R199" s="11"/>
      <c r="S199" s="11"/>
      <c r="T199" s="11"/>
      <c r="U199" s="2"/>
      <c r="V199" s="4"/>
      <c r="W199" s="4" t="str">
        <f>IF(B199="","",IF(COUNTIF(CODE_MASTER_AS!A:A,B199)&gt;0,"OK","CHECK AS CODE"))</f>
        <v/>
      </c>
      <c r="X199" s="3" t="str">
        <f>IF(B199="","",_xludf.XLOOKUP(B199,CODE_MASTER_AS!A:A,CODE_MASTER_AS!E:E,""))</f>
        <v/>
      </c>
      <c r="Y199" s="3" t="str">
        <f>IF(B199="","",_xludf.XLOOKUP(B199,CODE_MASTER_AS!A:A,CODE_MASTER_AS!F:F,""))</f>
        <v/>
      </c>
      <c r="Z199" s="3" t="str">
        <f>IF(B199="","",_xludf.XLOOKUP(B199,CODE_MASTER_AS!A:A,CODE_MASTER_AS!G:G,""))</f>
        <v/>
      </c>
      <c r="AA199" s="3" t="str">
        <f>IF(B199="","",_xludf.XLOOKUP(B199,CODE_MASTER_AS!A:A,CODE_MASTER_AS!H:H,""))</f>
        <v/>
      </c>
      <c r="AB199" s="2"/>
    </row>
    <row r="200" spans="1:28" x14ac:dyDescent="0.2">
      <c r="A200" s="2"/>
      <c r="B200" s="2"/>
      <c r="C200" s="5"/>
      <c r="D200" s="5"/>
      <c r="E200" s="5"/>
      <c r="F200" s="170"/>
      <c r="G200" s="170"/>
      <c r="H200" s="170"/>
      <c r="I200" s="170"/>
      <c r="J200" s="170"/>
      <c r="K200" s="170"/>
      <c r="L200" s="170"/>
      <c r="M200" s="170"/>
      <c r="N200" s="170"/>
      <c r="O200" s="170"/>
      <c r="P200" s="170"/>
      <c r="Q200" s="11"/>
      <c r="R200" s="11"/>
      <c r="S200" s="11"/>
      <c r="T200" s="11"/>
      <c r="U200" s="2"/>
      <c r="V200" s="4"/>
      <c r="W200" s="4" t="str">
        <f>IF(B200="","",IF(COUNTIF(CODE_MASTER_AS!A:A,B200)&gt;0,"OK","CHECK AS CODE"))</f>
        <v/>
      </c>
      <c r="X200" s="3" t="str">
        <f>IF(B200="","",_xludf.XLOOKUP(B200,CODE_MASTER_AS!A:A,CODE_MASTER_AS!E:E,""))</f>
        <v/>
      </c>
      <c r="Y200" s="3" t="str">
        <f>IF(B200="","",_xludf.XLOOKUP(B200,CODE_MASTER_AS!A:A,CODE_MASTER_AS!F:F,""))</f>
        <v/>
      </c>
      <c r="Z200" s="3" t="str">
        <f>IF(B200="","",_xludf.XLOOKUP(B200,CODE_MASTER_AS!A:A,CODE_MASTER_AS!G:G,""))</f>
        <v/>
      </c>
      <c r="AA200" s="3" t="str">
        <f>IF(B200="","",_xludf.XLOOKUP(B200,CODE_MASTER_AS!A:A,CODE_MASTER_AS!H:H,""))</f>
        <v/>
      </c>
      <c r="AB200" s="2"/>
    </row>
    <row r="201" spans="1:28" x14ac:dyDescent="0.2">
      <c r="A201" s="2"/>
      <c r="B201" s="2"/>
      <c r="C201" s="5"/>
      <c r="D201" s="5"/>
      <c r="E201" s="5"/>
      <c r="F201" s="170"/>
      <c r="G201" s="170"/>
      <c r="H201" s="170"/>
      <c r="I201" s="170"/>
      <c r="J201" s="170"/>
      <c r="K201" s="170"/>
      <c r="L201" s="170"/>
      <c r="M201" s="170"/>
      <c r="N201" s="170"/>
      <c r="O201" s="170"/>
      <c r="P201" s="170"/>
      <c r="Q201" s="11"/>
      <c r="R201" s="11"/>
      <c r="S201" s="11"/>
      <c r="T201" s="11"/>
      <c r="U201" s="2"/>
      <c r="V201" s="4"/>
      <c r="W201" s="4" t="str">
        <f>IF(B201="","",IF(COUNTIF(CODE_MASTER_AS!A:A,B201)&gt;0,"OK","CHECK AS CODE"))</f>
        <v/>
      </c>
      <c r="X201" s="3" t="str">
        <f>IF(B201="","",_xludf.XLOOKUP(B201,CODE_MASTER_AS!A:A,CODE_MASTER_AS!E:E,""))</f>
        <v/>
      </c>
      <c r="Y201" s="3" t="str">
        <f>IF(B201="","",_xludf.XLOOKUP(B201,CODE_MASTER_AS!A:A,CODE_MASTER_AS!F:F,""))</f>
        <v/>
      </c>
      <c r="Z201" s="3" t="str">
        <f>IF(B201="","",_xludf.XLOOKUP(B201,CODE_MASTER_AS!A:A,CODE_MASTER_AS!G:G,""))</f>
        <v/>
      </c>
      <c r="AA201" s="3" t="str">
        <f>IF(B201="","",_xludf.XLOOKUP(B201,CODE_MASTER_AS!A:A,CODE_MASTER_AS!H:H,""))</f>
        <v/>
      </c>
      <c r="AB201" s="2"/>
    </row>
    <row r="202" spans="1:28" x14ac:dyDescent="0.2">
      <c r="A202" s="2"/>
      <c r="B202" s="2"/>
      <c r="C202" s="5"/>
      <c r="D202" s="5"/>
      <c r="E202" s="5"/>
      <c r="F202" s="170"/>
      <c r="G202" s="170"/>
      <c r="H202" s="170"/>
      <c r="I202" s="170"/>
      <c r="J202" s="170"/>
      <c r="K202" s="170"/>
      <c r="L202" s="170"/>
      <c r="M202" s="170"/>
      <c r="N202" s="170"/>
      <c r="O202" s="170"/>
      <c r="P202" s="170"/>
      <c r="Q202" s="11"/>
      <c r="R202" s="11"/>
      <c r="S202" s="11"/>
      <c r="T202" s="11"/>
      <c r="U202" s="2"/>
      <c r="V202" s="4"/>
      <c r="W202" s="4" t="str">
        <f>IF(B202="","",IF(COUNTIF(CODE_MASTER_AS!A:A,B202)&gt;0,"OK","CHECK AS CODE"))</f>
        <v/>
      </c>
      <c r="X202" s="3" t="str">
        <f>IF(B202="","",_xludf.XLOOKUP(B202,CODE_MASTER_AS!A:A,CODE_MASTER_AS!E:E,""))</f>
        <v/>
      </c>
      <c r="Y202" s="3" t="str">
        <f>IF(B202="","",_xludf.XLOOKUP(B202,CODE_MASTER_AS!A:A,CODE_MASTER_AS!F:F,""))</f>
        <v/>
      </c>
      <c r="Z202" s="3" t="str">
        <f>IF(B202="","",_xludf.XLOOKUP(B202,CODE_MASTER_AS!A:A,CODE_MASTER_AS!G:G,""))</f>
        <v/>
      </c>
      <c r="AA202" s="3" t="str">
        <f>IF(B202="","",_xludf.XLOOKUP(B202,CODE_MASTER_AS!A:A,CODE_MASTER_AS!H:H,""))</f>
        <v/>
      </c>
      <c r="AB202" s="2"/>
    </row>
    <row r="203" spans="1:28" x14ac:dyDescent="0.2">
      <c r="A203" s="2"/>
      <c r="B203" s="2"/>
      <c r="C203" s="5"/>
      <c r="D203" s="5"/>
      <c r="E203" s="5"/>
      <c r="F203" s="170"/>
      <c r="G203" s="170"/>
      <c r="H203" s="170"/>
      <c r="I203" s="170"/>
      <c r="J203" s="170"/>
      <c r="K203" s="170"/>
      <c r="L203" s="170"/>
      <c r="M203" s="170"/>
      <c r="N203" s="170"/>
      <c r="O203" s="170"/>
      <c r="P203" s="170"/>
      <c r="Q203" s="11"/>
      <c r="R203" s="11"/>
      <c r="S203" s="11"/>
      <c r="T203" s="11"/>
      <c r="U203" s="2"/>
      <c r="V203" s="4"/>
      <c r="W203" s="4" t="str">
        <f>IF(B203="","",IF(COUNTIF(CODE_MASTER_AS!A:A,B203)&gt;0,"OK","CHECK AS CODE"))</f>
        <v/>
      </c>
      <c r="X203" s="3" t="str">
        <f>IF(B203="","",_xludf.XLOOKUP(B203,CODE_MASTER_AS!A:A,CODE_MASTER_AS!E:E,""))</f>
        <v/>
      </c>
      <c r="Y203" s="3" t="str">
        <f>IF(B203="","",_xludf.XLOOKUP(B203,CODE_MASTER_AS!A:A,CODE_MASTER_AS!F:F,""))</f>
        <v/>
      </c>
      <c r="Z203" s="3" t="str">
        <f>IF(B203="","",_xludf.XLOOKUP(B203,CODE_MASTER_AS!A:A,CODE_MASTER_AS!G:G,""))</f>
        <v/>
      </c>
      <c r="AA203" s="3" t="str">
        <f>IF(B203="","",_xludf.XLOOKUP(B203,CODE_MASTER_AS!A:A,CODE_MASTER_AS!H:H,""))</f>
        <v/>
      </c>
      <c r="AB203" s="2"/>
    </row>
    <row r="204" spans="1:28" x14ac:dyDescent="0.2">
      <c r="A204" s="2"/>
      <c r="B204" s="2"/>
      <c r="C204" s="5"/>
      <c r="D204" s="5"/>
      <c r="E204" s="5"/>
      <c r="F204" s="170"/>
      <c r="G204" s="170"/>
      <c r="H204" s="170"/>
      <c r="I204" s="170"/>
      <c r="J204" s="170"/>
      <c r="K204" s="170"/>
      <c r="L204" s="170"/>
      <c r="M204" s="170"/>
      <c r="N204" s="170"/>
      <c r="O204" s="170"/>
      <c r="P204" s="170"/>
      <c r="Q204" s="11"/>
      <c r="R204" s="11"/>
      <c r="S204" s="11"/>
      <c r="T204" s="11"/>
      <c r="U204" s="2"/>
      <c r="V204" s="4"/>
      <c r="W204" s="4" t="str">
        <f>IF(B204="","",IF(COUNTIF(CODE_MASTER_AS!A:A,B204)&gt;0,"OK","CHECK AS CODE"))</f>
        <v/>
      </c>
      <c r="X204" s="3" t="str">
        <f>IF(B204="","",_xludf.XLOOKUP(B204,CODE_MASTER_AS!A:A,CODE_MASTER_AS!E:E,""))</f>
        <v/>
      </c>
      <c r="Y204" s="3" t="str">
        <f>IF(B204="","",_xludf.XLOOKUP(B204,CODE_MASTER_AS!A:A,CODE_MASTER_AS!F:F,""))</f>
        <v/>
      </c>
      <c r="Z204" s="3" t="str">
        <f>IF(B204="","",_xludf.XLOOKUP(B204,CODE_MASTER_AS!A:A,CODE_MASTER_AS!G:G,""))</f>
        <v/>
      </c>
      <c r="AA204" s="3" t="str">
        <f>IF(B204="","",_xludf.XLOOKUP(B204,CODE_MASTER_AS!A:A,CODE_MASTER_AS!H:H,""))</f>
        <v/>
      </c>
      <c r="AB204" s="2"/>
    </row>
    <row r="205" spans="1:28" x14ac:dyDescent="0.2">
      <c r="A205" s="2"/>
      <c r="B205" s="2"/>
      <c r="C205" s="5"/>
      <c r="D205" s="5"/>
      <c r="E205" s="5"/>
      <c r="F205" s="170"/>
      <c r="G205" s="170"/>
      <c r="H205" s="170"/>
      <c r="I205" s="170"/>
      <c r="J205" s="170"/>
      <c r="K205" s="170"/>
      <c r="L205" s="170"/>
      <c r="M205" s="170"/>
      <c r="N205" s="170"/>
      <c r="O205" s="170"/>
      <c r="P205" s="170"/>
      <c r="Q205" s="11"/>
      <c r="R205" s="11"/>
      <c r="S205" s="11"/>
      <c r="T205" s="11"/>
      <c r="U205" s="2"/>
      <c r="V205" s="4"/>
      <c r="W205" s="4" t="str">
        <f>IF(B205="","",IF(COUNTIF(CODE_MASTER_AS!A:A,B205)&gt;0,"OK","CHECK AS CODE"))</f>
        <v/>
      </c>
      <c r="X205" s="3" t="str">
        <f>IF(B205="","",_xludf.XLOOKUP(B205,CODE_MASTER_AS!A:A,CODE_MASTER_AS!E:E,""))</f>
        <v/>
      </c>
      <c r="Y205" s="3" t="str">
        <f>IF(B205="","",_xludf.XLOOKUP(B205,CODE_MASTER_AS!A:A,CODE_MASTER_AS!F:F,""))</f>
        <v/>
      </c>
      <c r="Z205" s="3" t="str">
        <f>IF(B205="","",_xludf.XLOOKUP(B205,CODE_MASTER_AS!A:A,CODE_MASTER_AS!G:G,""))</f>
        <v/>
      </c>
      <c r="AA205" s="3" t="str">
        <f>IF(B205="","",_xludf.XLOOKUP(B205,CODE_MASTER_AS!A:A,CODE_MASTER_AS!H:H,""))</f>
        <v/>
      </c>
      <c r="AB205" s="2"/>
    </row>
    <row r="206" spans="1:28" x14ac:dyDescent="0.2">
      <c r="A206" s="2"/>
      <c r="B206" s="2"/>
      <c r="C206" s="5"/>
      <c r="D206" s="5"/>
      <c r="E206" s="5"/>
      <c r="F206" s="170"/>
      <c r="G206" s="170"/>
      <c r="H206" s="170"/>
      <c r="I206" s="170"/>
      <c r="J206" s="170"/>
      <c r="K206" s="170"/>
      <c r="L206" s="170"/>
      <c r="M206" s="170"/>
      <c r="N206" s="170"/>
      <c r="O206" s="170"/>
      <c r="P206" s="170"/>
      <c r="Q206" s="11"/>
      <c r="R206" s="11"/>
      <c r="S206" s="11"/>
      <c r="T206" s="11"/>
      <c r="U206" s="2"/>
      <c r="V206" s="4"/>
      <c r="W206" s="4" t="str">
        <f>IF(B206="","",IF(COUNTIF(CODE_MASTER_AS!A:A,B206)&gt;0,"OK","CHECK AS CODE"))</f>
        <v/>
      </c>
      <c r="X206" s="3" t="str">
        <f>IF(B206="","",_xludf.XLOOKUP(B206,CODE_MASTER_AS!A:A,CODE_MASTER_AS!E:E,""))</f>
        <v/>
      </c>
      <c r="Y206" s="3" t="str">
        <f>IF(B206="","",_xludf.XLOOKUP(B206,CODE_MASTER_AS!A:A,CODE_MASTER_AS!F:F,""))</f>
        <v/>
      </c>
      <c r="Z206" s="3" t="str">
        <f>IF(B206="","",_xludf.XLOOKUP(B206,CODE_MASTER_AS!A:A,CODE_MASTER_AS!G:G,""))</f>
        <v/>
      </c>
      <c r="AA206" s="3" t="str">
        <f>IF(B206="","",_xludf.XLOOKUP(B206,CODE_MASTER_AS!A:A,CODE_MASTER_AS!H:H,""))</f>
        <v/>
      </c>
      <c r="AB206" s="2"/>
    </row>
    <row r="207" spans="1:28" x14ac:dyDescent="0.2">
      <c r="A207" s="2"/>
      <c r="B207" s="2"/>
      <c r="C207" s="5"/>
      <c r="D207" s="5"/>
      <c r="E207" s="5"/>
      <c r="F207" s="170"/>
      <c r="G207" s="170"/>
      <c r="H207" s="170"/>
      <c r="I207" s="170"/>
      <c r="J207" s="170"/>
      <c r="K207" s="170"/>
      <c r="L207" s="170"/>
      <c r="M207" s="170"/>
      <c r="N207" s="170"/>
      <c r="O207" s="170"/>
      <c r="P207" s="170"/>
      <c r="Q207" s="11"/>
      <c r="R207" s="11"/>
      <c r="S207" s="11"/>
      <c r="T207" s="11"/>
      <c r="U207" s="2"/>
      <c r="V207" s="4"/>
      <c r="W207" s="4" t="str">
        <f>IF(B207="","",IF(COUNTIF(CODE_MASTER_AS!A:A,B207)&gt;0,"OK","CHECK AS CODE"))</f>
        <v/>
      </c>
      <c r="X207" s="3" t="str">
        <f>IF(B207="","",_xludf.XLOOKUP(B207,CODE_MASTER_AS!A:A,CODE_MASTER_AS!E:E,""))</f>
        <v/>
      </c>
      <c r="Y207" s="3" t="str">
        <f>IF(B207="","",_xludf.XLOOKUP(B207,CODE_MASTER_AS!A:A,CODE_MASTER_AS!F:F,""))</f>
        <v/>
      </c>
      <c r="Z207" s="3" t="str">
        <f>IF(B207="","",_xludf.XLOOKUP(B207,CODE_MASTER_AS!A:A,CODE_MASTER_AS!G:G,""))</f>
        <v/>
      </c>
      <c r="AA207" s="3" t="str">
        <f>IF(B207="","",_xludf.XLOOKUP(B207,CODE_MASTER_AS!A:A,CODE_MASTER_AS!H:H,""))</f>
        <v/>
      </c>
      <c r="AB207" s="2"/>
    </row>
    <row r="208" spans="1:28" x14ac:dyDescent="0.2">
      <c r="A208" s="2"/>
      <c r="B208" s="2"/>
      <c r="C208" s="5"/>
      <c r="D208" s="5"/>
      <c r="E208" s="5"/>
      <c r="F208" s="170"/>
      <c r="G208" s="170"/>
      <c r="H208" s="170"/>
      <c r="I208" s="170"/>
      <c r="J208" s="170"/>
      <c r="K208" s="170"/>
      <c r="L208" s="170"/>
      <c r="M208" s="170"/>
      <c r="N208" s="170"/>
      <c r="O208" s="170"/>
      <c r="P208" s="170"/>
      <c r="Q208" s="11"/>
      <c r="R208" s="11"/>
      <c r="S208" s="11"/>
      <c r="T208" s="11"/>
      <c r="U208" s="2"/>
      <c r="V208" s="4"/>
      <c r="W208" s="4" t="str">
        <f>IF(B208="","",IF(COUNTIF(CODE_MASTER_AS!A:A,B208)&gt;0,"OK","CHECK AS CODE"))</f>
        <v/>
      </c>
      <c r="X208" s="3" t="str">
        <f>IF(B208="","",_xludf.XLOOKUP(B208,CODE_MASTER_AS!A:A,CODE_MASTER_AS!E:E,""))</f>
        <v/>
      </c>
      <c r="Y208" s="3" t="str">
        <f>IF(B208="","",_xludf.XLOOKUP(B208,CODE_MASTER_AS!A:A,CODE_MASTER_AS!F:F,""))</f>
        <v/>
      </c>
      <c r="Z208" s="3" t="str">
        <f>IF(B208="","",_xludf.XLOOKUP(B208,CODE_MASTER_AS!A:A,CODE_MASTER_AS!G:G,""))</f>
        <v/>
      </c>
      <c r="AA208" s="3" t="str">
        <f>IF(B208="","",_xludf.XLOOKUP(B208,CODE_MASTER_AS!A:A,CODE_MASTER_AS!H:H,""))</f>
        <v/>
      </c>
      <c r="AB208" s="2"/>
    </row>
    <row r="209" spans="1:28" x14ac:dyDescent="0.2">
      <c r="A209" s="2"/>
      <c r="B209" s="2"/>
      <c r="C209" s="5"/>
      <c r="D209" s="5"/>
      <c r="E209" s="5"/>
      <c r="F209" s="170"/>
      <c r="G209" s="170"/>
      <c r="H209" s="170"/>
      <c r="I209" s="170"/>
      <c r="J209" s="170"/>
      <c r="K209" s="170"/>
      <c r="L209" s="170"/>
      <c r="M209" s="170"/>
      <c r="N209" s="170"/>
      <c r="O209" s="170"/>
      <c r="P209" s="170"/>
      <c r="Q209" s="11"/>
      <c r="R209" s="11"/>
      <c r="S209" s="11"/>
      <c r="T209" s="11"/>
      <c r="U209" s="2"/>
      <c r="V209" s="4"/>
      <c r="W209" s="4" t="str">
        <f>IF(B209="","",IF(COUNTIF(CODE_MASTER_AS!A:A,B209)&gt;0,"OK","CHECK AS CODE"))</f>
        <v/>
      </c>
      <c r="X209" s="3" t="str">
        <f>IF(B209="","",_xludf.XLOOKUP(B209,CODE_MASTER_AS!A:A,CODE_MASTER_AS!E:E,""))</f>
        <v/>
      </c>
      <c r="Y209" s="3" t="str">
        <f>IF(B209="","",_xludf.XLOOKUP(B209,CODE_MASTER_AS!A:A,CODE_MASTER_AS!F:F,""))</f>
        <v/>
      </c>
      <c r="Z209" s="3" t="str">
        <f>IF(B209="","",_xludf.XLOOKUP(B209,CODE_MASTER_AS!A:A,CODE_MASTER_AS!G:G,""))</f>
        <v/>
      </c>
      <c r="AA209" s="3" t="str">
        <f>IF(B209="","",_xludf.XLOOKUP(B209,CODE_MASTER_AS!A:A,CODE_MASTER_AS!H:H,""))</f>
        <v/>
      </c>
      <c r="AB209" s="2"/>
    </row>
  </sheetData>
  <autoFilter ref="A2:AB209" xr:uid="{C820BCFC-8537-4B9F-B4C4-D52310B3708A}"/>
  <dataValidations count="1">
    <dataValidation type="list" allowBlank="1" sqref="U4:V209" xr:uid="{00000000-0002-0000-0200-000000000000}">
      <formula1>"UNTRIM,TRIM-AS,TRIM-CUSTOM"</formula1>
    </dataValidation>
  </dataValidations>
  <pageMargins left="0.75" right="0.75" top="1" bottom="1" header="0.5" footer="0.5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5BBA5-1A36-4DE6-91D3-601B1CD98BE2}">
  <sheetPr codeName="Sheet3"/>
  <dimension ref="A1:T20"/>
  <sheetViews>
    <sheetView showGridLines="0" workbookViewId="0">
      <pane ySplit="2" topLeftCell="A3" activePane="bottomLeft" state="frozen"/>
      <selection activeCell="F15" sqref="F15"/>
      <selection pane="bottomLeft" activeCell="B25" sqref="B25"/>
    </sheetView>
  </sheetViews>
  <sheetFormatPr baseColWidth="10" defaultColWidth="9.1640625" defaultRowHeight="14" x14ac:dyDescent="0.2"/>
  <cols>
    <col min="1" max="1" width="8" style="114" bestFit="1" customWidth="1"/>
    <col min="2" max="2" width="22.5" style="1" bestFit="1" customWidth="1"/>
    <col min="3" max="3" width="22.1640625" style="1" bestFit="1" customWidth="1"/>
    <col min="4" max="4" width="17" style="1" bestFit="1" customWidth="1"/>
    <col min="5" max="5" width="16.83203125" style="1" bestFit="1" customWidth="1"/>
    <col min="6" max="6" width="13" style="1" bestFit="1" customWidth="1"/>
    <col min="7" max="7" width="21.33203125" style="1" bestFit="1" customWidth="1"/>
    <col min="8" max="8" width="8.5" style="1" bestFit="1" customWidth="1"/>
    <col min="9" max="9" width="17.6640625" style="1" bestFit="1" customWidth="1"/>
    <col min="10" max="10" width="17.6640625" style="1" customWidth="1"/>
    <col min="11" max="11" width="11.6640625" style="1" bestFit="1" customWidth="1"/>
    <col min="12" max="12" width="12.6640625" style="1" bestFit="1" customWidth="1"/>
    <col min="13" max="13" width="12.5" style="1" bestFit="1" customWidth="1"/>
    <col min="14" max="14" width="13" style="1" bestFit="1" customWidth="1"/>
    <col min="15" max="15" width="12.6640625" style="1" bestFit="1" customWidth="1"/>
    <col min="16" max="16" width="13" style="1" bestFit="1" customWidth="1"/>
    <col min="17" max="18" width="13.5" style="1" bestFit="1" customWidth="1"/>
    <col min="19" max="19" width="13.33203125" style="1" bestFit="1" customWidth="1"/>
    <col min="20" max="20" width="13.5" style="1" bestFit="1" customWidth="1"/>
    <col min="21" max="16384" width="9.1640625" style="1"/>
  </cols>
  <sheetData>
    <row r="1" spans="1:20" x14ac:dyDescent="0.2">
      <c r="I1" s="120">
        <v>46142</v>
      </c>
      <c r="J1" s="120" t="s">
        <v>191</v>
      </c>
      <c r="K1" s="113">
        <v>46073</v>
      </c>
      <c r="L1" s="113" t="s">
        <v>191</v>
      </c>
      <c r="N1" s="119" t="s">
        <v>193</v>
      </c>
      <c r="O1" s="119" t="s">
        <v>194</v>
      </c>
      <c r="P1" s="119" t="s">
        <v>195</v>
      </c>
      <c r="Q1" s="119" t="s">
        <v>196</v>
      </c>
      <c r="R1" s="119" t="s">
        <v>197</v>
      </c>
      <c r="S1" s="119" t="s">
        <v>198</v>
      </c>
      <c r="T1" s="119" t="s">
        <v>199</v>
      </c>
    </row>
    <row r="2" spans="1:20" s="10" customFormat="1" ht="28" x14ac:dyDescent="0.2">
      <c r="A2" s="6" t="s">
        <v>164</v>
      </c>
      <c r="B2" s="6" t="s">
        <v>165</v>
      </c>
      <c r="C2" s="6" t="s">
        <v>166</v>
      </c>
      <c r="D2" s="6" t="s">
        <v>167</v>
      </c>
      <c r="E2" s="6" t="s">
        <v>168</v>
      </c>
      <c r="F2" s="6" t="s">
        <v>169</v>
      </c>
      <c r="G2" s="6" t="s">
        <v>170</v>
      </c>
      <c r="H2" s="6" t="s">
        <v>102</v>
      </c>
      <c r="I2" s="117" t="s">
        <v>192</v>
      </c>
      <c r="J2" s="117" t="s">
        <v>232</v>
      </c>
      <c r="K2" s="6" t="s">
        <v>171</v>
      </c>
      <c r="L2" s="6" t="s">
        <v>190</v>
      </c>
      <c r="M2" s="6" t="s">
        <v>135</v>
      </c>
      <c r="N2" s="118" t="s">
        <v>200</v>
      </c>
      <c r="O2" s="118" t="s">
        <v>130</v>
      </c>
      <c r="P2" s="118" t="s">
        <v>201</v>
      </c>
      <c r="Q2" s="118" t="s">
        <v>132</v>
      </c>
      <c r="R2" s="118" t="s">
        <v>202</v>
      </c>
      <c r="S2" s="118" t="s">
        <v>12</v>
      </c>
      <c r="T2" s="118" t="s">
        <v>203</v>
      </c>
    </row>
    <row r="3" spans="1:20" ht="15" x14ac:dyDescent="0.2">
      <c r="A3" s="111">
        <v>1</v>
      </c>
      <c r="B3" s="111" t="s">
        <v>172</v>
      </c>
      <c r="C3" s="111" t="s">
        <v>89</v>
      </c>
      <c r="D3" s="110" t="s">
        <v>173</v>
      </c>
      <c r="E3" s="110" t="s">
        <v>174</v>
      </c>
      <c r="F3" s="111">
        <v>16</v>
      </c>
      <c r="G3" s="111">
        <v>1</v>
      </c>
      <c r="H3" s="111">
        <v>30</v>
      </c>
      <c r="I3" s="116">
        <v>0.2229104311688373</v>
      </c>
      <c r="J3" s="115">
        <v>0.2009</v>
      </c>
      <c r="K3" s="112">
        <v>0.17876632361219028</v>
      </c>
      <c r="L3" s="112">
        <v>0.20085778754976075</v>
      </c>
      <c r="M3" s="110" t="s">
        <v>175</v>
      </c>
      <c r="N3"/>
      <c r="O3"/>
      <c r="P3"/>
      <c r="Q3"/>
      <c r="R3"/>
      <c r="S3"/>
    </row>
    <row r="4" spans="1:20" ht="15" x14ac:dyDescent="0.2">
      <c r="A4" s="111">
        <v>2</v>
      </c>
      <c r="B4" s="111" t="s">
        <v>176</v>
      </c>
      <c r="C4" s="111" t="s">
        <v>45</v>
      </c>
      <c r="D4" s="110" t="s">
        <v>177</v>
      </c>
      <c r="E4" s="110" t="s">
        <v>174</v>
      </c>
      <c r="F4" s="111">
        <v>17.920000000000002</v>
      </c>
      <c r="G4" s="111">
        <v>1.1200000000000001</v>
      </c>
      <c r="H4" s="111">
        <v>28</v>
      </c>
      <c r="I4" s="116">
        <v>0.2385979242509878</v>
      </c>
      <c r="J4" s="116">
        <v>0.216</v>
      </c>
      <c r="K4" s="112">
        <v>0.1910941321706261</v>
      </c>
      <c r="L4" s="112">
        <v>0.21595054109543099</v>
      </c>
      <c r="M4" s="110"/>
      <c r="N4"/>
      <c r="O4"/>
      <c r="P4"/>
      <c r="Q4"/>
      <c r="R4"/>
      <c r="S4"/>
    </row>
    <row r="5" spans="1:20" ht="15" x14ac:dyDescent="0.2">
      <c r="A5" s="111">
        <v>3</v>
      </c>
      <c r="B5" s="111" t="s">
        <v>178</v>
      </c>
      <c r="C5" s="111" t="s">
        <v>95</v>
      </c>
      <c r="D5" s="110" t="s">
        <v>177</v>
      </c>
      <c r="E5" s="110" t="s">
        <v>174</v>
      </c>
      <c r="F5" s="111">
        <v>20.96</v>
      </c>
      <c r="G5" s="111">
        <v>1.31</v>
      </c>
      <c r="H5" s="111">
        <v>50</v>
      </c>
      <c r="I5" s="116">
        <v>0.26314983364262873</v>
      </c>
      <c r="J5" s="115">
        <v>0.23880000000000001</v>
      </c>
      <c r="K5" s="112">
        <v>0.2148263484973168</v>
      </c>
      <c r="L5" s="112">
        <v>0.23878898217827135</v>
      </c>
      <c r="M5" s="110"/>
      <c r="N5"/>
      <c r="O5"/>
      <c r="P5"/>
      <c r="Q5"/>
      <c r="R5"/>
      <c r="S5"/>
    </row>
    <row r="6" spans="1:20" ht="15" x14ac:dyDescent="0.2">
      <c r="A6" s="111">
        <v>4</v>
      </c>
      <c r="B6" s="111" t="s">
        <v>179</v>
      </c>
      <c r="C6" s="111" t="s">
        <v>99</v>
      </c>
      <c r="D6" s="110" t="s">
        <v>177</v>
      </c>
      <c r="E6" s="110" t="s">
        <v>174</v>
      </c>
      <c r="F6" s="111">
        <v>22.08</v>
      </c>
      <c r="G6" s="111">
        <v>1.38</v>
      </c>
      <c r="H6" s="111">
        <v>17</v>
      </c>
      <c r="I6" s="116">
        <v>0.28642348739416867</v>
      </c>
      <c r="J6" s="115">
        <v>0.25219999999999998</v>
      </c>
      <c r="K6" s="112">
        <v>0.21181603998069989</v>
      </c>
      <c r="L6" s="112">
        <v>0.252215909017312</v>
      </c>
      <c r="M6" s="110"/>
      <c r="N6"/>
      <c r="O6"/>
      <c r="P6"/>
      <c r="Q6"/>
      <c r="R6"/>
      <c r="S6"/>
    </row>
    <row r="7" spans="1:20" ht="15" x14ac:dyDescent="0.2">
      <c r="A7" s="111">
        <v>5</v>
      </c>
      <c r="B7" s="111" t="s">
        <v>180</v>
      </c>
      <c r="C7" s="111" t="s">
        <v>43</v>
      </c>
      <c r="D7" s="110" t="s">
        <v>173</v>
      </c>
      <c r="E7" s="110" t="s">
        <v>174</v>
      </c>
      <c r="F7" s="111">
        <v>22.4</v>
      </c>
      <c r="G7" s="111">
        <v>1.4</v>
      </c>
      <c r="H7" s="111">
        <v>32</v>
      </c>
      <c r="I7" s="116">
        <v>0.27464744807291908</v>
      </c>
      <c r="J7" s="115">
        <v>0.2442</v>
      </c>
      <c r="K7" s="112">
        <v>0.21076852569807358</v>
      </c>
      <c r="L7" s="112">
        <v>0.2442246576571126</v>
      </c>
      <c r="M7" s="110"/>
      <c r="N7"/>
      <c r="O7"/>
      <c r="P7"/>
      <c r="Q7"/>
      <c r="R7"/>
      <c r="S7"/>
    </row>
    <row r="8" spans="1:20" ht="15" x14ac:dyDescent="0.2">
      <c r="A8" s="111">
        <v>6</v>
      </c>
      <c r="B8" s="111" t="s">
        <v>181</v>
      </c>
      <c r="C8" s="111" t="s">
        <v>96</v>
      </c>
      <c r="D8" s="110" t="s">
        <v>173</v>
      </c>
      <c r="E8" s="110" t="s">
        <v>174</v>
      </c>
      <c r="F8" s="111">
        <v>24</v>
      </c>
      <c r="G8" s="111">
        <v>1.5</v>
      </c>
      <c r="H8" s="111">
        <v>34</v>
      </c>
      <c r="I8" s="116">
        <v>0.29285090568076988</v>
      </c>
      <c r="J8" s="115">
        <v>0.25950000000000001</v>
      </c>
      <c r="K8" s="112">
        <v>0.22145500535566642</v>
      </c>
      <c r="L8" s="112">
        <v>0.25954392777368851</v>
      </c>
      <c r="M8" s="110"/>
      <c r="N8"/>
      <c r="O8"/>
      <c r="P8"/>
      <c r="Q8"/>
      <c r="R8"/>
      <c r="S8"/>
    </row>
    <row r="9" spans="1:20" ht="15" x14ac:dyDescent="0.2">
      <c r="A9" s="111">
        <v>7</v>
      </c>
      <c r="B9" s="111"/>
      <c r="C9" s="111" t="s">
        <v>182</v>
      </c>
      <c r="D9" s="110"/>
      <c r="E9" s="110"/>
      <c r="F9" s="111">
        <v>24</v>
      </c>
      <c r="G9" s="111">
        <v>1.5</v>
      </c>
      <c r="H9" s="111">
        <v>50</v>
      </c>
      <c r="I9" s="116">
        <v>0.29089272667441846</v>
      </c>
      <c r="J9" s="115">
        <v>0.28029999999999999</v>
      </c>
      <c r="K9" s="112"/>
      <c r="L9" s="112">
        <v>0.28025806114434498</v>
      </c>
      <c r="M9" s="110"/>
      <c r="N9"/>
      <c r="O9"/>
      <c r="P9"/>
      <c r="Q9"/>
      <c r="R9"/>
      <c r="S9"/>
    </row>
    <row r="10" spans="1:20" ht="15" x14ac:dyDescent="0.2">
      <c r="A10" s="111">
        <v>8</v>
      </c>
      <c r="B10" s="111" t="s">
        <v>183</v>
      </c>
      <c r="C10" s="111" t="s">
        <v>51</v>
      </c>
      <c r="D10" s="110" t="s">
        <v>173</v>
      </c>
      <c r="E10" s="110" t="s">
        <v>174</v>
      </c>
      <c r="F10" s="111">
        <v>24.96</v>
      </c>
      <c r="G10" s="111">
        <v>1.56</v>
      </c>
      <c r="H10" s="111">
        <v>34</v>
      </c>
      <c r="I10" s="116">
        <v>0.30197915493723837</v>
      </c>
      <c r="J10" s="115">
        <v>0.26669999999999999</v>
      </c>
      <c r="K10" s="112">
        <v>0.22630803856563408</v>
      </c>
      <c r="L10" s="112">
        <v>0.26673034724635492</v>
      </c>
      <c r="M10" s="110"/>
      <c r="N10"/>
      <c r="O10"/>
      <c r="P10"/>
      <c r="Q10"/>
      <c r="R10"/>
      <c r="S10"/>
    </row>
    <row r="11" spans="1:20" ht="15" x14ac:dyDescent="0.2">
      <c r="A11" s="111">
        <v>9</v>
      </c>
      <c r="B11" s="111" t="s">
        <v>184</v>
      </c>
      <c r="C11" s="111" t="s">
        <v>98</v>
      </c>
      <c r="D11" s="110" t="s">
        <v>173</v>
      </c>
      <c r="E11" s="110" t="s">
        <v>174</v>
      </c>
      <c r="F11" s="111">
        <v>27.68</v>
      </c>
      <c r="G11" s="111">
        <v>1.73</v>
      </c>
      <c r="H11" s="111">
        <v>38</v>
      </c>
      <c r="I11" s="116">
        <v>0.32682157769616627</v>
      </c>
      <c r="J11" s="115">
        <v>0.28670000000000001</v>
      </c>
      <c r="K11" s="112">
        <v>0.24193279473605775</v>
      </c>
      <c r="L11" s="112">
        <v>0.28670616159594353</v>
      </c>
      <c r="M11" s="110"/>
      <c r="N11"/>
      <c r="O11"/>
      <c r="P11"/>
      <c r="Q11"/>
      <c r="R11"/>
      <c r="S11"/>
    </row>
    <row r="12" spans="1:20" ht="15" x14ac:dyDescent="0.2">
      <c r="A12" s="111">
        <v>10</v>
      </c>
      <c r="B12" s="111" t="s">
        <v>185</v>
      </c>
      <c r="C12" s="111" t="s">
        <v>97</v>
      </c>
      <c r="D12" s="110" t="s">
        <v>173</v>
      </c>
      <c r="E12" s="110" t="s">
        <v>174</v>
      </c>
      <c r="F12" s="111">
        <v>28.8</v>
      </c>
      <c r="G12" s="111">
        <v>1.8</v>
      </c>
      <c r="H12" s="111">
        <v>39</v>
      </c>
      <c r="I12" s="116">
        <v>0.34053358793613786</v>
      </c>
      <c r="J12" s="115">
        <v>0.29380000000000001</v>
      </c>
      <c r="K12" s="112">
        <v>0.24554154917172141</v>
      </c>
      <c r="L12" s="112">
        <v>0.29379376934606499</v>
      </c>
      <c r="M12" s="110"/>
      <c r="N12"/>
      <c r="O12"/>
      <c r="P12"/>
      <c r="Q12"/>
      <c r="R12"/>
      <c r="S12"/>
    </row>
    <row r="13" spans="1:20" ht="15" x14ac:dyDescent="0.2">
      <c r="A13" s="111">
        <v>11</v>
      </c>
      <c r="B13" s="111"/>
      <c r="C13" s="111" t="s">
        <v>101</v>
      </c>
      <c r="D13" s="110"/>
      <c r="E13" s="110"/>
      <c r="F13" s="111">
        <v>28.8</v>
      </c>
      <c r="G13" s="111">
        <v>1.8</v>
      </c>
      <c r="H13" s="111">
        <v>35</v>
      </c>
      <c r="I13" s="116">
        <v>0.34053358793613786</v>
      </c>
      <c r="J13" s="115">
        <v>0.29380000000000001</v>
      </c>
      <c r="K13" s="110"/>
      <c r="L13" s="112">
        <v>0.29379376934606499</v>
      </c>
      <c r="M13" s="110" t="s">
        <v>186</v>
      </c>
      <c r="N13"/>
      <c r="O13"/>
      <c r="P13"/>
      <c r="Q13"/>
      <c r="R13"/>
      <c r="S13"/>
    </row>
    <row r="14" spans="1:20" ht="15" x14ac:dyDescent="0.2">
      <c r="A14" s="111">
        <v>12</v>
      </c>
      <c r="B14" s="111" t="s">
        <v>187</v>
      </c>
      <c r="C14" s="111" t="s">
        <v>100</v>
      </c>
      <c r="D14" s="110" t="s">
        <v>177</v>
      </c>
      <c r="E14" s="110"/>
      <c r="F14" s="111">
        <v>28.8</v>
      </c>
      <c r="G14" s="111">
        <v>1.8</v>
      </c>
      <c r="H14" s="111">
        <v>50</v>
      </c>
      <c r="I14" s="116">
        <v>0.33757357119361009</v>
      </c>
      <c r="J14" s="116">
        <v>0.32800000000000001</v>
      </c>
      <c r="K14" s="110"/>
      <c r="L14" s="112">
        <v>0.32800000000000001</v>
      </c>
      <c r="M14" s="110" t="s">
        <v>188</v>
      </c>
      <c r="N14"/>
      <c r="O14"/>
      <c r="P14"/>
      <c r="Q14"/>
      <c r="R14"/>
      <c r="S14"/>
    </row>
    <row r="15" spans="1:20" ht="15" x14ac:dyDescent="0.2">
      <c r="A15" s="111">
        <v>13</v>
      </c>
      <c r="B15" s="111" t="s">
        <v>189</v>
      </c>
      <c r="C15" s="111" t="s">
        <v>57</v>
      </c>
      <c r="D15" s="110" t="s">
        <v>173</v>
      </c>
      <c r="E15" s="110" t="s">
        <v>174</v>
      </c>
      <c r="F15" s="111">
        <v>30.4</v>
      </c>
      <c r="G15" s="111">
        <v>1.9</v>
      </c>
      <c r="H15" s="111">
        <v>39</v>
      </c>
      <c r="I15" s="116">
        <v>0.35106058544190483</v>
      </c>
      <c r="J15" s="115">
        <v>3.5900000000000001E-2</v>
      </c>
      <c r="K15" s="112">
        <v>0.25562045786612586</v>
      </c>
      <c r="L15" s="112">
        <v>0.30588463919801906</v>
      </c>
      <c r="M15" s="110"/>
      <c r="N15"/>
      <c r="O15"/>
      <c r="P15"/>
      <c r="Q15"/>
      <c r="R15"/>
      <c r="S15"/>
    </row>
    <row r="16" spans="1:20" ht="15" x14ac:dyDescent="0.2">
      <c r="N16"/>
      <c r="O16"/>
      <c r="P16"/>
      <c r="Q16"/>
      <c r="R16"/>
      <c r="S16"/>
    </row>
    <row r="17" spans="14:19" ht="15" x14ac:dyDescent="0.2">
      <c r="N17"/>
      <c r="O17"/>
      <c r="P17"/>
      <c r="Q17"/>
      <c r="R17"/>
      <c r="S17"/>
    </row>
    <row r="18" spans="14:19" ht="15" x14ac:dyDescent="0.2">
      <c r="N18"/>
      <c r="O18"/>
      <c r="P18"/>
      <c r="Q18"/>
      <c r="R18"/>
      <c r="S18"/>
    </row>
    <row r="19" spans="14:19" ht="15" x14ac:dyDescent="0.2">
      <c r="N19"/>
      <c r="O19"/>
      <c r="P19"/>
      <c r="Q19"/>
      <c r="R19"/>
      <c r="S19"/>
    </row>
    <row r="20" spans="14:19" ht="15" x14ac:dyDescent="0.2">
      <c r="N20"/>
      <c r="O20"/>
      <c r="P20"/>
      <c r="Q20"/>
      <c r="R20"/>
      <c r="S20"/>
    </row>
  </sheetData>
  <phoneticPr fontId="7" type="noConversion"/>
  <conditionalFormatting sqref="C2">
    <cfRule type="duplicateValues" dxfId="53" priority="1"/>
  </conditionalFormatting>
  <conditionalFormatting sqref="C3:C15">
    <cfRule type="duplicateValues" dxfId="52" priority="7"/>
  </conditionalFormatting>
  <conditionalFormatting sqref="M10">
    <cfRule type="duplicateValues" dxfId="51" priority="2"/>
  </conditionalFormatting>
  <pageMargins left="0.75" right="0.75" top="1" bottom="1" header="0.5" footer="0.5"/>
  <pageSetup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68"/>
  <sheetViews>
    <sheetView topLeftCell="A27" zoomScale="90" zoomScaleNormal="90" workbookViewId="0">
      <selection activeCell="I52" sqref="I52"/>
    </sheetView>
  </sheetViews>
  <sheetFormatPr baseColWidth="10" defaultColWidth="8.6640625" defaultRowHeight="15" customHeight="1" x14ac:dyDescent="0.2"/>
  <cols>
    <col min="1" max="1" width="13.1640625" customWidth="1"/>
    <col min="2" max="2" width="21.1640625" bestFit="1" customWidth="1"/>
    <col min="3" max="5" width="13.1640625" style="8" customWidth="1"/>
    <col min="6" max="10" width="13.1640625" customWidth="1"/>
    <col min="11" max="11" width="13.1640625" hidden="1" customWidth="1"/>
    <col min="12" max="12" width="13.1640625" customWidth="1"/>
  </cols>
  <sheetData>
    <row r="1" spans="1:9" ht="18" x14ac:dyDescent="0.2">
      <c r="A1" s="12" t="s">
        <v>8</v>
      </c>
      <c r="B1" s="12"/>
      <c r="C1" s="12"/>
      <c r="D1" s="12"/>
      <c r="E1" s="12"/>
      <c r="F1" s="12"/>
      <c r="G1" s="12"/>
    </row>
    <row r="2" spans="1:9" ht="18" x14ac:dyDescent="0.2">
      <c r="A2" s="12" t="s">
        <v>3</v>
      </c>
      <c r="B2" s="12"/>
      <c r="C2" s="132" t="s">
        <v>4</v>
      </c>
      <c r="D2" s="132" t="s">
        <v>136</v>
      </c>
      <c r="E2" s="132" t="s">
        <v>24</v>
      </c>
      <c r="F2" s="12" t="s">
        <v>108</v>
      </c>
      <c r="G2" s="12"/>
    </row>
    <row r="3" spans="1:9" ht="19" x14ac:dyDescent="0.25">
      <c r="A3" s="133" t="s">
        <v>11</v>
      </c>
      <c r="B3" s="134" t="s">
        <v>123</v>
      </c>
      <c r="C3" s="135" t="s">
        <v>12</v>
      </c>
      <c r="D3" s="135">
        <v>76</v>
      </c>
      <c r="E3" s="136">
        <v>39</v>
      </c>
      <c r="F3" s="133">
        <v>44</v>
      </c>
      <c r="G3" s="133"/>
      <c r="H3" t="s">
        <v>88</v>
      </c>
    </row>
    <row r="4" spans="1:9" ht="20" x14ac:dyDescent="0.25">
      <c r="A4" s="133" t="s">
        <v>11</v>
      </c>
      <c r="B4" s="134" t="s">
        <v>123</v>
      </c>
      <c r="C4" s="137" t="s">
        <v>121</v>
      </c>
      <c r="D4" s="137">
        <v>81</v>
      </c>
      <c r="E4" s="136">
        <v>39</v>
      </c>
      <c r="F4" s="133">
        <v>44</v>
      </c>
      <c r="G4" s="133"/>
    </row>
    <row r="5" spans="1:9" ht="20" x14ac:dyDescent="0.25">
      <c r="A5" s="133" t="s">
        <v>11</v>
      </c>
      <c r="B5" s="134" t="s">
        <v>123</v>
      </c>
      <c r="C5" s="137" t="s">
        <v>14</v>
      </c>
      <c r="D5" s="137">
        <v>76</v>
      </c>
      <c r="E5" s="138">
        <v>55</v>
      </c>
      <c r="F5" s="133">
        <v>44</v>
      </c>
      <c r="G5" s="133"/>
    </row>
    <row r="6" spans="1:9" ht="19" x14ac:dyDescent="0.25">
      <c r="A6" s="133" t="s">
        <v>11</v>
      </c>
      <c r="B6" s="134" t="s">
        <v>123</v>
      </c>
      <c r="C6" s="139" t="s">
        <v>122</v>
      </c>
      <c r="D6" s="137">
        <v>81</v>
      </c>
      <c r="E6" s="138">
        <v>55</v>
      </c>
      <c r="F6" s="133">
        <v>44</v>
      </c>
      <c r="G6" s="133"/>
    </row>
    <row r="7" spans="1:9" ht="19" x14ac:dyDescent="0.25">
      <c r="A7" s="133" t="s">
        <v>11</v>
      </c>
      <c r="B7" s="134" t="s">
        <v>123</v>
      </c>
      <c r="C7" s="139" t="s">
        <v>16</v>
      </c>
      <c r="D7" s="137">
        <v>81</v>
      </c>
      <c r="E7" s="136">
        <v>61</v>
      </c>
      <c r="F7" s="133">
        <v>44</v>
      </c>
      <c r="G7" s="133"/>
    </row>
    <row r="8" spans="1:9" ht="19" x14ac:dyDescent="0.25">
      <c r="A8" s="133" t="s">
        <v>11</v>
      </c>
      <c r="B8" s="134" t="s">
        <v>123</v>
      </c>
      <c r="C8" s="139" t="s">
        <v>18</v>
      </c>
      <c r="D8" s="137">
        <v>81</v>
      </c>
      <c r="E8" s="136">
        <v>77</v>
      </c>
      <c r="F8" s="133">
        <v>44</v>
      </c>
      <c r="G8" s="133"/>
    </row>
    <row r="9" spans="1:9" ht="19" x14ac:dyDescent="0.25">
      <c r="A9" s="133" t="s">
        <v>11</v>
      </c>
      <c r="B9" s="134" t="s">
        <v>123</v>
      </c>
      <c r="C9" s="136" t="s">
        <v>20</v>
      </c>
      <c r="D9" s="136">
        <v>86</v>
      </c>
      <c r="E9" s="136">
        <v>76</v>
      </c>
      <c r="F9" s="133">
        <v>44</v>
      </c>
      <c r="G9" s="133"/>
      <c r="H9" s="136">
        <v>84.5</v>
      </c>
      <c r="I9" s="136">
        <v>72.5</v>
      </c>
    </row>
    <row r="10" spans="1:9" ht="19" x14ac:dyDescent="0.25">
      <c r="A10" s="133" t="s">
        <v>11</v>
      </c>
      <c r="B10" s="134" t="s">
        <v>123</v>
      </c>
      <c r="C10" s="136" t="s">
        <v>22</v>
      </c>
      <c r="D10" s="136">
        <v>108</v>
      </c>
      <c r="E10" s="136">
        <v>82</v>
      </c>
      <c r="F10" s="133">
        <v>44</v>
      </c>
      <c r="G10" s="133"/>
    </row>
    <row r="11" spans="1:9" ht="19" x14ac:dyDescent="0.25">
      <c r="A11" s="152" t="s">
        <v>124</v>
      </c>
      <c r="B11" s="152" t="s">
        <v>123</v>
      </c>
      <c r="C11" s="153" t="s">
        <v>12</v>
      </c>
      <c r="D11" s="153">
        <v>74.5</v>
      </c>
      <c r="E11" s="153">
        <v>37.5</v>
      </c>
      <c r="F11" s="134">
        <v>44</v>
      </c>
      <c r="G11" s="134"/>
    </row>
    <row r="12" spans="1:9" ht="19" x14ac:dyDescent="0.25">
      <c r="A12" s="152" t="s">
        <v>124</v>
      </c>
      <c r="B12" s="152" t="s">
        <v>123</v>
      </c>
      <c r="C12" s="153" t="s">
        <v>121</v>
      </c>
      <c r="D12" s="153">
        <v>79.5</v>
      </c>
      <c r="E12" s="153">
        <v>37.5</v>
      </c>
      <c r="F12" s="134">
        <v>44</v>
      </c>
      <c r="G12" s="134"/>
    </row>
    <row r="13" spans="1:9" ht="19" x14ac:dyDescent="0.25">
      <c r="A13" s="152" t="s">
        <v>124</v>
      </c>
      <c r="B13" s="152" t="s">
        <v>123</v>
      </c>
      <c r="C13" s="153" t="s">
        <v>14</v>
      </c>
      <c r="D13" s="153">
        <v>74.5</v>
      </c>
      <c r="E13" s="153">
        <v>53.5</v>
      </c>
      <c r="F13" s="134">
        <v>44</v>
      </c>
      <c r="G13" s="134"/>
    </row>
    <row r="14" spans="1:9" ht="19" x14ac:dyDescent="0.25">
      <c r="A14" s="152" t="s">
        <v>124</v>
      </c>
      <c r="B14" s="152" t="s">
        <v>123</v>
      </c>
      <c r="C14" s="153" t="s">
        <v>122</v>
      </c>
      <c r="D14" s="153">
        <v>79.5</v>
      </c>
      <c r="E14" s="153">
        <v>53.5</v>
      </c>
      <c r="F14" s="134">
        <v>44</v>
      </c>
      <c r="G14" s="134"/>
    </row>
    <row r="15" spans="1:9" ht="19" x14ac:dyDescent="0.25">
      <c r="A15" s="152" t="s">
        <v>124</v>
      </c>
      <c r="B15" s="152" t="s">
        <v>123</v>
      </c>
      <c r="C15" s="153" t="s">
        <v>16</v>
      </c>
      <c r="D15" s="153">
        <v>79.5</v>
      </c>
      <c r="E15" s="153">
        <v>59.5</v>
      </c>
      <c r="F15" s="134">
        <v>44</v>
      </c>
      <c r="G15" s="134"/>
    </row>
    <row r="16" spans="1:9" ht="19" x14ac:dyDescent="0.25">
      <c r="A16" s="152" t="s">
        <v>124</v>
      </c>
      <c r="B16" s="152" t="s">
        <v>123</v>
      </c>
      <c r="C16" s="153" t="s">
        <v>18</v>
      </c>
      <c r="D16" s="153">
        <v>79.5</v>
      </c>
      <c r="E16" s="153">
        <v>75.5</v>
      </c>
      <c r="F16" s="134">
        <v>44</v>
      </c>
      <c r="G16" s="134"/>
    </row>
    <row r="17" spans="1:24" ht="19" x14ac:dyDescent="0.25">
      <c r="A17" s="152" t="s">
        <v>124</v>
      </c>
      <c r="B17" s="152" t="s">
        <v>123</v>
      </c>
      <c r="C17" s="153" t="s">
        <v>20</v>
      </c>
      <c r="D17" s="153">
        <v>83</v>
      </c>
      <c r="E17" s="153">
        <v>71</v>
      </c>
      <c r="F17" s="134">
        <v>44</v>
      </c>
      <c r="G17" s="134"/>
    </row>
    <row r="18" spans="1:24" ht="19" x14ac:dyDescent="0.25">
      <c r="A18" s="152" t="s">
        <v>124</v>
      </c>
      <c r="B18" s="152" t="s">
        <v>123</v>
      </c>
      <c r="C18" s="153" t="s">
        <v>22</v>
      </c>
      <c r="D18" s="153">
        <v>107</v>
      </c>
      <c r="E18" s="153">
        <v>81</v>
      </c>
      <c r="F18" s="134">
        <v>44</v>
      </c>
      <c r="G18" s="134"/>
    </row>
    <row r="19" spans="1:24" ht="19" x14ac:dyDescent="0.25">
      <c r="A19" s="140" t="s">
        <v>124</v>
      </c>
      <c r="B19" s="140" t="s">
        <v>133</v>
      </c>
      <c r="C19" s="141" t="s">
        <v>12</v>
      </c>
      <c r="D19" s="141">
        <v>74</v>
      </c>
      <c r="E19" s="141">
        <v>37</v>
      </c>
      <c r="F19" s="140">
        <v>46</v>
      </c>
      <c r="G19" s="140"/>
    </row>
    <row r="20" spans="1:24" ht="19" x14ac:dyDescent="0.25">
      <c r="A20" s="140" t="s">
        <v>124</v>
      </c>
      <c r="B20" s="140" t="s">
        <v>133</v>
      </c>
      <c r="C20" s="141" t="s">
        <v>121</v>
      </c>
      <c r="D20" s="141"/>
      <c r="E20" s="141"/>
      <c r="F20" s="140"/>
      <c r="G20" s="140"/>
    </row>
    <row r="21" spans="1:24" ht="19" x14ac:dyDescent="0.25">
      <c r="A21" s="140" t="s">
        <v>124</v>
      </c>
      <c r="B21" s="140" t="s">
        <v>133</v>
      </c>
      <c r="C21" s="141" t="s">
        <v>14</v>
      </c>
      <c r="D21" s="141">
        <v>74</v>
      </c>
      <c r="E21" s="141">
        <v>52</v>
      </c>
      <c r="F21" s="140">
        <v>46</v>
      </c>
      <c r="G21" s="140"/>
    </row>
    <row r="22" spans="1:24" ht="19" x14ac:dyDescent="0.25">
      <c r="A22" s="140" t="s">
        <v>124</v>
      </c>
      <c r="B22" s="140" t="s">
        <v>133</v>
      </c>
      <c r="C22" s="141" t="s">
        <v>220</v>
      </c>
      <c r="D22" s="141">
        <v>74</v>
      </c>
      <c r="E22" s="141">
        <v>59</v>
      </c>
      <c r="F22" s="140">
        <v>46</v>
      </c>
      <c r="G22" s="140"/>
    </row>
    <row r="23" spans="1:24" ht="19" x14ac:dyDescent="0.25">
      <c r="A23" s="140" t="s">
        <v>124</v>
      </c>
      <c r="B23" s="140" t="s">
        <v>133</v>
      </c>
      <c r="C23" s="141" t="s">
        <v>16</v>
      </c>
      <c r="D23" s="141">
        <v>79</v>
      </c>
      <c r="E23" s="141">
        <v>59</v>
      </c>
      <c r="F23" s="140">
        <v>46</v>
      </c>
      <c r="G23" s="140"/>
    </row>
    <row r="24" spans="1:24" ht="19" x14ac:dyDescent="0.25">
      <c r="A24" s="140" t="s">
        <v>124</v>
      </c>
      <c r="B24" s="140" t="s">
        <v>133</v>
      </c>
      <c r="C24" s="141" t="s">
        <v>18</v>
      </c>
      <c r="D24" s="141">
        <v>79</v>
      </c>
      <c r="E24" s="141">
        <v>75</v>
      </c>
      <c r="F24" s="140">
        <v>46</v>
      </c>
      <c r="G24" s="140"/>
    </row>
    <row r="25" spans="1:24" ht="19" x14ac:dyDescent="0.25">
      <c r="A25" s="140" t="s">
        <v>124</v>
      </c>
      <c r="B25" s="140" t="s">
        <v>133</v>
      </c>
      <c r="C25" s="141"/>
      <c r="D25" s="141"/>
      <c r="E25" s="141"/>
      <c r="F25" s="140"/>
      <c r="G25" s="140"/>
    </row>
    <row r="26" spans="1:24" ht="19" x14ac:dyDescent="0.25">
      <c r="A26" s="142" t="s">
        <v>124</v>
      </c>
      <c r="B26" s="142" t="s">
        <v>139</v>
      </c>
      <c r="C26" s="143" t="s">
        <v>12</v>
      </c>
      <c r="D26" s="143">
        <v>75</v>
      </c>
      <c r="E26" s="143">
        <v>38</v>
      </c>
      <c r="F26" s="142">
        <v>40</v>
      </c>
      <c r="G26" s="142"/>
    </row>
    <row r="27" spans="1:24" ht="19" x14ac:dyDescent="0.25">
      <c r="A27" s="142" t="s">
        <v>124</v>
      </c>
      <c r="B27" s="142" t="s">
        <v>139</v>
      </c>
      <c r="C27" s="143" t="s">
        <v>121</v>
      </c>
      <c r="D27" s="143"/>
      <c r="E27" s="143"/>
      <c r="F27" s="142"/>
      <c r="G27" s="142"/>
      <c r="M27" t="s">
        <v>290</v>
      </c>
    </row>
    <row r="28" spans="1:24" ht="19" x14ac:dyDescent="0.25">
      <c r="A28" s="142" t="s">
        <v>124</v>
      </c>
      <c r="B28" s="142" t="s">
        <v>139</v>
      </c>
      <c r="C28" s="143" t="s">
        <v>14</v>
      </c>
      <c r="D28" s="143">
        <v>75</v>
      </c>
      <c r="E28" s="143">
        <v>54</v>
      </c>
      <c r="F28" s="142">
        <v>40</v>
      </c>
      <c r="G28" s="142"/>
      <c r="M28" s="150" t="s">
        <v>104</v>
      </c>
      <c r="N28" s="150"/>
      <c r="O28" s="151"/>
      <c r="P28" s="151"/>
      <c r="Q28" s="151"/>
    </row>
    <row r="29" spans="1:24" ht="24" customHeight="1" x14ac:dyDescent="0.25">
      <c r="A29" s="142" t="s">
        <v>124</v>
      </c>
      <c r="B29" s="142" t="s">
        <v>139</v>
      </c>
      <c r="C29" s="143" t="s">
        <v>122</v>
      </c>
      <c r="D29" s="143"/>
      <c r="E29" s="143"/>
      <c r="F29" s="142"/>
      <c r="G29" s="142"/>
      <c r="M29" s="161" t="s">
        <v>3</v>
      </c>
      <c r="N29" s="161"/>
      <c r="O29" s="161" t="s">
        <v>105</v>
      </c>
      <c r="P29" s="161" t="s">
        <v>107</v>
      </c>
      <c r="Q29" s="161" t="s">
        <v>106</v>
      </c>
      <c r="R29" s="161" t="s">
        <v>223</v>
      </c>
      <c r="S29" s="161" t="s">
        <v>215</v>
      </c>
      <c r="T29" s="161" t="s">
        <v>216</v>
      </c>
      <c r="U29" s="162"/>
      <c r="V29" s="162" t="s">
        <v>221</v>
      </c>
      <c r="W29" s="162"/>
      <c r="X29" s="162" t="s">
        <v>222</v>
      </c>
    </row>
    <row r="30" spans="1:24" ht="19" x14ac:dyDescent="0.25">
      <c r="A30" s="142" t="s">
        <v>124</v>
      </c>
      <c r="B30" s="142" t="s">
        <v>139</v>
      </c>
      <c r="C30" s="143" t="s">
        <v>16</v>
      </c>
      <c r="D30" s="143">
        <v>80</v>
      </c>
      <c r="E30" s="143">
        <v>60</v>
      </c>
      <c r="F30" s="142"/>
      <c r="G30" s="142"/>
      <c r="M30" s="163" t="s">
        <v>11</v>
      </c>
      <c r="N30" s="163"/>
      <c r="O30" s="163" t="s">
        <v>109</v>
      </c>
      <c r="P30" s="163">
        <v>82</v>
      </c>
      <c r="Q30" s="163">
        <v>39</v>
      </c>
      <c r="R30" s="163">
        <v>30.5</v>
      </c>
      <c r="S30" s="163"/>
      <c r="T30" s="164">
        <f>(P30*Q30*R30)/144</f>
        <v>677.35416666666663</v>
      </c>
      <c r="U30" s="163"/>
      <c r="V30" s="163">
        <v>0.13100000000000001</v>
      </c>
      <c r="W30" s="163"/>
      <c r="X30" s="163"/>
    </row>
    <row r="31" spans="1:24" ht="19" x14ac:dyDescent="0.25">
      <c r="A31" s="142" t="s">
        <v>124</v>
      </c>
      <c r="B31" s="142" t="s">
        <v>139</v>
      </c>
      <c r="C31" s="143" t="s">
        <v>18</v>
      </c>
      <c r="D31" s="143">
        <v>80</v>
      </c>
      <c r="E31" s="143">
        <v>76</v>
      </c>
      <c r="F31" s="142"/>
      <c r="G31" s="142"/>
      <c r="M31" s="163" t="s">
        <v>11</v>
      </c>
      <c r="N31" s="163"/>
      <c r="O31" s="163" t="s">
        <v>110</v>
      </c>
      <c r="P31" s="163">
        <v>82</v>
      </c>
      <c r="Q31" s="163">
        <v>56.5</v>
      </c>
      <c r="R31" s="163">
        <v>30.5</v>
      </c>
      <c r="S31" s="163"/>
      <c r="T31" s="164">
        <f>(P31*Q31*R31)/144</f>
        <v>981.29513888888891</v>
      </c>
      <c r="U31" s="163"/>
      <c r="V31" s="163">
        <v>0.13100000000000001</v>
      </c>
      <c r="W31" s="163"/>
      <c r="X31" s="163"/>
    </row>
    <row r="32" spans="1:24" ht="19" x14ac:dyDescent="0.25">
      <c r="A32" s="142" t="s">
        <v>124</v>
      </c>
      <c r="B32" s="142" t="s">
        <v>139</v>
      </c>
      <c r="C32" s="143"/>
      <c r="D32" s="143"/>
      <c r="E32" s="143"/>
      <c r="F32" s="142"/>
      <c r="G32" s="142"/>
      <c r="M32" s="164" t="s">
        <v>11</v>
      </c>
      <c r="N32" s="164"/>
      <c r="O32" s="164" t="s">
        <v>111</v>
      </c>
      <c r="P32" s="164">
        <v>82</v>
      </c>
      <c r="Q32" s="164">
        <v>63.5</v>
      </c>
      <c r="R32" s="164">
        <v>30.5</v>
      </c>
      <c r="S32" s="164">
        <v>2</v>
      </c>
      <c r="T32" s="164">
        <f>(P32*Q32*R32)/144</f>
        <v>1102.8715277777778</v>
      </c>
      <c r="U32" s="164"/>
      <c r="V32" s="163">
        <v>0.13100000000000001</v>
      </c>
      <c r="W32" s="164"/>
      <c r="X32" s="165">
        <f>T32*V32</f>
        <v>144.4761701388889</v>
      </c>
    </row>
    <row r="33" spans="1:24" ht="19" x14ac:dyDescent="0.25">
      <c r="A33" s="144" t="s">
        <v>124</v>
      </c>
      <c r="B33" s="144" t="s">
        <v>163</v>
      </c>
      <c r="C33" s="145" t="s">
        <v>12</v>
      </c>
      <c r="D33" s="145">
        <v>74</v>
      </c>
      <c r="E33" s="145">
        <v>38</v>
      </c>
      <c r="F33" s="144">
        <v>45</v>
      </c>
      <c r="G33" s="144">
        <v>38</v>
      </c>
      <c r="M33" s="164" t="s">
        <v>11</v>
      </c>
      <c r="N33" s="164"/>
      <c r="O33" s="164" t="s">
        <v>112</v>
      </c>
      <c r="P33" s="164">
        <v>82</v>
      </c>
      <c r="Q33" s="164">
        <v>78</v>
      </c>
      <c r="R33" s="164">
        <v>30.5</v>
      </c>
      <c r="S33" s="164">
        <v>21</v>
      </c>
      <c r="T33" s="164">
        <f>(P33*Q33*R33)/144</f>
        <v>1354.7083333333333</v>
      </c>
      <c r="U33" s="164"/>
      <c r="V33" s="163">
        <v>0.13100000000000001</v>
      </c>
      <c r="W33" s="164"/>
      <c r="X33" s="165">
        <f>T33*V33</f>
        <v>177.46679166666667</v>
      </c>
    </row>
    <row r="34" spans="1:24" ht="19" x14ac:dyDescent="0.25">
      <c r="A34" s="144" t="s">
        <v>124</v>
      </c>
      <c r="B34" s="144" t="s">
        <v>163</v>
      </c>
      <c r="C34" s="145" t="s">
        <v>121</v>
      </c>
      <c r="D34" s="145">
        <v>80</v>
      </c>
      <c r="E34" s="145">
        <v>38</v>
      </c>
      <c r="F34" s="144">
        <v>45</v>
      </c>
      <c r="G34" s="144">
        <v>38</v>
      </c>
    </row>
    <row r="35" spans="1:24" ht="19" x14ac:dyDescent="0.25">
      <c r="A35" s="144" t="s">
        <v>124</v>
      </c>
      <c r="B35" s="144" t="s">
        <v>163</v>
      </c>
      <c r="C35" s="145" t="s">
        <v>14</v>
      </c>
      <c r="D35" s="145">
        <v>74</v>
      </c>
      <c r="E35" s="145">
        <v>53</v>
      </c>
      <c r="F35" s="144">
        <v>45</v>
      </c>
      <c r="G35" s="144">
        <v>53</v>
      </c>
    </row>
    <row r="36" spans="1:24" ht="19" x14ac:dyDescent="0.25">
      <c r="A36" s="144" t="s">
        <v>124</v>
      </c>
      <c r="B36" s="144" t="s">
        <v>163</v>
      </c>
      <c r="C36" s="145" t="s">
        <v>122</v>
      </c>
      <c r="D36" s="145"/>
      <c r="E36" s="145"/>
      <c r="F36" s="144"/>
      <c r="G36" s="144"/>
      <c r="M36" t="s">
        <v>230</v>
      </c>
    </row>
    <row r="37" spans="1:24" ht="19" x14ac:dyDescent="0.25">
      <c r="A37" s="144" t="s">
        <v>124</v>
      </c>
      <c r="B37" s="144" t="s">
        <v>163</v>
      </c>
      <c r="C37" s="145" t="s">
        <v>16</v>
      </c>
      <c r="D37" s="145">
        <v>80</v>
      </c>
      <c r="E37" s="145">
        <v>60</v>
      </c>
      <c r="F37" s="144">
        <v>45</v>
      </c>
      <c r="G37" s="144">
        <v>60</v>
      </c>
      <c r="M37" s="150" t="s">
        <v>104</v>
      </c>
      <c r="N37" s="150"/>
      <c r="O37" s="151"/>
      <c r="P37" s="151"/>
      <c r="Q37" s="151"/>
    </row>
    <row r="38" spans="1:24" ht="32" x14ac:dyDescent="0.25">
      <c r="A38" s="144" t="s">
        <v>124</v>
      </c>
      <c r="B38" s="144" t="s">
        <v>163</v>
      </c>
      <c r="C38" s="145" t="s">
        <v>18</v>
      </c>
      <c r="D38" s="145">
        <v>80</v>
      </c>
      <c r="E38" s="145">
        <v>76</v>
      </c>
      <c r="F38" s="144">
        <v>45</v>
      </c>
      <c r="G38" s="144">
        <v>76</v>
      </c>
      <c r="M38" s="161" t="s">
        <v>3</v>
      </c>
      <c r="N38" s="161"/>
      <c r="O38" s="161" t="s">
        <v>105</v>
      </c>
      <c r="P38" s="161" t="s">
        <v>107</v>
      </c>
      <c r="Q38" s="161" t="s">
        <v>106</v>
      </c>
      <c r="R38" s="161" t="s">
        <v>223</v>
      </c>
      <c r="S38" s="161" t="s">
        <v>215</v>
      </c>
      <c r="T38" s="161" t="s">
        <v>216</v>
      </c>
      <c r="U38" s="162"/>
      <c r="V38" s="162" t="s">
        <v>221</v>
      </c>
      <c r="W38" s="162"/>
      <c r="X38" s="162" t="s">
        <v>222</v>
      </c>
    </row>
    <row r="39" spans="1:24" ht="15" customHeight="1" x14ac:dyDescent="0.25">
      <c r="A39" s="146" t="s">
        <v>11</v>
      </c>
      <c r="B39" s="147" t="s">
        <v>213</v>
      </c>
      <c r="C39" s="148" t="s">
        <v>226</v>
      </c>
      <c r="D39" s="149">
        <v>100</v>
      </c>
      <c r="E39" s="149">
        <v>76</v>
      </c>
      <c r="F39" s="146"/>
      <c r="G39" s="146"/>
      <c r="M39" s="163" t="s">
        <v>11</v>
      </c>
      <c r="N39" s="163"/>
      <c r="O39" s="163" t="s">
        <v>109</v>
      </c>
      <c r="P39" s="163">
        <v>82</v>
      </c>
      <c r="Q39" s="163">
        <v>39</v>
      </c>
      <c r="R39" s="163">
        <v>30.5</v>
      </c>
      <c r="S39" s="163"/>
      <c r="T39" s="163"/>
      <c r="U39" s="163"/>
      <c r="V39" s="163">
        <v>0.125</v>
      </c>
      <c r="W39" s="163"/>
      <c r="X39" s="163"/>
    </row>
    <row r="40" spans="1:24" ht="15" customHeight="1" x14ac:dyDescent="0.25">
      <c r="A40" s="146" t="s">
        <v>11</v>
      </c>
      <c r="B40" s="147" t="s">
        <v>213</v>
      </c>
      <c r="C40" s="148" t="s">
        <v>22</v>
      </c>
      <c r="D40" s="149">
        <v>108</v>
      </c>
      <c r="E40" s="149">
        <v>81</v>
      </c>
      <c r="F40" s="146"/>
      <c r="G40" s="146"/>
      <c r="M40" s="163" t="s">
        <v>11</v>
      </c>
      <c r="N40" s="163"/>
      <c r="O40" s="163" t="s">
        <v>110</v>
      </c>
      <c r="P40" s="163">
        <v>82</v>
      </c>
      <c r="Q40" s="163">
        <v>56.5</v>
      </c>
      <c r="R40" s="163">
        <v>30.5</v>
      </c>
      <c r="S40" s="163"/>
      <c r="T40" s="164">
        <f>(P40*Q40*R40)/144</f>
        <v>981.29513888888891</v>
      </c>
      <c r="U40" s="163"/>
      <c r="V40" s="163">
        <v>0.125</v>
      </c>
      <c r="W40" s="163"/>
      <c r="X40" s="163"/>
    </row>
    <row r="41" spans="1:24" ht="15" customHeight="1" x14ac:dyDescent="0.25">
      <c r="A41" s="286" t="s">
        <v>124</v>
      </c>
      <c r="B41" s="287" t="s">
        <v>224</v>
      </c>
      <c r="C41" s="289" t="s">
        <v>225</v>
      </c>
      <c r="D41" s="290">
        <v>71</v>
      </c>
      <c r="E41" s="290">
        <v>51</v>
      </c>
      <c r="F41" s="288"/>
      <c r="G41" s="288"/>
      <c r="M41" s="164" t="s">
        <v>11</v>
      </c>
      <c r="N41" s="164"/>
      <c r="O41" s="164" t="s">
        <v>111</v>
      </c>
      <c r="P41" s="164">
        <v>82</v>
      </c>
      <c r="Q41" s="164">
        <v>63.5</v>
      </c>
      <c r="R41" s="164">
        <v>30.5</v>
      </c>
      <c r="S41" s="164">
        <v>3</v>
      </c>
      <c r="T41" s="164">
        <f>(P41*Q41*R41)/144</f>
        <v>1102.8715277777778</v>
      </c>
      <c r="U41" s="164"/>
      <c r="V41" s="163">
        <v>0.125</v>
      </c>
      <c r="W41" s="164"/>
      <c r="X41" s="165">
        <f>T41*V41</f>
        <v>137.85894097222223</v>
      </c>
    </row>
    <row r="42" spans="1:24" ht="15" customHeight="1" x14ac:dyDescent="0.25">
      <c r="A42" s="286" t="s">
        <v>124</v>
      </c>
      <c r="B42" s="287" t="s">
        <v>224</v>
      </c>
      <c r="C42" s="289" t="s">
        <v>226</v>
      </c>
      <c r="D42" s="290">
        <v>76</v>
      </c>
      <c r="E42" s="290">
        <v>56</v>
      </c>
      <c r="F42" s="288"/>
      <c r="G42" s="288"/>
      <c r="M42" s="164" t="s">
        <v>11</v>
      </c>
      <c r="N42" s="164"/>
      <c r="O42" s="164" t="s">
        <v>112</v>
      </c>
      <c r="P42" s="164">
        <v>82</v>
      </c>
      <c r="Q42" s="164">
        <v>78</v>
      </c>
      <c r="R42" s="164">
        <v>30.5</v>
      </c>
      <c r="S42" s="164">
        <v>2</v>
      </c>
      <c r="T42" s="164">
        <f>(P42*Q42*R42)/144</f>
        <v>1354.7083333333333</v>
      </c>
      <c r="U42" s="164"/>
      <c r="V42" s="163">
        <v>0.125</v>
      </c>
      <c r="W42" s="164"/>
      <c r="X42" s="165">
        <f>T42*V42</f>
        <v>169.33854166666666</v>
      </c>
    </row>
    <row r="43" spans="1:24" ht="15" customHeight="1" x14ac:dyDescent="0.25">
      <c r="A43" s="286" t="s">
        <v>124</v>
      </c>
      <c r="B43" s="287" t="s">
        <v>224</v>
      </c>
      <c r="C43" s="289" t="s">
        <v>16</v>
      </c>
      <c r="D43" s="290">
        <v>79.5</v>
      </c>
      <c r="E43" s="290">
        <v>59.5</v>
      </c>
      <c r="F43" s="288"/>
      <c r="G43" s="288"/>
      <c r="M43" s="253"/>
      <c r="N43" s="253"/>
      <c r="O43" s="253"/>
      <c r="P43" s="253"/>
      <c r="Q43" s="253"/>
      <c r="R43" s="253"/>
      <c r="S43" s="253"/>
      <c r="T43" s="253"/>
      <c r="U43" s="253"/>
      <c r="V43" s="254"/>
      <c r="W43" s="253"/>
      <c r="X43" s="255"/>
    </row>
    <row r="44" spans="1:24" ht="15" customHeight="1" x14ac:dyDescent="0.25">
      <c r="A44" s="286" t="s">
        <v>124</v>
      </c>
      <c r="B44" s="287" t="s">
        <v>224</v>
      </c>
      <c r="C44" s="289" t="s">
        <v>18</v>
      </c>
      <c r="D44" s="290">
        <v>79.5</v>
      </c>
      <c r="E44" s="290">
        <v>75.5</v>
      </c>
      <c r="F44" s="288"/>
      <c r="G44" s="288" t="s">
        <v>300</v>
      </c>
      <c r="M44" s="253"/>
      <c r="N44" s="253"/>
      <c r="O44" s="253"/>
      <c r="P44" s="253"/>
      <c r="Q44" s="253"/>
      <c r="R44" s="253"/>
      <c r="S44" s="253"/>
      <c r="T44" s="253"/>
      <c r="U44" s="253"/>
      <c r="V44" s="254"/>
      <c r="W44" s="253"/>
      <c r="X44" s="255"/>
    </row>
    <row r="45" spans="1:24" ht="15" customHeight="1" x14ac:dyDescent="0.25">
      <c r="A45" s="286" t="s">
        <v>124</v>
      </c>
      <c r="B45" s="287" t="s">
        <v>224</v>
      </c>
      <c r="C45" s="289" t="s">
        <v>20</v>
      </c>
      <c r="D45" s="290">
        <v>83.5</v>
      </c>
      <c r="E45" s="290">
        <v>71.5</v>
      </c>
      <c r="F45" s="288"/>
      <c r="G45" s="288" t="s">
        <v>298</v>
      </c>
      <c r="M45" s="253"/>
      <c r="N45" s="253"/>
      <c r="O45" s="253"/>
      <c r="P45" s="253"/>
      <c r="Q45" s="253"/>
      <c r="R45" s="253"/>
      <c r="S45" s="253"/>
      <c r="T45" s="253"/>
      <c r="U45" s="253"/>
      <c r="V45" s="254"/>
      <c r="W45" s="253"/>
      <c r="X45" s="255"/>
    </row>
    <row r="46" spans="1:24" ht="15" customHeight="1" x14ac:dyDescent="0.25">
      <c r="A46" s="286" t="s">
        <v>124</v>
      </c>
      <c r="B46" s="287" t="s">
        <v>224</v>
      </c>
      <c r="C46" s="289" t="s">
        <v>301</v>
      </c>
      <c r="D46" s="290">
        <v>83.5</v>
      </c>
      <c r="E46" s="290">
        <v>35.5</v>
      </c>
      <c r="F46" s="288"/>
      <c r="G46" s="288" t="s">
        <v>299</v>
      </c>
      <c r="M46" s="253"/>
      <c r="N46" s="253"/>
      <c r="O46" s="253"/>
      <c r="P46" s="253"/>
      <c r="Q46" s="253"/>
      <c r="R46" s="253"/>
      <c r="S46" s="253"/>
      <c r="T46" s="253"/>
      <c r="U46" s="253"/>
      <c r="V46" s="254"/>
      <c r="W46" s="253"/>
      <c r="X46" s="255"/>
    </row>
    <row r="47" spans="1:24" ht="15" customHeight="1" x14ac:dyDescent="0.25">
      <c r="A47" s="286" t="s">
        <v>124</v>
      </c>
      <c r="B47" s="287" t="s">
        <v>224</v>
      </c>
      <c r="C47" s="289" t="s">
        <v>121</v>
      </c>
      <c r="D47" s="290">
        <v>75.5</v>
      </c>
      <c r="E47" s="290">
        <v>37.5</v>
      </c>
      <c r="F47" s="288"/>
      <c r="G47" s="288"/>
      <c r="M47" s="253"/>
      <c r="N47" s="253"/>
      <c r="O47" s="253"/>
      <c r="P47" s="253"/>
      <c r="Q47" s="253"/>
      <c r="R47" s="253"/>
      <c r="S47" s="253"/>
      <c r="T47" s="253"/>
      <c r="U47" s="253"/>
      <c r="V47" s="254"/>
      <c r="W47" s="253"/>
      <c r="X47" s="255"/>
    </row>
    <row r="48" spans="1:24" ht="15" customHeight="1" x14ac:dyDescent="0.25">
      <c r="A48" s="286" t="s">
        <v>124</v>
      </c>
      <c r="B48" s="287" t="s">
        <v>224</v>
      </c>
      <c r="C48" s="289" t="s">
        <v>12</v>
      </c>
      <c r="D48" s="290">
        <v>73.5</v>
      </c>
      <c r="E48" s="290">
        <v>37.5</v>
      </c>
      <c r="F48" s="288"/>
      <c r="G48" s="288"/>
      <c r="M48" s="253"/>
      <c r="N48" s="253"/>
      <c r="O48" s="253"/>
      <c r="P48" s="253"/>
      <c r="Q48" s="253"/>
      <c r="R48" s="253"/>
      <c r="S48" s="253"/>
      <c r="T48" s="253"/>
      <c r="U48" s="253"/>
      <c r="V48" s="254"/>
      <c r="W48" s="253"/>
      <c r="X48" s="255"/>
    </row>
    <row r="49" spans="1:24" ht="15" customHeight="1" x14ac:dyDescent="0.25">
      <c r="A49" s="286" t="s">
        <v>124</v>
      </c>
      <c r="B49" s="287" t="s">
        <v>224</v>
      </c>
      <c r="C49" s="289" t="s">
        <v>14</v>
      </c>
      <c r="D49" s="290">
        <v>73.5</v>
      </c>
      <c r="E49" s="290">
        <v>52.5</v>
      </c>
      <c r="F49" s="288"/>
      <c r="G49" s="288"/>
      <c r="M49" s="253"/>
      <c r="N49" s="253"/>
      <c r="O49" s="253"/>
      <c r="P49" s="253"/>
      <c r="Q49" s="253"/>
      <c r="R49" s="253"/>
      <c r="S49" s="253"/>
      <c r="T49" s="253"/>
      <c r="U49" s="253"/>
      <c r="V49" s="254"/>
      <c r="W49" s="253"/>
      <c r="X49" s="255"/>
    </row>
    <row r="50" spans="1:24" ht="15" customHeight="1" x14ac:dyDescent="0.25">
      <c r="A50" s="286" t="s">
        <v>124</v>
      </c>
      <c r="B50" s="287" t="s">
        <v>224</v>
      </c>
      <c r="C50" s="289" t="s">
        <v>122</v>
      </c>
      <c r="D50" s="290">
        <v>79.5</v>
      </c>
      <c r="E50" s="290">
        <v>59.5</v>
      </c>
      <c r="F50" s="288"/>
      <c r="G50" s="288"/>
      <c r="M50" s="253"/>
      <c r="N50" s="253"/>
      <c r="O50" s="253"/>
      <c r="P50" s="253"/>
      <c r="Q50" s="253"/>
      <c r="R50" s="253"/>
      <c r="S50" s="253"/>
      <c r="T50" s="253"/>
      <c r="U50" s="253"/>
      <c r="V50" s="254"/>
      <c r="W50" s="253"/>
      <c r="X50" s="255"/>
    </row>
    <row r="51" spans="1:24" ht="19" x14ac:dyDescent="0.25">
      <c r="A51" s="142" t="s">
        <v>124</v>
      </c>
      <c r="B51" s="142" t="s">
        <v>125</v>
      </c>
      <c r="C51" s="143" t="s">
        <v>12</v>
      </c>
      <c r="D51" s="143">
        <v>74</v>
      </c>
      <c r="E51" s="143">
        <v>37</v>
      </c>
      <c r="F51" s="142">
        <v>45</v>
      </c>
      <c r="G51" s="142"/>
    </row>
    <row r="52" spans="1:24" ht="19" x14ac:dyDescent="0.25">
      <c r="A52" s="142" t="s">
        <v>124</v>
      </c>
      <c r="B52" s="142" t="s">
        <v>125</v>
      </c>
      <c r="C52" s="143" t="s">
        <v>14</v>
      </c>
      <c r="D52" s="143">
        <v>74</v>
      </c>
      <c r="E52" s="143">
        <v>52</v>
      </c>
      <c r="F52" s="142">
        <v>45</v>
      </c>
      <c r="G52" s="142"/>
      <c r="M52" t="s">
        <v>289</v>
      </c>
    </row>
    <row r="53" spans="1:24" ht="19" x14ac:dyDescent="0.25">
      <c r="A53" s="142" t="s">
        <v>124</v>
      </c>
      <c r="B53" s="142" t="s">
        <v>125</v>
      </c>
      <c r="C53" s="143" t="s">
        <v>16</v>
      </c>
      <c r="D53" s="143">
        <v>79</v>
      </c>
      <c r="E53" s="143">
        <v>59</v>
      </c>
      <c r="F53" s="142">
        <v>45</v>
      </c>
      <c r="G53" s="142"/>
      <c r="M53" s="150" t="s">
        <v>104</v>
      </c>
      <c r="N53" s="150"/>
      <c r="O53" s="151"/>
      <c r="P53" s="151"/>
      <c r="Q53" s="151"/>
    </row>
    <row r="54" spans="1:24" ht="32" x14ac:dyDescent="0.25">
      <c r="A54" s="142" t="s">
        <v>124</v>
      </c>
      <c r="B54" s="142" t="s">
        <v>125</v>
      </c>
      <c r="C54" s="143" t="s">
        <v>18</v>
      </c>
      <c r="D54" s="143">
        <v>79</v>
      </c>
      <c r="E54" s="143">
        <v>75</v>
      </c>
      <c r="F54" s="142">
        <v>45</v>
      </c>
      <c r="G54" s="142"/>
      <c r="M54" s="161" t="s">
        <v>3</v>
      </c>
      <c r="N54" s="161"/>
      <c r="O54" s="161" t="s">
        <v>105</v>
      </c>
      <c r="P54" s="161" t="s">
        <v>107</v>
      </c>
      <c r="Q54" s="161" t="s">
        <v>106</v>
      </c>
      <c r="R54" s="161" t="s">
        <v>223</v>
      </c>
      <c r="S54" s="161" t="s">
        <v>215</v>
      </c>
      <c r="T54" s="161" t="s">
        <v>216</v>
      </c>
      <c r="U54" s="162"/>
      <c r="V54" s="162" t="s">
        <v>221</v>
      </c>
      <c r="W54" s="162"/>
      <c r="X54" s="162" t="s">
        <v>222</v>
      </c>
    </row>
    <row r="55" spans="1:24" ht="19" x14ac:dyDescent="0.25">
      <c r="A55" s="142" t="s">
        <v>124</v>
      </c>
      <c r="B55" s="142" t="s">
        <v>125</v>
      </c>
      <c r="C55" s="143"/>
      <c r="D55" s="143"/>
      <c r="E55" s="143"/>
      <c r="F55" s="142"/>
      <c r="G55" s="142"/>
      <c r="M55" s="163" t="s">
        <v>11</v>
      </c>
      <c r="N55" s="163"/>
      <c r="O55" s="163" t="s">
        <v>109</v>
      </c>
      <c r="P55" s="163">
        <v>82</v>
      </c>
      <c r="Q55" s="163">
        <v>39</v>
      </c>
      <c r="R55" s="163">
        <v>30.5</v>
      </c>
      <c r="S55" s="163"/>
      <c r="T55" s="163"/>
      <c r="U55" s="163"/>
      <c r="V55" s="163">
        <v>0.16500000000000001</v>
      </c>
      <c r="W55" s="163"/>
      <c r="X55" s="165"/>
    </row>
    <row r="56" spans="1:24" ht="19" x14ac:dyDescent="0.25">
      <c r="A56" s="142" t="s">
        <v>124</v>
      </c>
      <c r="B56" s="142" t="s">
        <v>125</v>
      </c>
      <c r="C56" s="143"/>
      <c r="D56" s="143"/>
      <c r="E56" s="143"/>
      <c r="F56" s="142"/>
      <c r="G56" s="142"/>
      <c r="M56" s="163" t="s">
        <v>11</v>
      </c>
      <c r="N56" s="163"/>
      <c r="O56" s="163" t="s">
        <v>110</v>
      </c>
      <c r="P56" s="163">
        <v>82</v>
      </c>
      <c r="Q56" s="163">
        <v>56.5</v>
      </c>
      <c r="R56" s="163">
        <v>30.5</v>
      </c>
      <c r="S56" s="163"/>
      <c r="T56" s="164">
        <f>(P56*Q56*R56)/144</f>
        <v>981.29513888888891</v>
      </c>
      <c r="U56" s="163"/>
      <c r="V56" s="163">
        <v>0.16500000000000001</v>
      </c>
      <c r="W56" s="163"/>
      <c r="X56" s="165">
        <f>T56*V56</f>
        <v>161.91369791666668</v>
      </c>
    </row>
    <row r="57" spans="1:24" ht="19" x14ac:dyDescent="0.25">
      <c r="A57" s="142" t="s">
        <v>124</v>
      </c>
      <c r="B57" s="142" t="s">
        <v>125</v>
      </c>
      <c r="C57" s="143"/>
      <c r="D57" s="143"/>
      <c r="E57" s="143"/>
      <c r="F57" s="142"/>
      <c r="G57" s="142"/>
      <c r="M57" s="164" t="s">
        <v>11</v>
      </c>
      <c r="N57" s="164"/>
      <c r="O57" s="164" t="s">
        <v>111</v>
      </c>
      <c r="P57" s="164">
        <v>82</v>
      </c>
      <c r="Q57" s="164">
        <v>63.5</v>
      </c>
      <c r="R57" s="164">
        <v>30.5</v>
      </c>
      <c r="S57" s="164">
        <v>3</v>
      </c>
      <c r="T57" s="164">
        <f>(P57*Q57*R57)/144</f>
        <v>1102.8715277777778</v>
      </c>
      <c r="U57" s="164"/>
      <c r="V57" s="163">
        <v>0.16500000000000001</v>
      </c>
      <c r="W57" s="164"/>
      <c r="X57" s="165">
        <f>T57*V57</f>
        <v>181.97380208333334</v>
      </c>
    </row>
    <row r="58" spans="1:24" ht="15" customHeight="1" x14ac:dyDescent="0.25">
      <c r="A58" s="146" t="s">
        <v>11</v>
      </c>
      <c r="B58" s="147" t="s">
        <v>103</v>
      </c>
      <c r="C58" s="148" t="s">
        <v>22</v>
      </c>
      <c r="D58" s="149">
        <v>107</v>
      </c>
      <c r="E58" s="149">
        <v>81</v>
      </c>
      <c r="M58" s="164" t="s">
        <v>11</v>
      </c>
      <c r="N58" s="164"/>
      <c r="O58" s="164" t="s">
        <v>112</v>
      </c>
      <c r="P58" s="164">
        <v>82</v>
      </c>
      <c r="Q58" s="164">
        <v>78</v>
      </c>
      <c r="R58" s="164">
        <v>30.5</v>
      </c>
      <c r="S58" s="164">
        <v>2</v>
      </c>
      <c r="T58" s="164">
        <f>(P58*Q58*R58)/144</f>
        <v>1354.7083333333333</v>
      </c>
      <c r="U58" s="164"/>
      <c r="V58" s="163">
        <v>0.16500000000000001</v>
      </c>
      <c r="W58" s="164"/>
      <c r="X58" s="165">
        <f>T58*V58</f>
        <v>223.52687499999999</v>
      </c>
    </row>
    <row r="60" spans="1:24" ht="15" customHeight="1" x14ac:dyDescent="0.2">
      <c r="B60" s="293" t="s">
        <v>105</v>
      </c>
      <c r="C60" s="293" t="s">
        <v>10</v>
      </c>
      <c r="D60" s="293" t="s">
        <v>9</v>
      </c>
      <c r="E60"/>
    </row>
    <row r="61" spans="1:24" ht="15" customHeight="1" x14ac:dyDescent="0.2">
      <c r="B61" s="294" t="s">
        <v>293</v>
      </c>
      <c r="C61" s="294">
        <v>73.5</v>
      </c>
      <c r="D61" s="294">
        <v>37.5</v>
      </c>
      <c r="E61"/>
    </row>
    <row r="62" spans="1:24" ht="15" hidden="1" customHeight="1" x14ac:dyDescent="0.2">
      <c r="B62" s="294" t="s">
        <v>294</v>
      </c>
      <c r="C62" s="294">
        <v>75.5</v>
      </c>
      <c r="D62" s="294">
        <v>37.5</v>
      </c>
      <c r="E62"/>
    </row>
    <row r="63" spans="1:24" ht="15" hidden="1" customHeight="1" x14ac:dyDescent="0.2">
      <c r="B63" s="294" t="s">
        <v>295</v>
      </c>
      <c r="C63" s="294">
        <v>73.5</v>
      </c>
      <c r="D63" s="294">
        <v>52.5</v>
      </c>
      <c r="E63"/>
    </row>
    <row r="64" spans="1:24" ht="15" customHeight="1" x14ac:dyDescent="0.2">
      <c r="B64" s="294" t="s">
        <v>296</v>
      </c>
      <c r="C64" s="294">
        <v>79.5</v>
      </c>
      <c r="D64" s="294">
        <v>59.5</v>
      </c>
      <c r="E64"/>
    </row>
    <row r="65" spans="2:5" ht="15" customHeight="1" x14ac:dyDescent="0.2">
      <c r="B65" s="294" t="s">
        <v>297</v>
      </c>
      <c r="C65" s="294">
        <v>79.5</v>
      </c>
      <c r="D65" s="294">
        <v>59.5</v>
      </c>
      <c r="E65"/>
    </row>
    <row r="66" spans="2:5" ht="15" customHeight="1" x14ac:dyDescent="0.2">
      <c r="B66" s="294" t="s">
        <v>298</v>
      </c>
      <c r="C66" s="294">
        <v>83.5</v>
      </c>
      <c r="D66" s="294">
        <v>71.5</v>
      </c>
      <c r="E66"/>
    </row>
    <row r="67" spans="2:5" ht="15" customHeight="1" x14ac:dyDescent="0.2">
      <c r="B67" s="294" t="s">
        <v>299</v>
      </c>
      <c r="C67" s="294">
        <v>83.5</v>
      </c>
      <c r="D67" s="294">
        <v>35.5</v>
      </c>
      <c r="E67"/>
    </row>
    <row r="68" spans="2:5" ht="15" customHeight="1" x14ac:dyDescent="0.2">
      <c r="B68" s="294" t="s">
        <v>300</v>
      </c>
      <c r="C68" s="294">
        <v>79.5</v>
      </c>
      <c r="D68" s="294">
        <v>75.5</v>
      </c>
      <c r="E68"/>
    </row>
  </sheetData>
  <pageMargins left="0.75" right="0.75" top="1" bottom="1" header="0.511811023622047" footer="0.511811023622047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AD319-2C36-4501-91C2-70427AA04747}">
  <sheetPr codeName="Sheet5">
    <pageSetUpPr fitToPage="1"/>
  </sheetPr>
  <dimension ref="A1:Y60"/>
  <sheetViews>
    <sheetView showGridLines="0" view="pageBreakPreview" topLeftCell="A4" zoomScale="89" zoomScaleNormal="68" zoomScaleSheetLayoutView="89" workbookViewId="0">
      <selection activeCell="W23" sqref="W23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15.1640625" style="16" hidden="1" customWidth="1"/>
    <col min="5" max="5" width="16.83203125" style="16" customWidth="1"/>
    <col min="6" max="6" width="11.83203125" style="16" customWidth="1"/>
    <col min="7" max="7" width="21.5" style="16" customWidth="1"/>
    <col min="8" max="8" width="10.6640625" style="16" customWidth="1"/>
    <col min="9" max="9" width="14" style="16" customWidth="1"/>
    <col min="10" max="10" width="8" style="16" hidden="1" customWidth="1"/>
    <col min="11" max="16" width="10.6640625" style="16" hidden="1" customWidth="1"/>
    <col min="17" max="19" width="10.6640625" style="16" customWidth="1"/>
    <col min="20" max="21" width="14.6640625" style="16" customWidth="1"/>
    <col min="22" max="22" width="14.6640625" style="98" customWidth="1"/>
    <col min="23" max="23" width="39.83203125" style="16" customWidth="1"/>
    <col min="24" max="24" width="18.33203125" style="23" customWidth="1"/>
    <col min="25" max="28" width="8.6640625" style="16" customWidth="1"/>
    <col min="29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9"/>
      <c r="K1" s="29"/>
      <c r="L1" s="29"/>
      <c r="M1" s="29"/>
      <c r="N1" s="27"/>
      <c r="O1" s="27"/>
      <c r="P1" s="121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30"/>
      <c r="K2" s="31"/>
      <c r="L2" s="29"/>
      <c r="M2" s="32" t="s">
        <v>161</v>
      </c>
      <c r="N2" s="27"/>
      <c r="O2" s="27"/>
      <c r="P2" s="28" t="s">
        <v>160</v>
      </c>
      <c r="R2" s="20"/>
      <c r="S2" s="21"/>
      <c r="U2" s="13"/>
      <c r="V2" s="20" t="s">
        <v>151</v>
      </c>
      <c r="W2" s="20"/>
      <c r="X2" s="22"/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37"/>
      <c r="K3" s="37"/>
      <c r="L3" s="37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37"/>
      <c r="K4" s="37"/>
      <c r="L4" s="37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37"/>
      <c r="K5" s="37"/>
      <c r="L5" s="37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37"/>
      <c r="K6" s="37"/>
      <c r="L6" s="37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5"/>
      <c r="I7" s="35"/>
      <c r="J7" s="37"/>
      <c r="K7" s="37"/>
      <c r="L7" s="37"/>
      <c r="M7" s="37"/>
      <c r="N7" s="38"/>
      <c r="O7" s="38"/>
      <c r="P7" s="38"/>
      <c r="Q7" s="43" t="s">
        <v>147</v>
      </c>
      <c r="R7" s="43"/>
      <c r="S7" s="43"/>
      <c r="T7" s="43"/>
      <c r="U7" s="43"/>
      <c r="V7" s="43" t="s">
        <v>148</v>
      </c>
      <c r="W7" s="43"/>
      <c r="X7" s="43"/>
    </row>
    <row r="8" spans="1:24" ht="15" customHeight="1" x14ac:dyDescent="0.25">
      <c r="A8" s="44" t="s">
        <v>207</v>
      </c>
      <c r="B8" s="45"/>
      <c r="C8" s="45"/>
      <c r="D8" s="46"/>
      <c r="E8" s="46"/>
      <c r="F8" s="36"/>
      <c r="G8" s="46"/>
      <c r="H8" s="35"/>
      <c r="I8" s="35"/>
      <c r="J8" s="37"/>
      <c r="K8" s="37"/>
      <c r="L8" s="37"/>
      <c r="M8" s="37"/>
      <c r="N8" s="38"/>
      <c r="O8" s="38"/>
      <c r="P8" s="38"/>
      <c r="Q8" s="105" t="s">
        <v>254</v>
      </c>
      <c r="R8" s="87"/>
      <c r="S8" s="106"/>
      <c r="T8" s="46"/>
      <c r="U8" s="107"/>
      <c r="V8" s="108">
        <v>46189</v>
      </c>
      <c r="W8" s="13"/>
      <c r="X8" s="22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37"/>
      <c r="K9" s="37"/>
      <c r="L9" s="37"/>
      <c r="M9" s="37"/>
      <c r="N9" s="38"/>
      <c r="O9" s="38"/>
      <c r="P9" s="38"/>
      <c r="Q9" s="86"/>
      <c r="R9" s="320"/>
      <c r="S9" s="320"/>
      <c r="T9" s="46"/>
      <c r="U9" s="107"/>
      <c r="V9" s="33"/>
      <c r="W9" s="13"/>
      <c r="X9" s="22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37"/>
      <c r="K10" s="37"/>
      <c r="L10" s="37"/>
      <c r="M10" s="37"/>
      <c r="N10" s="38"/>
      <c r="O10" s="38"/>
      <c r="P10" s="38"/>
      <c r="Q10" s="42" t="s">
        <v>149</v>
      </c>
      <c r="R10" s="43"/>
      <c r="S10" s="43"/>
      <c r="T10" s="43"/>
      <c r="U10" s="43"/>
      <c r="V10" s="43" t="s">
        <v>150</v>
      </c>
      <c r="W10" s="43"/>
      <c r="X10" s="43"/>
    </row>
    <row r="11" spans="1:24" ht="15" customHeight="1" x14ac:dyDescent="0.25">
      <c r="A11" s="188" t="s">
        <v>253</v>
      </c>
      <c r="B11" s="34"/>
      <c r="C11" s="35"/>
      <c r="D11" s="35"/>
      <c r="E11" s="46"/>
      <c r="F11" s="46"/>
      <c r="G11" s="46"/>
      <c r="H11" s="35"/>
      <c r="I11" s="35"/>
      <c r="J11" s="37"/>
      <c r="K11" s="37"/>
      <c r="L11" s="37"/>
      <c r="M11" s="37"/>
      <c r="N11" s="38"/>
      <c r="O11" s="38"/>
      <c r="P11" s="38"/>
      <c r="Q11" s="105" t="s">
        <v>252</v>
      </c>
      <c r="R11" s="86"/>
      <c r="S11" s="86"/>
      <c r="T11" s="46"/>
      <c r="U11" s="107"/>
      <c r="V11" s="86"/>
      <c r="W11" s="13"/>
      <c r="X11" s="22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37"/>
      <c r="K12" s="37"/>
      <c r="L12" s="37"/>
      <c r="M12" s="37"/>
      <c r="N12" s="38"/>
      <c r="O12" s="38"/>
      <c r="P12" s="38"/>
      <c r="Q12" s="48"/>
      <c r="R12" s="48"/>
      <c r="S12" s="48"/>
      <c r="T12" s="48"/>
      <c r="U12" s="47"/>
      <c r="V12" s="49"/>
      <c r="W12" s="13"/>
      <c r="X12" s="22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5"/>
      <c r="K13" s="50"/>
      <c r="L13" s="50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17" customFormat="1" ht="41.25" customHeight="1" x14ac:dyDescent="0.2">
      <c r="A14" s="53" t="s">
        <v>158</v>
      </c>
      <c r="B14" s="53" t="s">
        <v>0</v>
      </c>
      <c r="C14" s="53" t="s">
        <v>1</v>
      </c>
      <c r="D14" s="54" t="s">
        <v>135</v>
      </c>
      <c r="E14" s="54" t="s">
        <v>157</v>
      </c>
      <c r="F14" s="54" t="s">
        <v>3</v>
      </c>
      <c r="G14" s="54" t="s">
        <v>152</v>
      </c>
      <c r="H14" s="54" t="s">
        <v>105</v>
      </c>
      <c r="I14" s="54" t="s">
        <v>5</v>
      </c>
      <c r="J14" s="55" t="s">
        <v>64</v>
      </c>
      <c r="K14" s="55" t="s">
        <v>136</v>
      </c>
      <c r="L14" s="55" t="s">
        <v>24</v>
      </c>
      <c r="M14" s="55" t="s">
        <v>108</v>
      </c>
      <c r="N14" s="56" t="s">
        <v>136</v>
      </c>
      <c r="O14" s="56" t="s">
        <v>24</v>
      </c>
      <c r="P14" s="122" t="s">
        <v>108</v>
      </c>
      <c r="Q14" s="54" t="s">
        <v>136</v>
      </c>
      <c r="R14" s="54" t="s">
        <v>24</v>
      </c>
      <c r="S14" s="54" t="s">
        <v>108</v>
      </c>
      <c r="T14" s="90" t="s">
        <v>159</v>
      </c>
      <c r="U14" s="91" t="s">
        <v>6</v>
      </c>
      <c r="V14" s="92" t="s">
        <v>7</v>
      </c>
      <c r="W14" s="53" t="s">
        <v>140</v>
      </c>
      <c r="X14" s="26" t="s">
        <v>141</v>
      </c>
    </row>
    <row r="15" spans="1:24" s="17" customFormat="1" ht="36" customHeight="1" x14ac:dyDescent="0.2">
      <c r="A15" s="57">
        <v>1</v>
      </c>
      <c r="B15" s="57" t="str" cm="1">
        <f t="array" ref="B15">_xlfn.LET(_xlpm.r,_xlfn.XLOOKUP(1,
(TRIM(CODE_PRICE!$A$4:$A$2003)=TRIM($C$4))*
(TRIM(CODE_PRICE!$B$4:$B$2003)=TRIM(C15)),
CODE_PRICE!$C$4:$C$2003,
""),
IF(OR(_xlpm.r="",_xlpm.r=0),"",_xlpm.r))</f>
        <v/>
      </c>
      <c r="C15" s="57" t="s">
        <v>89</v>
      </c>
      <c r="D15" s="58" t="str">
        <f>_xlfn.XLOOKUP(B15,CODE_PRICE!C:C,CODE_PRICE!D:D,"")</f>
        <v/>
      </c>
      <c r="E15" s="58" t="s">
        <v>11</v>
      </c>
      <c r="F15" s="59" t="s">
        <v>213</v>
      </c>
      <c r="G15" s="60" t="str">
        <f>IF(COUNTIFS($C$15:C15,C15,$H$15:H15,H15)=1,
SUMIFS($I$15:$I$49,$C$15:$C$49,C15,$H$15:$H$49,H15)&amp;H15&amp;" "&amp;C15,
"")</f>
        <v>10S CFN30100W</v>
      </c>
      <c r="H15" s="58" t="s">
        <v>22</v>
      </c>
      <c r="I15" s="61">
        <v>1</v>
      </c>
      <c r="J15" s="158"/>
      <c r="K15" s="158" cm="1">
        <f t="array" ref="K15">IF(E15="untrim",_xlfn.XLOOKUP(1,(TRIM('SIZE GUIDE'!$A$3:$A$2015)=TRIM(E15))*(TRIM('SIZE GUIDE'!$B$3:$B$2015)=TRIM(F15))*(TRIM('SIZE GUIDE'!$C$3:$C$2015)=TRIM(H15)),'SIZE GUIDE'!$D$3:$D$2015),"")</f>
        <v>108</v>
      </c>
      <c r="L15" s="168" cm="1">
        <f t="array" ref="L15">IF(E15="untrim",IFERROR(INDEX('SIZE GUIDE'!$E:$E,MATCH(1,('SIZE GUIDE'!$A:$A=$E15)*('SIZE GUIDE'!$B:$B=$F15)*('SIZE GUIDE'!$C:$C=$H15),0)),""),"")</f>
        <v>81</v>
      </c>
      <c r="M15" s="158">
        <v>41</v>
      </c>
      <c r="N15" s="65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65" t="str" cm="1">
        <f t="array" ref="O15">IF(E15="trim",IFERROR(INDEX('SIZE GUIDE'!$E:$E,MATCH(1,('SIZE GUIDE'!$A:$A=$E15)*('SIZE GUIDE'!$B:$B=$F15)*('SIZE GUIDE'!$C:$C=$H15),0)),""),"")</f>
        <v/>
      </c>
      <c r="P15" s="65"/>
      <c r="Q15" s="59">
        <f>K15</f>
        <v>108</v>
      </c>
      <c r="R15" s="130">
        <f>L15</f>
        <v>81</v>
      </c>
      <c r="S15" s="59">
        <f>IF(E15="untrim",M15-0.5,P15-0.5)</f>
        <v>40.5</v>
      </c>
      <c r="T15" s="93">
        <f t="shared" ref="T15:T24" si="0">IFERROR(Q15*R15*S15/144*I15,"")</f>
        <v>2460.375</v>
      </c>
      <c r="U15" s="94">
        <v>0.21179999999999999</v>
      </c>
      <c r="V15" s="95">
        <f>T15*U15</f>
        <v>521.10742499999992</v>
      </c>
      <c r="W15" s="102" t="str">
        <f>IF(COUNTIF($C$15:C15,C15)=1,C15 &amp; " - " &amp; TEXT(SUMIF($C:$C,C15,$T:$T),"0.00"),"")</f>
        <v>CFN30100W - 24482.25</v>
      </c>
      <c r="X15" s="103">
        <f>IF(COUNTIF($C$15:C15,C15)=1,ROUND(SUMIF($C:$C,C15,$V:$V),2), "")</f>
        <v>5185.34</v>
      </c>
    </row>
    <row r="16" spans="1:24" s="17" customFormat="1" ht="36" customHeight="1" x14ac:dyDescent="0.2">
      <c r="A16" s="57">
        <f>A15+1</f>
        <v>2</v>
      </c>
      <c r="B16" s="57" t="str" cm="1">
        <f t="array" ref="B16">_xlfn.LET(_xlpm.r,_xlfn.XLOOKUP(1,
(TRIM(CODE_PRICE!$A$4:$A$2003)=TRIM($C$4))*
(TRIM(CODE_PRICE!$B$4:$B$2003)=TRIM(C16)),
CODE_PRICE!$C$4:$C$2003,
""),
IF(OR(_xlpm.r="",_xlpm.r=0),"",_xlpm.r))</f>
        <v/>
      </c>
      <c r="C16" s="57" t="s">
        <v>89</v>
      </c>
      <c r="D16" s="58" t="str">
        <f>_xlfn.XLOOKUP(B16,CODE_PRICE!C:C,CODE_PRICE!D:D,"")</f>
        <v/>
      </c>
      <c r="E16" s="58" t="s">
        <v>11</v>
      </c>
      <c r="F16" s="59" t="s">
        <v>213</v>
      </c>
      <c r="G16" s="60" t="str">
        <f>IF(COUNTIFS($C$15:C16,C16,$H$15:H16,H16)=1,
SUMIFS($I$15:$I$49,$C$15:$C$49,C16,$H$15:$H$49,H16)&amp;H16&amp;" "&amp;C16,
"")</f>
        <v/>
      </c>
      <c r="H16" s="58" t="s">
        <v>22</v>
      </c>
      <c r="I16" s="61">
        <v>1</v>
      </c>
      <c r="J16" s="158"/>
      <c r="K16" s="158" cm="1">
        <f t="array" ref="K16">IF(E16="untrim",_xlfn.XLOOKUP(1,(TRIM('SIZE GUIDE'!$A$3:$A$2015)=TRIM(E16))*(TRIM('SIZE GUIDE'!$B$3:$B$2015)=TRIM(F16))*(TRIM('SIZE GUIDE'!$C$3:$C$2015)=TRIM(H16)),'SIZE GUIDE'!$D$3:$D$2015),"")</f>
        <v>108</v>
      </c>
      <c r="L16" s="168" cm="1">
        <f t="array" ref="L16">IF(E16="untrim",IFERROR(INDEX('SIZE GUIDE'!$E:$E,MATCH(1,('SIZE GUIDE'!$A:$A=$E16)*('SIZE GUIDE'!$B:$B=$F16)*('SIZE GUIDE'!$C:$C=$H16),0)),""),"")</f>
        <v>81</v>
      </c>
      <c r="M16" s="158">
        <v>42</v>
      </c>
      <c r="N16" s="65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65" t="str" cm="1">
        <f t="array" ref="O16">IF(E16="trim",IFERROR(INDEX('SIZE GUIDE'!$E:$E,MATCH(1,('SIZE GUIDE'!$A:$A=$E16)*('SIZE GUIDE'!$B:$B=$F16)*('SIZE GUIDE'!$C:$C=$H16),0)),""),"")</f>
        <v/>
      </c>
      <c r="P16" s="65"/>
      <c r="Q16" s="59">
        <f t="shared" ref="Q16:R24" si="1">K16</f>
        <v>108</v>
      </c>
      <c r="R16" s="130">
        <f t="shared" si="1"/>
        <v>81</v>
      </c>
      <c r="S16" s="59">
        <f t="shared" ref="S16:S24" si="2">IF(E16="untrim",M16-0.5,P16-0.5)</f>
        <v>41.5</v>
      </c>
      <c r="T16" s="93">
        <f t="shared" si="0"/>
        <v>2521.125</v>
      </c>
      <c r="U16" s="94">
        <v>0.21179999999999999</v>
      </c>
      <c r="V16" s="95">
        <f t="shared" ref="V16:V24" si="3">T16*U16</f>
        <v>533.97427499999992</v>
      </c>
      <c r="W16" s="102" t="str">
        <f>IF(COUNTIF($C$15:C16,C16)=1,C16 &amp; " - " &amp; TEXT(SUMIF($C:$C,C16,$T:$T),"0.00"),"")</f>
        <v/>
      </c>
      <c r="X16" s="103" t="str">
        <f>IF(COUNTIF($C$15:C16,C16)=1,ROUND(SUMIF($C:$C,C16,$V:$V),2), "")</f>
        <v/>
      </c>
    </row>
    <row r="17" spans="1:24" s="17" customFormat="1" ht="36" customHeight="1" x14ac:dyDescent="0.2">
      <c r="A17" s="57">
        <f t="shared" ref="A17:A24" si="4">A16+1</f>
        <v>3</v>
      </c>
      <c r="B17" s="57" t="str" cm="1">
        <f t="array" ref="B17">_xlfn.LET(_xlpm.r,_xlfn.XLOOKUP(1,
(TRIM(CODE_PRICE!$A$4:$A$2003)=TRIM($C$4))*
(TRIM(CODE_PRICE!$B$4:$B$2003)=TRIM(C17)),
CODE_PRICE!$C$4:$C$2003,
""),
IF(OR(_xlpm.r="",_xlpm.r=0),"",_xlpm.r))</f>
        <v/>
      </c>
      <c r="C17" s="57" t="s">
        <v>89</v>
      </c>
      <c r="D17" s="58" t="str">
        <f>_xlfn.XLOOKUP(B17,CODE_PRICE!C:C,CODE_PRICE!D:D,"")</f>
        <v/>
      </c>
      <c r="E17" s="58" t="s">
        <v>11</v>
      </c>
      <c r="F17" s="59" t="s">
        <v>213</v>
      </c>
      <c r="G17" s="60" t="str">
        <f>IF(COUNTIFS($C$15:C17,C17,$H$15:H17,H17)=1,
SUMIFS($I$15:$I$49,$C$15:$C$49,C17,$H$15:$H$49,H17)&amp;H17&amp;" "&amp;C17,
"")</f>
        <v/>
      </c>
      <c r="H17" s="58" t="s">
        <v>22</v>
      </c>
      <c r="I17" s="61">
        <v>1</v>
      </c>
      <c r="J17" s="158"/>
      <c r="K17" s="158" cm="1">
        <f t="array" ref="K17">IF(E17="untrim",_xlfn.XLOOKUP(1,(TRIM('SIZE GUIDE'!$A$3:$A$2015)=TRIM(E17))*(TRIM('SIZE GUIDE'!$B$3:$B$2015)=TRIM(F17))*(TRIM('SIZE GUIDE'!$C$3:$C$2015)=TRIM(H17)),'SIZE GUIDE'!$D$3:$D$2015),"")</f>
        <v>108</v>
      </c>
      <c r="L17" s="168" cm="1">
        <f t="array" ref="L17">IF(E17="untrim",IFERROR(INDEX('SIZE GUIDE'!$E:$E,MATCH(1,('SIZE GUIDE'!$A:$A=$E17)*('SIZE GUIDE'!$B:$B=$F17)*('SIZE GUIDE'!$C:$C=$H17),0)),""),"")</f>
        <v>81</v>
      </c>
      <c r="M17" s="158">
        <v>42.5</v>
      </c>
      <c r="N17" s="65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65" t="str" cm="1">
        <f t="array" ref="O17">IF(E17="trim",IFERROR(INDEX('SIZE GUIDE'!$E:$E,MATCH(1,('SIZE GUIDE'!$A:$A=$E17)*('SIZE GUIDE'!$B:$B=$F17)*('SIZE GUIDE'!$C:$C=$H17),0)),""),"")</f>
        <v/>
      </c>
      <c r="P17" s="65"/>
      <c r="Q17" s="59">
        <f t="shared" si="1"/>
        <v>108</v>
      </c>
      <c r="R17" s="130">
        <f t="shared" si="1"/>
        <v>81</v>
      </c>
      <c r="S17" s="59">
        <f t="shared" si="2"/>
        <v>42</v>
      </c>
      <c r="T17" s="93">
        <f t="shared" si="0"/>
        <v>2551.5</v>
      </c>
      <c r="U17" s="94">
        <v>0.21179999999999999</v>
      </c>
      <c r="V17" s="95">
        <f t="shared" si="3"/>
        <v>540.40769999999998</v>
      </c>
      <c r="W17" s="102" t="str">
        <f>IF(COUNTIF($C$15:C17,C17)=1,C17 &amp; " - " &amp; TEXT(SUMIF($C:$C,C17,$T:$T),"0.00"),"")</f>
        <v/>
      </c>
      <c r="X17" s="103" t="str">
        <f>IF(COUNTIF($C$15:C17,C17)=1,ROUND(SUMIF($C:$C,C17,$V:$V),2), "")</f>
        <v/>
      </c>
    </row>
    <row r="18" spans="1:24" s="17" customFormat="1" ht="36" customHeight="1" x14ac:dyDescent="0.2">
      <c r="A18" s="57">
        <f t="shared" si="4"/>
        <v>4</v>
      </c>
      <c r="B18" s="57" t="str" cm="1">
        <f t="array" ref="B18">_xlfn.LET(_xlpm.r,_xlfn.XLOOKUP(1,
(TRIM(CODE_PRICE!$A$4:$A$2003)=TRIM($C$4))*
(TRIM(CODE_PRICE!$B$4:$B$2003)=TRIM(C18)),
CODE_PRICE!$C$4:$C$2003,
""),
IF(OR(_xlpm.r="",_xlpm.r=0),"",_xlpm.r))</f>
        <v/>
      </c>
      <c r="C18" s="57" t="s">
        <v>89</v>
      </c>
      <c r="D18" s="58" t="str">
        <f>_xlfn.XLOOKUP(B18,CODE_PRICE!C:C,CODE_PRICE!D:D,"")</f>
        <v/>
      </c>
      <c r="E18" s="58" t="s">
        <v>11</v>
      </c>
      <c r="F18" s="59" t="s">
        <v>213</v>
      </c>
      <c r="G18" s="60" t="str">
        <f>IF(COUNTIFS($C$15:C18,C18,$H$15:H18,H18)=1,
SUMIFS($I$15:$I$49,$C$15:$C$49,C18,$H$15:$H$49,H18)&amp;H18&amp;" "&amp;C18,
"")</f>
        <v/>
      </c>
      <c r="H18" s="58" t="s">
        <v>22</v>
      </c>
      <c r="I18" s="61">
        <v>1</v>
      </c>
      <c r="J18" s="158"/>
      <c r="K18" s="158" cm="1">
        <f t="array" ref="K18">IF(E18="untrim",_xlfn.XLOOKUP(1,(TRIM('SIZE GUIDE'!$A$3:$A$2015)=TRIM(E18))*(TRIM('SIZE GUIDE'!$B$3:$B$2015)=TRIM(F18))*(TRIM('SIZE GUIDE'!$C$3:$C$2015)=TRIM(H18)),'SIZE GUIDE'!$D$3:$D$2015),"")</f>
        <v>108</v>
      </c>
      <c r="L18" s="168" cm="1">
        <f t="array" ref="L18">IF(E18="untrim",IFERROR(INDEX('SIZE GUIDE'!$E:$E,MATCH(1,('SIZE GUIDE'!$A:$A=$E18)*('SIZE GUIDE'!$B:$B=$F18)*('SIZE GUIDE'!$C:$C=$H18),0)),""),"")</f>
        <v>81</v>
      </c>
      <c r="M18" s="158">
        <v>39</v>
      </c>
      <c r="N18" s="65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65" t="str" cm="1">
        <f t="array" ref="O18">IF(E18="trim",IFERROR(INDEX('SIZE GUIDE'!$E:$E,MATCH(1,('SIZE GUIDE'!$A:$A=$E18)*('SIZE GUIDE'!$B:$B=$F18)*('SIZE GUIDE'!$C:$C=$H18),0)),""),"")</f>
        <v/>
      </c>
      <c r="P18" s="65"/>
      <c r="Q18" s="59">
        <f t="shared" si="1"/>
        <v>108</v>
      </c>
      <c r="R18" s="130">
        <f t="shared" si="1"/>
        <v>81</v>
      </c>
      <c r="S18" s="59">
        <f t="shared" si="2"/>
        <v>38.5</v>
      </c>
      <c r="T18" s="93">
        <f t="shared" si="0"/>
        <v>2338.875</v>
      </c>
      <c r="U18" s="94">
        <v>0.21179999999999999</v>
      </c>
      <c r="V18" s="95">
        <f t="shared" si="3"/>
        <v>495.37372499999998</v>
      </c>
      <c r="W18" s="102" t="str">
        <f>IF(COUNTIF($C$15:C18,C18)=1,C18 &amp; " - " &amp; TEXT(SUMIF($C:$C,C18,$T:$T),"0.00"),"")</f>
        <v/>
      </c>
      <c r="X18" s="103" t="str">
        <f>IF(COUNTIF($C$15:C18,C18)=1,ROUND(SUMIF($C:$C,C18,$V:$V),2), "")</f>
        <v/>
      </c>
    </row>
    <row r="19" spans="1:24" s="17" customFormat="1" ht="36" customHeight="1" x14ac:dyDescent="0.2">
      <c r="A19" s="57">
        <f t="shared" si="4"/>
        <v>5</v>
      </c>
      <c r="B19" s="57" t="str" cm="1">
        <f t="array" ref="B19">_xlfn.LET(_xlpm.r,_xlfn.XLOOKUP(1,
(TRIM(CODE_PRICE!$A$4:$A$2003)=TRIM($C$4))*
(TRIM(CODE_PRICE!$B$4:$B$2003)=TRIM(C19)),
CODE_PRICE!$C$4:$C$2003,
""),
IF(OR(_xlpm.r="",_xlpm.r=0),"",_xlpm.r))</f>
        <v/>
      </c>
      <c r="C19" s="57" t="s">
        <v>89</v>
      </c>
      <c r="D19" s="58" t="str">
        <f>_xlfn.XLOOKUP(B19,CODE_PRICE!C:C,CODE_PRICE!D:D,"")</f>
        <v/>
      </c>
      <c r="E19" s="58" t="s">
        <v>11</v>
      </c>
      <c r="F19" s="59" t="s">
        <v>213</v>
      </c>
      <c r="G19" s="60" t="str">
        <f>IF(COUNTIFS($C$15:C19,C19,$H$15:H19,H19)=1,
SUMIFS($I$15:$I$49,$C$15:$C$49,C19,$H$15:$H$49,H19)&amp;H19&amp;" "&amp;C19,
"")</f>
        <v/>
      </c>
      <c r="H19" s="58" t="s">
        <v>22</v>
      </c>
      <c r="I19" s="61">
        <v>1</v>
      </c>
      <c r="J19" s="158"/>
      <c r="K19" s="158" cm="1">
        <f t="array" ref="K19">IF(E19="untrim",_xlfn.XLOOKUP(1,(TRIM('SIZE GUIDE'!$A$3:$A$2015)=TRIM(E19))*(TRIM('SIZE GUIDE'!$B$3:$B$2015)=TRIM(F19))*(TRIM('SIZE GUIDE'!$C$3:$C$2015)=TRIM(H19)),'SIZE GUIDE'!$D$3:$D$2015),"")</f>
        <v>108</v>
      </c>
      <c r="L19" s="168" cm="1">
        <f t="array" ref="L19">IF(E19="untrim",IFERROR(INDEX('SIZE GUIDE'!$E:$E,MATCH(1,('SIZE GUIDE'!$A:$A=$E19)*('SIZE GUIDE'!$B:$B=$F19)*('SIZE GUIDE'!$C:$C=$H19),0)),""),"")</f>
        <v>81</v>
      </c>
      <c r="M19" s="158">
        <v>42.5</v>
      </c>
      <c r="N19" s="65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65" t="str" cm="1">
        <f t="array" ref="O19">IF(E19="trim",IFERROR(INDEX('SIZE GUIDE'!$E:$E,MATCH(1,('SIZE GUIDE'!$A:$A=$E19)*('SIZE GUIDE'!$B:$B=$F19)*('SIZE GUIDE'!$C:$C=$H19),0)),""),"")</f>
        <v/>
      </c>
      <c r="P19" s="65"/>
      <c r="Q19" s="59">
        <f t="shared" si="1"/>
        <v>108</v>
      </c>
      <c r="R19" s="130">
        <f t="shared" si="1"/>
        <v>81</v>
      </c>
      <c r="S19" s="59">
        <f t="shared" si="2"/>
        <v>42</v>
      </c>
      <c r="T19" s="93">
        <f t="shared" si="0"/>
        <v>2551.5</v>
      </c>
      <c r="U19" s="94">
        <v>0.21179999999999999</v>
      </c>
      <c r="V19" s="95">
        <f t="shared" si="3"/>
        <v>540.40769999999998</v>
      </c>
      <c r="W19" s="102" t="str">
        <f>IF(COUNTIF($C$15:C19,C19)=1,C19 &amp; " - " &amp; TEXT(SUMIF($C:$C,C19,$T:$T),"0.00"),"")</f>
        <v/>
      </c>
      <c r="X19" s="103" t="str">
        <f>IF(COUNTIF($C$15:C19,C19)=1,ROUND(SUMIF($C:$C,C19,$V:$V),2), "")</f>
        <v/>
      </c>
    </row>
    <row r="20" spans="1:24" s="17" customFormat="1" ht="36" customHeight="1" x14ac:dyDescent="0.2">
      <c r="A20" s="57">
        <f t="shared" si="4"/>
        <v>6</v>
      </c>
      <c r="B20" s="57" t="str" cm="1">
        <f t="array" ref="B20">_xlfn.LET(_xlpm.r,_xlfn.XLOOKUP(1,
(TRIM(CODE_PRICE!$A$4:$A$2003)=TRIM($C$4))*
(TRIM(CODE_PRICE!$B$4:$B$2003)=TRIM(C20)),
CODE_PRICE!$C$4:$C$2003,
""),
IF(OR(_xlpm.r="",_xlpm.r=0),"",_xlpm.r))</f>
        <v/>
      </c>
      <c r="C20" s="57" t="s">
        <v>89</v>
      </c>
      <c r="D20" s="58" t="str">
        <f>_xlfn.XLOOKUP(B20,CODE_PRICE!C:C,CODE_PRICE!D:D,"")</f>
        <v/>
      </c>
      <c r="E20" s="58" t="s">
        <v>11</v>
      </c>
      <c r="F20" s="59" t="s">
        <v>213</v>
      </c>
      <c r="G20" s="60" t="str">
        <f>IF(COUNTIFS($C$15:C20,C20,$H$15:H20,H20)=1,
SUMIFS($I$15:$I$49,$C$15:$C$49,C20,$H$15:$H$49,H20)&amp;H20&amp;" "&amp;C20,
"")</f>
        <v/>
      </c>
      <c r="H20" s="58" t="s">
        <v>22</v>
      </c>
      <c r="I20" s="61">
        <v>1</v>
      </c>
      <c r="J20" s="158"/>
      <c r="K20" s="158" cm="1">
        <f t="array" ref="K20">IF(E20="untrim",_xlfn.XLOOKUP(1,(TRIM('SIZE GUIDE'!$A$3:$A$2015)=TRIM(E20))*(TRIM('SIZE GUIDE'!$B$3:$B$2015)=TRIM(F20))*(TRIM('SIZE GUIDE'!$C$3:$C$2015)=TRIM(H20)),'SIZE GUIDE'!$D$3:$D$2015),"")</f>
        <v>108</v>
      </c>
      <c r="L20" s="168" cm="1">
        <f t="array" ref="L20">IF(E20="untrim",IFERROR(INDEX('SIZE GUIDE'!$E:$E,MATCH(1,('SIZE GUIDE'!$A:$A=$E20)*('SIZE GUIDE'!$B:$B=$F20)*('SIZE GUIDE'!$C:$C=$H20),0)),""),"")</f>
        <v>81</v>
      </c>
      <c r="M20" s="158">
        <v>38</v>
      </c>
      <c r="N20" s="65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65" t="str" cm="1">
        <f t="array" ref="O20">IF(E20="trim",IFERROR(INDEX('SIZE GUIDE'!$E:$E,MATCH(1,('SIZE GUIDE'!$A:$A=$E20)*('SIZE GUIDE'!$B:$B=$F20)*('SIZE GUIDE'!$C:$C=$H20),0)),""),"")</f>
        <v/>
      </c>
      <c r="P20" s="65"/>
      <c r="Q20" s="59">
        <f t="shared" si="1"/>
        <v>108</v>
      </c>
      <c r="R20" s="130">
        <f t="shared" si="1"/>
        <v>81</v>
      </c>
      <c r="S20" s="59">
        <f t="shared" si="2"/>
        <v>37.5</v>
      </c>
      <c r="T20" s="93">
        <f t="shared" si="0"/>
        <v>2278.125</v>
      </c>
      <c r="U20" s="94">
        <v>0.21179999999999999</v>
      </c>
      <c r="V20" s="95">
        <f t="shared" si="3"/>
        <v>482.50687499999998</v>
      </c>
      <c r="W20" s="102" t="str">
        <f>IF(COUNTIF($C$15:C20,C20)=1,C20 &amp; " - " &amp; TEXT(SUMIF($C:$C,C20,$T:$T),"0.00"),"")</f>
        <v/>
      </c>
      <c r="X20" s="103" t="str">
        <f>IF(COUNTIF($C$15:C20,C20)=1,ROUND(SUMIF($C:$C,C20,$V:$V),2), "")</f>
        <v/>
      </c>
    </row>
    <row r="21" spans="1:24" s="17" customFormat="1" ht="36" customHeight="1" x14ac:dyDescent="0.2">
      <c r="A21" s="57">
        <f t="shared" si="4"/>
        <v>7</v>
      </c>
      <c r="B21" s="57" t="str" cm="1">
        <f t="array" ref="B21">_xlfn.LET(_xlpm.r,_xlfn.XLOOKUP(1,
(TRIM(CODE_PRICE!$A$4:$A$2003)=TRIM($C$4))*
(TRIM(CODE_PRICE!$B$4:$B$2003)=TRIM(C21)),
CODE_PRICE!$C$4:$C$2003,
""),
IF(OR(_xlpm.r="",_xlpm.r=0),"",_xlpm.r))</f>
        <v/>
      </c>
      <c r="C21" s="57" t="s">
        <v>89</v>
      </c>
      <c r="D21" s="58" t="str">
        <f>_xlfn.XLOOKUP(B21,CODE_PRICE!C:C,CODE_PRICE!D:D,"")</f>
        <v/>
      </c>
      <c r="E21" s="58" t="s">
        <v>11</v>
      </c>
      <c r="F21" s="59" t="s">
        <v>213</v>
      </c>
      <c r="G21" s="60" t="str">
        <f>IF(COUNTIFS($C$15:C21,C21,$H$15:H21,H21)=1,
SUMIFS($I$15:$I$49,$C$15:$C$49,C21,$H$15:$H$49,H21)&amp;H21&amp;" "&amp;C21,
"")</f>
        <v/>
      </c>
      <c r="H21" s="58" t="s">
        <v>22</v>
      </c>
      <c r="I21" s="61">
        <v>1</v>
      </c>
      <c r="J21" s="158"/>
      <c r="K21" s="158" cm="1">
        <f t="array" ref="K21">IF(E21="untrim",_xlfn.XLOOKUP(1,(TRIM('SIZE GUIDE'!$A$3:$A$2015)=TRIM(E21))*(TRIM('SIZE GUIDE'!$B$3:$B$2015)=TRIM(F21))*(TRIM('SIZE GUIDE'!$C$3:$C$2015)=TRIM(H21)),'SIZE GUIDE'!$D$3:$D$2015),"")</f>
        <v>108</v>
      </c>
      <c r="L21" s="168" cm="1">
        <f t="array" ref="L21">IF(E21="untrim",IFERROR(INDEX('SIZE GUIDE'!$E:$E,MATCH(1,('SIZE GUIDE'!$A:$A=$E21)*('SIZE GUIDE'!$B:$B=$F21)*('SIZE GUIDE'!$C:$C=$H21),0)),""),"")</f>
        <v>81</v>
      </c>
      <c r="M21" s="158">
        <v>42</v>
      </c>
      <c r="N21" s="65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65" t="str" cm="1">
        <f t="array" ref="O21">IF(E21="trim",IFERROR(INDEX('SIZE GUIDE'!$E:$E,MATCH(1,('SIZE GUIDE'!$A:$A=$E21)*('SIZE GUIDE'!$B:$B=$F21)*('SIZE GUIDE'!$C:$C=$H21),0)),""),"")</f>
        <v/>
      </c>
      <c r="P21" s="65"/>
      <c r="Q21" s="59">
        <f t="shared" si="1"/>
        <v>108</v>
      </c>
      <c r="R21" s="130">
        <f t="shared" si="1"/>
        <v>81</v>
      </c>
      <c r="S21" s="59">
        <f t="shared" si="2"/>
        <v>41.5</v>
      </c>
      <c r="T21" s="93">
        <f t="shared" si="0"/>
        <v>2521.125</v>
      </c>
      <c r="U21" s="94">
        <v>0.21179999999999999</v>
      </c>
      <c r="V21" s="95">
        <f t="shared" si="3"/>
        <v>533.97427499999992</v>
      </c>
      <c r="W21" s="102" t="str">
        <f>IF(COUNTIF($C$15:C21,C21)=1,C21 &amp; " - " &amp; TEXT(SUMIF($C:$C,C21,$T:$T),"0.00"),"")</f>
        <v/>
      </c>
      <c r="X21" s="103" t="str">
        <f>IF(COUNTIF($C$15:C21,C21)=1,ROUND(SUMIF($C:$C,C21,$V:$V),2), "")</f>
        <v/>
      </c>
    </row>
    <row r="22" spans="1:24" s="17" customFormat="1" ht="36" customHeight="1" x14ac:dyDescent="0.2">
      <c r="A22" s="57">
        <f t="shared" si="4"/>
        <v>8</v>
      </c>
      <c r="B22" s="57" t="str" cm="1">
        <f t="array" ref="B22">_xlfn.LET(_xlpm.r,_xlfn.XLOOKUP(1,
(TRIM(CODE_PRICE!$A$4:$A$2003)=TRIM($C$4))*
(TRIM(CODE_PRICE!$B$4:$B$2003)=TRIM(C22)),
CODE_PRICE!$C$4:$C$2003,
""),
IF(OR(_xlpm.r="",_xlpm.r=0),"",_xlpm.r))</f>
        <v/>
      </c>
      <c r="C22" s="57" t="s">
        <v>89</v>
      </c>
      <c r="D22" s="58" t="str">
        <f>_xlfn.XLOOKUP(B22,CODE_PRICE!C:C,CODE_PRICE!D:D,"")</f>
        <v/>
      </c>
      <c r="E22" s="58" t="s">
        <v>11</v>
      </c>
      <c r="F22" s="59" t="s">
        <v>213</v>
      </c>
      <c r="G22" s="60" t="str">
        <f>IF(COUNTIFS($C$15:C22,C22,$H$15:H22,H22)=1,
SUMIFS($I$15:$I$49,$C$15:$C$49,C22,$H$15:$H$49,H22)&amp;H22&amp;" "&amp;C22,
"")</f>
        <v/>
      </c>
      <c r="H22" s="58" t="s">
        <v>22</v>
      </c>
      <c r="I22" s="61">
        <v>1</v>
      </c>
      <c r="J22" s="158"/>
      <c r="K22" s="158" cm="1">
        <f t="array" ref="K22">IF(E22="untrim",_xlfn.XLOOKUP(1,(TRIM('SIZE GUIDE'!$A$3:$A$2015)=TRIM(E22))*(TRIM('SIZE GUIDE'!$B$3:$B$2015)=TRIM(F22))*(TRIM('SIZE GUIDE'!$C$3:$C$2015)=TRIM(H22)),'SIZE GUIDE'!$D$3:$D$2015),"")</f>
        <v>108</v>
      </c>
      <c r="L22" s="168" cm="1">
        <f t="array" ref="L22">IF(E22="untrim",IFERROR(INDEX('SIZE GUIDE'!$E:$E,MATCH(1,('SIZE GUIDE'!$A:$A=$E22)*('SIZE GUIDE'!$B:$B=$F22)*('SIZE GUIDE'!$C:$C=$H22),0)),""),"")</f>
        <v>81</v>
      </c>
      <c r="M22" s="158">
        <v>42</v>
      </c>
      <c r="N22" s="65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65" t="str" cm="1">
        <f t="array" ref="O22">IF(E22="trim",IFERROR(INDEX('SIZE GUIDE'!$E:$E,MATCH(1,('SIZE GUIDE'!$A:$A=$E22)*('SIZE GUIDE'!$B:$B=$F22)*('SIZE GUIDE'!$C:$C=$H22),0)),""),"")</f>
        <v/>
      </c>
      <c r="P22" s="65"/>
      <c r="Q22" s="59">
        <f t="shared" si="1"/>
        <v>108</v>
      </c>
      <c r="R22" s="130">
        <f t="shared" si="1"/>
        <v>81</v>
      </c>
      <c r="S22" s="59">
        <f t="shared" si="2"/>
        <v>41.5</v>
      </c>
      <c r="T22" s="93">
        <f t="shared" si="0"/>
        <v>2521.125</v>
      </c>
      <c r="U22" s="94">
        <v>0.21179999999999999</v>
      </c>
      <c r="V22" s="95">
        <f t="shared" si="3"/>
        <v>533.97427499999992</v>
      </c>
      <c r="W22" s="102" t="str">
        <f>IF(COUNTIF($C$15:C22,C22)=1,C22 &amp; " - " &amp; TEXT(SUMIF($C:$C,C22,$T:$T),"0.00"),"")</f>
        <v/>
      </c>
      <c r="X22" s="103" t="str">
        <f>IF(COUNTIF($C$15:C22,C22)=1,ROUND(SUMIF($C:$C,C22,$V:$V),2), "")</f>
        <v/>
      </c>
    </row>
    <row r="23" spans="1:24" s="17" customFormat="1" ht="36" customHeight="1" x14ac:dyDescent="0.2">
      <c r="A23" s="57">
        <f t="shared" si="4"/>
        <v>9</v>
      </c>
      <c r="B23" s="57" t="str" cm="1">
        <f t="array" ref="B23">_xlfn.LET(_xlpm.r,_xlfn.XLOOKUP(1,
(TRIM(CODE_PRICE!$A$4:$A$2003)=TRIM($C$4))*
(TRIM(CODE_PRICE!$B$4:$B$2003)=TRIM(C23)),
CODE_PRICE!$C$4:$C$2003,
""),
IF(OR(_xlpm.r="",_xlpm.r=0),"",_xlpm.r))</f>
        <v/>
      </c>
      <c r="C23" s="57" t="s">
        <v>89</v>
      </c>
      <c r="D23" s="58" t="str">
        <f>_xlfn.XLOOKUP(B23,CODE_PRICE!C:C,CODE_PRICE!D:D,"")</f>
        <v/>
      </c>
      <c r="E23" s="58" t="s">
        <v>11</v>
      </c>
      <c r="F23" s="59" t="s">
        <v>213</v>
      </c>
      <c r="G23" s="60" t="str">
        <f>IF(COUNTIFS($C$15:C23,C23,$H$15:H23,H23)=1,
SUMIFS($I$15:$I$49,$C$15:$C$49,C23,$H$15:$H$49,H23)&amp;H23&amp;" "&amp;C23,
"")</f>
        <v/>
      </c>
      <c r="H23" s="58" t="s">
        <v>22</v>
      </c>
      <c r="I23" s="61">
        <v>1</v>
      </c>
      <c r="J23" s="158"/>
      <c r="K23" s="158" cm="1">
        <f t="array" ref="K23">IF(E23="untrim",_xlfn.XLOOKUP(1,(TRIM('SIZE GUIDE'!$A$3:$A$2015)=TRIM(E23))*(TRIM('SIZE GUIDE'!$B$3:$B$2015)=TRIM(F23))*(TRIM('SIZE GUIDE'!$C$3:$C$2015)=TRIM(H23)),'SIZE GUIDE'!$D$3:$D$2015),"")</f>
        <v>108</v>
      </c>
      <c r="L23" s="168" cm="1">
        <f t="array" ref="L23">IF(E23="untrim",IFERROR(INDEX('SIZE GUIDE'!$E:$E,MATCH(1,('SIZE GUIDE'!$A:$A=$E23)*('SIZE GUIDE'!$B:$B=$F23)*('SIZE GUIDE'!$C:$C=$H23),0)),""),"")</f>
        <v>81</v>
      </c>
      <c r="M23" s="158">
        <v>42</v>
      </c>
      <c r="N23" s="65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65" t="str" cm="1">
        <f t="array" ref="O23">IF(E23="trim",IFERROR(INDEX('SIZE GUIDE'!$E:$E,MATCH(1,('SIZE GUIDE'!$A:$A=$E23)*('SIZE GUIDE'!$B:$B=$F23)*('SIZE GUIDE'!$C:$C=$H23),0)),""),"")</f>
        <v/>
      </c>
      <c r="P23" s="65"/>
      <c r="Q23" s="59">
        <f t="shared" si="1"/>
        <v>108</v>
      </c>
      <c r="R23" s="130">
        <f t="shared" si="1"/>
        <v>81</v>
      </c>
      <c r="S23" s="59">
        <f t="shared" si="2"/>
        <v>41.5</v>
      </c>
      <c r="T23" s="93">
        <f t="shared" si="0"/>
        <v>2521.125</v>
      </c>
      <c r="U23" s="94">
        <v>0.21179999999999999</v>
      </c>
      <c r="V23" s="95">
        <f t="shared" si="3"/>
        <v>533.97427499999992</v>
      </c>
      <c r="W23" s="102" t="str">
        <f>IF(COUNTIF($C$15:C23,C23)=1,C23 &amp; " - " &amp; TEXT(SUMIF($C:$C,C23,$T:$T),"0.00"),"")</f>
        <v/>
      </c>
      <c r="X23" s="103" t="str">
        <f>IF(COUNTIF($C$15:C23,C23)=1,ROUND(SUMIF($C:$C,C23,$V:$V),2), "")</f>
        <v/>
      </c>
    </row>
    <row r="24" spans="1:24" s="17" customFormat="1" ht="36" customHeight="1" x14ac:dyDescent="0.2">
      <c r="A24" s="57">
        <f t="shared" si="4"/>
        <v>10</v>
      </c>
      <c r="B24" s="57" t="str" cm="1">
        <f t="array" ref="B24">_xlfn.LET(_xlpm.r,_xlfn.XLOOKUP(1,
(TRIM(CODE_PRICE!$A$4:$A$2003)=TRIM($C$4))*
(TRIM(CODE_PRICE!$B$4:$B$2003)=TRIM(C24)),
CODE_PRICE!$C$4:$C$2003,
""),
IF(OR(_xlpm.r="",_xlpm.r=0),"",_xlpm.r))</f>
        <v/>
      </c>
      <c r="C24" s="57" t="s">
        <v>89</v>
      </c>
      <c r="D24" s="58" t="str">
        <f>_xlfn.XLOOKUP(B24,CODE_PRICE!C:C,CODE_PRICE!D:D,"")</f>
        <v/>
      </c>
      <c r="E24" s="58" t="s">
        <v>11</v>
      </c>
      <c r="F24" s="59" t="s">
        <v>213</v>
      </c>
      <c r="G24" s="60" t="str">
        <f>IF(COUNTIFS($C$15:C24,C24,$H$15:H24,H24)=1,
SUMIFS($I$15:$I$49,$C$15:$C$49,C24,$H$15:$H$49,H24)&amp;H24&amp;" "&amp;C24,
"")</f>
        <v/>
      </c>
      <c r="H24" s="58" t="s">
        <v>22</v>
      </c>
      <c r="I24" s="61">
        <v>1</v>
      </c>
      <c r="J24" s="158"/>
      <c r="K24" s="158" cm="1">
        <f t="array" ref="K24">IF(E24="untrim",_xlfn.XLOOKUP(1,(TRIM('SIZE GUIDE'!$A$3:$A$2015)=TRIM(E24))*(TRIM('SIZE GUIDE'!$B$3:$B$2015)=TRIM(F24))*(TRIM('SIZE GUIDE'!$C$3:$C$2015)=TRIM(H24)),'SIZE GUIDE'!$D$3:$D$2015),"")</f>
        <v>108</v>
      </c>
      <c r="L24" s="168" cm="1">
        <f t="array" ref="L24">IF(E24="untrim",IFERROR(INDEX('SIZE GUIDE'!$E:$E,MATCH(1,('SIZE GUIDE'!$A:$A=$E24)*('SIZE GUIDE'!$B:$B=$F24)*('SIZE GUIDE'!$C:$C=$H24),0)),""),"")</f>
        <v>81</v>
      </c>
      <c r="M24" s="158">
        <v>37</v>
      </c>
      <c r="N24" s="65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65" t="str" cm="1">
        <f t="array" ref="O24">IF(E24="trim",IFERROR(INDEX('SIZE GUIDE'!$E:$E,MATCH(1,('SIZE GUIDE'!$A:$A=$E24)*('SIZE GUIDE'!$B:$B=$F24)*('SIZE GUIDE'!$C:$C=$H24),0)),""),"")</f>
        <v/>
      </c>
      <c r="P24" s="65"/>
      <c r="Q24" s="59">
        <f t="shared" si="1"/>
        <v>108</v>
      </c>
      <c r="R24" s="130">
        <f t="shared" si="1"/>
        <v>81</v>
      </c>
      <c r="S24" s="59">
        <f t="shared" si="2"/>
        <v>36.5</v>
      </c>
      <c r="T24" s="93">
        <f t="shared" si="0"/>
        <v>2217.375</v>
      </c>
      <c r="U24" s="94">
        <v>0.21179999999999999</v>
      </c>
      <c r="V24" s="95">
        <f t="shared" si="3"/>
        <v>469.64002499999998</v>
      </c>
      <c r="W24" s="102" t="str">
        <f>IF(COUNTIF($C$15:C24,C24)=1,C24 &amp; " - " &amp; TEXT(SUMIF($C:$C,C24,$T:$T),"0.00"),"")</f>
        <v/>
      </c>
      <c r="X24" s="103" t="str">
        <f>IF(COUNTIF($C$15:C24,C24)=1,ROUND(SUMIF($C:$C,C24,$V:$V),2), "")</f>
        <v/>
      </c>
    </row>
    <row r="25" spans="1:24" s="17" customFormat="1" ht="36" hidden="1" customHeight="1" x14ac:dyDescent="0.2">
      <c r="A25" s="57"/>
      <c r="B25" s="57"/>
      <c r="C25" s="57"/>
      <c r="D25" s="58"/>
      <c r="E25" s="58"/>
      <c r="F25" s="59"/>
      <c r="G25" s="60"/>
      <c r="H25" s="58"/>
      <c r="I25" s="61"/>
      <c r="J25" s="63"/>
      <c r="K25" s="63"/>
      <c r="L25" s="64"/>
      <c r="M25" s="63"/>
      <c r="N25" s="65"/>
      <c r="O25" s="65"/>
      <c r="P25" s="65"/>
      <c r="Q25" s="66"/>
      <c r="R25" s="59"/>
      <c r="S25" s="59"/>
      <c r="T25" s="93"/>
      <c r="U25" s="94"/>
      <c r="V25" s="95"/>
      <c r="W25" s="102"/>
      <c r="X25" s="103"/>
    </row>
    <row r="26" spans="1:24" s="17" customFormat="1" ht="36" hidden="1" customHeight="1" x14ac:dyDescent="0.2">
      <c r="A26" s="57"/>
      <c r="B26" s="57"/>
      <c r="C26" s="57"/>
      <c r="D26" s="58"/>
      <c r="E26" s="58"/>
      <c r="F26" s="59"/>
      <c r="G26" s="60"/>
      <c r="H26" s="58"/>
      <c r="I26" s="61"/>
      <c r="J26" s="63"/>
      <c r="K26" s="63"/>
      <c r="L26" s="64"/>
      <c r="M26" s="63"/>
      <c r="N26" s="65"/>
      <c r="O26" s="65"/>
      <c r="P26" s="65"/>
      <c r="Q26" s="66"/>
      <c r="R26" s="59"/>
      <c r="S26" s="59"/>
      <c r="T26" s="93"/>
      <c r="U26" s="94"/>
      <c r="V26" s="95"/>
      <c r="W26" s="102"/>
      <c r="X26" s="103"/>
    </row>
    <row r="27" spans="1:24" s="17" customFormat="1" ht="36" hidden="1" customHeight="1" x14ac:dyDescent="0.2">
      <c r="A27" s="57"/>
      <c r="B27" s="57"/>
      <c r="C27" s="57"/>
      <c r="D27" s="58"/>
      <c r="E27" s="58"/>
      <c r="F27" s="59"/>
      <c r="G27" s="60"/>
      <c r="H27" s="58"/>
      <c r="I27" s="61"/>
      <c r="J27" s="63"/>
      <c r="K27" s="63"/>
      <c r="L27" s="64"/>
      <c r="M27" s="63"/>
      <c r="N27" s="65"/>
      <c r="O27" s="65"/>
      <c r="P27" s="65"/>
      <c r="Q27" s="66"/>
      <c r="R27" s="59"/>
      <c r="S27" s="59"/>
      <c r="T27" s="93"/>
      <c r="U27" s="94"/>
      <c r="V27" s="95"/>
      <c r="W27" s="102"/>
      <c r="X27" s="103"/>
    </row>
    <row r="28" spans="1:24" s="17" customFormat="1" ht="36" hidden="1" customHeight="1" x14ac:dyDescent="0.2">
      <c r="A28" s="57"/>
      <c r="B28" s="57"/>
      <c r="C28" s="57"/>
      <c r="D28" s="58"/>
      <c r="E28" s="58"/>
      <c r="F28" s="59"/>
      <c r="G28" s="60"/>
      <c r="H28" s="58"/>
      <c r="I28" s="61"/>
      <c r="J28" s="63"/>
      <c r="K28" s="63"/>
      <c r="L28" s="64"/>
      <c r="M28" s="63"/>
      <c r="N28" s="65"/>
      <c r="O28" s="65"/>
      <c r="P28" s="65"/>
      <c r="Q28" s="66"/>
      <c r="R28" s="59"/>
      <c r="S28" s="59"/>
      <c r="T28" s="93"/>
      <c r="U28" s="94"/>
      <c r="V28" s="95"/>
      <c r="W28" s="102"/>
      <c r="X28" s="103"/>
    </row>
    <row r="29" spans="1:24" s="17" customFormat="1" ht="36" hidden="1" customHeight="1" x14ac:dyDescent="0.2">
      <c r="A29" s="57"/>
      <c r="B29" s="57"/>
      <c r="C29" s="57"/>
      <c r="D29" s="58"/>
      <c r="E29" s="58"/>
      <c r="F29" s="59"/>
      <c r="G29" s="60"/>
      <c r="H29" s="58"/>
      <c r="I29" s="61"/>
      <c r="J29" s="63"/>
      <c r="K29" s="63"/>
      <c r="L29" s="64"/>
      <c r="M29" s="63"/>
      <c r="N29" s="65"/>
      <c r="O29" s="65"/>
      <c r="P29" s="65"/>
      <c r="Q29" s="66"/>
      <c r="R29" s="59"/>
      <c r="S29" s="59"/>
      <c r="T29" s="93"/>
      <c r="U29" s="99"/>
      <c r="V29" s="95"/>
      <c r="W29" s="102"/>
      <c r="X29" s="103"/>
    </row>
    <row r="30" spans="1:24" s="17" customFormat="1" ht="36" hidden="1" customHeight="1" x14ac:dyDescent="0.2">
      <c r="A30" s="57"/>
      <c r="B30" s="57"/>
      <c r="C30" s="57"/>
      <c r="D30" s="58"/>
      <c r="E30" s="58"/>
      <c r="F30" s="59"/>
      <c r="G30" s="60"/>
      <c r="H30" s="58"/>
      <c r="I30" s="61"/>
      <c r="J30" s="63"/>
      <c r="K30" s="63"/>
      <c r="L30" s="64"/>
      <c r="M30" s="63"/>
      <c r="N30" s="65"/>
      <c r="O30" s="65"/>
      <c r="P30" s="65"/>
      <c r="Q30" s="66"/>
      <c r="R30" s="59"/>
      <c r="S30" s="59"/>
      <c r="T30" s="93"/>
      <c r="U30" s="99"/>
      <c r="V30" s="95"/>
      <c r="W30" s="102"/>
      <c r="X30" s="103"/>
    </row>
    <row r="31" spans="1:24" s="17" customFormat="1" ht="36" hidden="1" customHeight="1" x14ac:dyDescent="0.2">
      <c r="A31" s="57"/>
      <c r="B31" s="57"/>
      <c r="C31" s="57"/>
      <c r="D31" s="58"/>
      <c r="E31" s="58"/>
      <c r="F31" s="59"/>
      <c r="G31" s="60"/>
      <c r="H31" s="58"/>
      <c r="I31" s="61"/>
      <c r="J31" s="63"/>
      <c r="K31" s="63"/>
      <c r="L31" s="64"/>
      <c r="M31" s="63"/>
      <c r="N31" s="65"/>
      <c r="O31" s="65"/>
      <c r="P31" s="65"/>
      <c r="Q31" s="66"/>
      <c r="R31" s="59"/>
      <c r="S31" s="59"/>
      <c r="T31" s="93"/>
      <c r="U31" s="99"/>
      <c r="V31" s="95"/>
      <c r="W31" s="102"/>
      <c r="X31" s="103"/>
    </row>
    <row r="32" spans="1:24" s="17" customFormat="1" ht="36" hidden="1" customHeight="1" x14ac:dyDescent="0.2">
      <c r="A32" s="57"/>
      <c r="B32" s="57"/>
      <c r="C32" s="57"/>
      <c r="D32" s="58"/>
      <c r="E32" s="58"/>
      <c r="F32" s="59"/>
      <c r="G32" s="60"/>
      <c r="H32" s="58"/>
      <c r="I32" s="61"/>
      <c r="J32" s="63"/>
      <c r="K32" s="63"/>
      <c r="L32" s="64"/>
      <c r="M32" s="63"/>
      <c r="N32" s="65"/>
      <c r="O32" s="65"/>
      <c r="P32" s="65"/>
      <c r="Q32" s="66"/>
      <c r="R32" s="59"/>
      <c r="S32" s="59"/>
      <c r="T32" s="93"/>
      <c r="U32" s="99"/>
      <c r="V32" s="95"/>
      <c r="W32" s="102"/>
      <c r="X32" s="103"/>
    </row>
    <row r="33" spans="1:24" s="17" customFormat="1" ht="36" hidden="1" customHeight="1" x14ac:dyDescent="0.2">
      <c r="A33" s="57"/>
      <c r="B33" s="57"/>
      <c r="C33" s="57"/>
      <c r="D33" s="58"/>
      <c r="E33" s="58"/>
      <c r="F33" s="59"/>
      <c r="G33" s="60"/>
      <c r="H33" s="58"/>
      <c r="I33" s="61"/>
      <c r="J33" s="63"/>
      <c r="K33" s="63"/>
      <c r="L33" s="64"/>
      <c r="M33" s="63"/>
      <c r="N33" s="65"/>
      <c r="O33" s="65"/>
      <c r="P33" s="65"/>
      <c r="Q33" s="66"/>
      <c r="R33" s="59"/>
      <c r="S33" s="59"/>
      <c r="T33" s="93"/>
      <c r="U33" s="99"/>
      <c r="V33" s="95"/>
      <c r="W33" s="102"/>
      <c r="X33" s="103" t="str">
        <f>IF(COUNTIF($C$15:C33,C33)=1,ROUND(SUMIF($C:$C,C33,$V:$V),2), "")</f>
        <v/>
      </c>
    </row>
    <row r="34" spans="1:24" s="17" customFormat="1" ht="36" hidden="1" customHeight="1" x14ac:dyDescent="0.2">
      <c r="A34" s="57"/>
      <c r="B34" s="57"/>
      <c r="C34" s="57"/>
      <c r="D34" s="58"/>
      <c r="E34" s="58"/>
      <c r="F34" s="59"/>
      <c r="G34" s="60"/>
      <c r="H34" s="58"/>
      <c r="I34" s="61"/>
      <c r="J34" s="63"/>
      <c r="K34" s="63"/>
      <c r="L34" s="64"/>
      <c r="M34" s="63"/>
      <c r="N34" s="65"/>
      <c r="O34" s="65"/>
      <c r="P34" s="65"/>
      <c r="Q34" s="66"/>
      <c r="R34" s="59"/>
      <c r="S34" s="59"/>
      <c r="T34" s="93"/>
      <c r="U34" s="99"/>
      <c r="V34" s="95"/>
      <c r="W34" s="102"/>
      <c r="X34" s="103" t="str">
        <f>IF(COUNTIF($C$15:C34,C34)=1,ROUND(SUMIF($C:$C,C34,$V:$V),2), "")</f>
        <v/>
      </c>
    </row>
    <row r="35" spans="1:24" s="17" customFormat="1" ht="36" hidden="1" customHeight="1" x14ac:dyDescent="0.2">
      <c r="A35" s="57"/>
      <c r="B35" s="57"/>
      <c r="C35" s="57"/>
      <c r="D35" s="58"/>
      <c r="E35" s="58"/>
      <c r="F35" s="59"/>
      <c r="G35" s="60"/>
      <c r="H35" s="58"/>
      <c r="I35" s="61"/>
      <c r="J35" s="63"/>
      <c r="K35" s="63"/>
      <c r="L35" s="64"/>
      <c r="M35" s="63"/>
      <c r="N35" s="65"/>
      <c r="O35" s="65"/>
      <c r="P35" s="65"/>
      <c r="Q35" s="66"/>
      <c r="R35" s="59"/>
      <c r="S35" s="59"/>
      <c r="T35" s="93"/>
      <c r="U35" s="99"/>
      <c r="V35" s="95"/>
      <c r="W35" s="102"/>
      <c r="X35" s="103" t="str">
        <f>IF(COUNTIF($C$15:C35,C35)=1,ROUND(SUMIF($C:$C,C35,$V:$V),2), "")</f>
        <v/>
      </c>
    </row>
    <row r="36" spans="1:24" s="17" customFormat="1" ht="36" hidden="1" customHeight="1" x14ac:dyDescent="0.2">
      <c r="A36" s="57"/>
      <c r="B36" s="57"/>
      <c r="C36" s="57"/>
      <c r="D36" s="58"/>
      <c r="E36" s="58"/>
      <c r="F36" s="59"/>
      <c r="G36" s="60"/>
      <c r="H36" s="58"/>
      <c r="I36" s="61"/>
      <c r="J36" s="63"/>
      <c r="K36" s="63"/>
      <c r="L36" s="64"/>
      <c r="M36" s="63"/>
      <c r="N36" s="65"/>
      <c r="O36" s="65"/>
      <c r="P36" s="65"/>
      <c r="Q36" s="66"/>
      <c r="R36" s="59"/>
      <c r="S36" s="59"/>
      <c r="T36" s="93"/>
      <c r="U36" s="99"/>
      <c r="V36" s="95"/>
      <c r="W36" s="102"/>
      <c r="X36" s="103" t="str">
        <f>IF(COUNTIF($C$15:C36,C36)=1,ROUND(SUMIF($C:$C,C36,$V:$V),2), "")</f>
        <v/>
      </c>
    </row>
    <row r="37" spans="1:24" s="17" customFormat="1" ht="41.25" hidden="1" customHeight="1" x14ac:dyDescent="0.2">
      <c r="A37" s="57"/>
      <c r="B37" s="57"/>
      <c r="C37" s="57"/>
      <c r="D37" s="58"/>
      <c r="E37" s="58"/>
      <c r="F37" s="59"/>
      <c r="G37" s="60"/>
      <c r="H37" s="58"/>
      <c r="I37" s="61"/>
      <c r="J37" s="63"/>
      <c r="K37" s="63"/>
      <c r="L37" s="64"/>
      <c r="M37" s="63"/>
      <c r="N37" s="65"/>
      <c r="O37" s="65"/>
      <c r="P37" s="65"/>
      <c r="Q37" s="66"/>
      <c r="R37" s="59"/>
      <c r="S37" s="59"/>
      <c r="T37" s="93"/>
      <c r="U37" s="94"/>
      <c r="V37" s="95"/>
      <c r="W37" s="18"/>
      <c r="X37" s="24" t="str">
        <f>IF(COUNTIF($C$15:C37,C37)=1,ROUND(SUMIF($C:$C,C37,$V:$V),2), "")</f>
        <v/>
      </c>
    </row>
    <row r="38" spans="1:24" s="17" customFormat="1" ht="41.25" hidden="1" customHeight="1" x14ac:dyDescent="0.2">
      <c r="A38" s="57"/>
      <c r="B38" s="57"/>
      <c r="C38" s="57"/>
      <c r="D38" s="58"/>
      <c r="E38" s="58"/>
      <c r="F38" s="59"/>
      <c r="G38" s="60"/>
      <c r="H38" s="58"/>
      <c r="I38" s="61"/>
      <c r="J38" s="63"/>
      <c r="K38" s="63"/>
      <c r="L38" s="64"/>
      <c r="M38" s="63"/>
      <c r="N38" s="65"/>
      <c r="O38" s="65"/>
      <c r="P38" s="65"/>
      <c r="Q38" s="66"/>
      <c r="R38" s="59"/>
      <c r="S38" s="59"/>
      <c r="T38" s="93"/>
      <c r="U38" s="94"/>
      <c r="V38" s="95"/>
      <c r="W38" s="18"/>
      <c r="X38" s="24" t="str">
        <f>IF(COUNTIF($C$15:C38,C38)=1,ROUND(SUMIF($C:$C,C38,$V:$V),2), "")</f>
        <v/>
      </c>
    </row>
    <row r="39" spans="1:24" s="17" customFormat="1" ht="41.25" hidden="1" customHeight="1" x14ac:dyDescent="0.2">
      <c r="A39" s="57"/>
      <c r="B39" s="57"/>
      <c r="C39" s="57"/>
      <c r="D39" s="58"/>
      <c r="E39" s="58"/>
      <c r="F39" s="59"/>
      <c r="G39" s="60"/>
      <c r="H39" s="58"/>
      <c r="I39" s="61"/>
      <c r="J39" s="63"/>
      <c r="K39" s="63"/>
      <c r="L39" s="64"/>
      <c r="M39" s="63"/>
      <c r="N39" s="65"/>
      <c r="O39" s="65"/>
      <c r="P39" s="65"/>
      <c r="Q39" s="66"/>
      <c r="R39" s="59"/>
      <c r="S39" s="59"/>
      <c r="T39" s="93"/>
      <c r="U39" s="94"/>
      <c r="V39" s="95"/>
      <c r="W39" s="18"/>
      <c r="X39" s="24" t="str">
        <f>IF(COUNTIF($C$15:C39,C39)=1,ROUND(SUMIF($C:$C,C39,$V:$V),2), "")</f>
        <v/>
      </c>
    </row>
    <row r="40" spans="1:24" s="17" customFormat="1" ht="41.25" hidden="1" customHeight="1" x14ac:dyDescent="0.2">
      <c r="A40" s="57"/>
      <c r="B40" s="57"/>
      <c r="C40" s="57"/>
      <c r="D40" s="58"/>
      <c r="E40" s="58"/>
      <c r="F40" s="59"/>
      <c r="G40" s="60"/>
      <c r="H40" s="58"/>
      <c r="I40" s="61"/>
      <c r="J40" s="63"/>
      <c r="K40" s="63"/>
      <c r="L40" s="64"/>
      <c r="M40" s="63"/>
      <c r="N40" s="65"/>
      <c r="O40" s="65"/>
      <c r="P40" s="65"/>
      <c r="Q40" s="66"/>
      <c r="R40" s="59"/>
      <c r="S40" s="59"/>
      <c r="T40" s="93"/>
      <c r="U40" s="94"/>
      <c r="V40" s="95"/>
      <c r="W40" s="18"/>
      <c r="X40" s="24" t="str">
        <f>IF(COUNTIF($C$15:C40,C40)=1,ROUND(SUMIF($C:$C,C40,$V:$V),2), "")</f>
        <v/>
      </c>
    </row>
    <row r="41" spans="1:24" s="17" customFormat="1" ht="41.25" hidden="1" customHeight="1" x14ac:dyDescent="0.2">
      <c r="A41" s="57"/>
      <c r="B41" s="57"/>
      <c r="C41" s="57"/>
      <c r="D41" s="58"/>
      <c r="E41" s="58"/>
      <c r="F41" s="59"/>
      <c r="G41" s="60"/>
      <c r="H41" s="58"/>
      <c r="I41" s="61"/>
      <c r="J41" s="63"/>
      <c r="K41" s="63"/>
      <c r="L41" s="64"/>
      <c r="M41" s="63"/>
      <c r="N41" s="65" t="str" cm="1">
        <f t="array" ref="N41">IF(E41="trim",_xlfn.XLOOKUP(1,(TRIM('SIZE GUIDE'!$A$3:$A$2015)=TRIM(E41))*(TRIM('SIZE GUIDE'!$B$3:$B$2015)=TRIM(F41))*(TRIM('SIZE GUIDE'!$C$3:$C$2015)=TRIM(H41)),'SIZE GUIDE'!$D$3:$D$2015),"")</f>
        <v/>
      </c>
      <c r="O41" s="65" t="str" cm="1">
        <f t="array" ref="O41">IF(E41="trim",IFERROR(INDEX('SIZE GUIDE'!$E:$E,MATCH(1,('SIZE GUIDE'!$A:$A=$E41)*('SIZE GUIDE'!$B:$B=$F41)*('SIZE GUIDE'!$C:$C=$H41),0)),""),"")</f>
        <v/>
      </c>
      <c r="P41" s="65"/>
      <c r="Q41" s="66" t="str">
        <f>IF(E41="untrim",K41-1,N41)</f>
        <v/>
      </c>
      <c r="R41" s="59" t="str">
        <f>IF(E41="untrim",L41-1,O41)</f>
        <v/>
      </c>
      <c r="S41" s="59"/>
      <c r="T41" s="93" t="str">
        <f t="shared" ref="T41:T49" si="5">IFERROR(Q41*R41*S41/144*I41,"")</f>
        <v/>
      </c>
      <c r="U41" s="94"/>
      <c r="V41" s="95"/>
      <c r="W41" s="18"/>
      <c r="X41" s="24" t="str">
        <f>IF(COUNTIF($C$15:C41,C41)=1,ROUND(SUMIF($C:$C,C41,$V:$V),2), "")</f>
        <v/>
      </c>
    </row>
    <row r="42" spans="1:24" s="17" customFormat="1" ht="41.25" hidden="1" customHeight="1" x14ac:dyDescent="0.2">
      <c r="A42" s="57"/>
      <c r="B42" s="57"/>
      <c r="C42" s="57"/>
      <c r="D42" s="58"/>
      <c r="E42" s="58"/>
      <c r="F42" s="59"/>
      <c r="G42" s="60"/>
      <c r="H42" s="58"/>
      <c r="I42" s="61"/>
      <c r="J42" s="63"/>
      <c r="K42" s="63" t="str" cm="1">
        <f t="array" ref="K42">IF(E42="untrim",_xlfn.XLOOKUP(1,(TRIM('SIZE GUIDE'!$A$3:$A$2015)=TRIM(E42))*(TRIM('SIZE GUIDE'!$B$3:$B$2015)=TRIM(F42))*(TRIM('SIZE GUIDE'!$C$3:$C$2015)=TRIM(H42)),'SIZE GUIDE'!$D$3:$D$2015),"")</f>
        <v/>
      </c>
      <c r="L42" s="64"/>
      <c r="M42" s="63"/>
      <c r="N42" s="65" t="str" cm="1">
        <f t="array" ref="N42">IF(E42="trim",_xlfn.XLOOKUP(1,(TRIM('SIZE GUIDE'!$A$3:$A$2015)=TRIM(E42))*(TRIM('SIZE GUIDE'!$B$3:$B$2015)=TRIM(F42))*(TRIM('SIZE GUIDE'!$C$3:$C$2015)=TRIM(H42)),'SIZE GUIDE'!$D$3:$D$2015),"")</f>
        <v/>
      </c>
      <c r="O42" s="65" t="str" cm="1">
        <f t="array" ref="O42">IF(E42="trim",IFERROR(INDEX('SIZE GUIDE'!$E:$E,MATCH(1,('SIZE GUIDE'!$A:$A=$E42)*('SIZE GUIDE'!$B:$B=$F42)*('SIZE GUIDE'!$C:$C=$H42),0)),""),"")</f>
        <v/>
      </c>
      <c r="P42" s="65"/>
      <c r="Q42" s="66" t="str">
        <f t="shared" ref="Q42:Q49" si="6">IF(E42="untrim",K42-1.5,N42)</f>
        <v/>
      </c>
      <c r="R42" s="59"/>
      <c r="S42" s="59"/>
      <c r="T42" s="93" t="str">
        <f t="shared" si="5"/>
        <v/>
      </c>
      <c r="U42" s="94"/>
      <c r="V42" s="95"/>
      <c r="W42" s="18"/>
      <c r="X42" s="24" t="str">
        <f>IF(COUNTIF($C$15:C42,C42)=1,ROUND(SUMIF($C:$C,C42,$V:$V),2), "")</f>
        <v/>
      </c>
    </row>
    <row r="43" spans="1:24" s="17" customFormat="1" ht="41.25" hidden="1" customHeight="1" x14ac:dyDescent="0.2">
      <c r="A43" s="57"/>
      <c r="B43" s="57"/>
      <c r="C43" s="57"/>
      <c r="D43" s="58"/>
      <c r="E43" s="58"/>
      <c r="F43" s="59"/>
      <c r="G43" s="60"/>
      <c r="H43" s="58"/>
      <c r="I43" s="61"/>
      <c r="J43" s="63"/>
      <c r="K43" s="63" t="str" cm="1">
        <f t="array" ref="K43">IF(E43="untrim",_xlfn.XLOOKUP(1,(TRIM('SIZE GUIDE'!$A$3:$A$2015)=TRIM(E43))*(TRIM('SIZE GUIDE'!$B$3:$B$2015)=TRIM(F43))*(TRIM('SIZE GUIDE'!$C$3:$C$2015)=TRIM(H43)),'SIZE GUIDE'!$D$3:$D$2015),"")</f>
        <v/>
      </c>
      <c r="L43" s="64"/>
      <c r="M43" s="63"/>
      <c r="N43" s="65" t="str" cm="1">
        <f t="array" ref="N43">IF(E43="trim",_xlfn.XLOOKUP(1,(TRIM('SIZE GUIDE'!$A$3:$A$2015)=TRIM(E43))*(TRIM('SIZE GUIDE'!$B$3:$B$2015)=TRIM(F43))*(TRIM('SIZE GUIDE'!$C$3:$C$2015)=TRIM(H43)),'SIZE GUIDE'!$D$3:$D$2015),"")</f>
        <v/>
      </c>
      <c r="O43" s="65" t="str" cm="1">
        <f t="array" ref="O43">IF(E43="trim",IFERROR(INDEX('SIZE GUIDE'!$E:$E,MATCH(1,('SIZE GUIDE'!$A:$A=$E43)*('SIZE GUIDE'!$B:$B=$F43)*('SIZE GUIDE'!$C:$C=$H43),0)),""),"")</f>
        <v/>
      </c>
      <c r="P43" s="65"/>
      <c r="Q43" s="66" t="str">
        <f t="shared" si="6"/>
        <v/>
      </c>
      <c r="R43" s="59"/>
      <c r="S43" s="59"/>
      <c r="T43" s="93" t="str">
        <f t="shared" si="5"/>
        <v/>
      </c>
      <c r="U43" s="94"/>
      <c r="V43" s="95"/>
      <c r="W43" s="18"/>
      <c r="X43" s="24" t="str">
        <f>IF(COUNTIF($C$15:C43,C43)=1,ROUND(SUMIF($C:$C,C43,$V:$V),2), "")</f>
        <v/>
      </c>
    </row>
    <row r="44" spans="1:24" s="17" customFormat="1" ht="41.25" hidden="1" customHeight="1" x14ac:dyDescent="0.2">
      <c r="A44" s="57"/>
      <c r="B44" s="57"/>
      <c r="C44" s="57"/>
      <c r="D44" s="58"/>
      <c r="E44" s="58"/>
      <c r="F44" s="59"/>
      <c r="G44" s="60"/>
      <c r="H44" s="58"/>
      <c r="I44" s="61"/>
      <c r="J44" s="63"/>
      <c r="K44" s="63" t="str" cm="1">
        <f t="array" ref="K44">IF(E44="untrim",_xlfn.XLOOKUP(1,(TRIM('SIZE GUIDE'!$A$3:$A$2015)=TRIM(E44))*(TRIM('SIZE GUIDE'!$B$3:$B$2015)=TRIM(F44))*(TRIM('SIZE GUIDE'!$C$3:$C$2015)=TRIM(H44)),'SIZE GUIDE'!$D$3:$D$2015),"")</f>
        <v/>
      </c>
      <c r="L44" s="64"/>
      <c r="M44" s="63"/>
      <c r="N44" s="65" t="str" cm="1">
        <f t="array" ref="N44">IF(E44="trim",_xlfn.XLOOKUP(1,(TRIM('SIZE GUIDE'!$A$3:$A$2015)=TRIM(E44))*(TRIM('SIZE GUIDE'!$B$3:$B$2015)=TRIM(F44))*(TRIM('SIZE GUIDE'!$C$3:$C$2015)=TRIM(H44)),'SIZE GUIDE'!$D$3:$D$2015),"")</f>
        <v/>
      </c>
      <c r="O44" s="65" t="str" cm="1">
        <f t="array" ref="O44">IF(E44="trim",IFERROR(INDEX('SIZE GUIDE'!$E:$E,MATCH(1,('SIZE GUIDE'!$A:$A=$E44)*('SIZE GUIDE'!$B:$B=$F44)*('SIZE GUIDE'!$C:$C=$H44),0)),""),"")</f>
        <v/>
      </c>
      <c r="P44" s="65"/>
      <c r="Q44" s="66" t="str">
        <f t="shared" si="6"/>
        <v/>
      </c>
      <c r="R44" s="59"/>
      <c r="S44" s="59"/>
      <c r="T44" s="93" t="str">
        <f t="shared" si="5"/>
        <v/>
      </c>
      <c r="U44" s="94"/>
      <c r="V44" s="95"/>
      <c r="W44" s="18"/>
      <c r="X44" s="24" t="str">
        <f>IF(COUNTIF($C$15:C44,C44)=1,ROUND(SUMIF($C:$C,C44,$V:$V),2), "")</f>
        <v/>
      </c>
    </row>
    <row r="45" spans="1:24" s="17" customFormat="1" ht="41.25" hidden="1" customHeight="1" x14ac:dyDescent="0.2">
      <c r="A45" s="57"/>
      <c r="B45" s="57"/>
      <c r="C45" s="57"/>
      <c r="D45" s="58"/>
      <c r="E45" s="58"/>
      <c r="F45" s="59"/>
      <c r="G45" s="60"/>
      <c r="H45" s="58"/>
      <c r="I45" s="61"/>
      <c r="J45" s="63"/>
      <c r="K45" s="63" t="str" cm="1">
        <f t="array" ref="K45">IF(E45="untrim",_xlfn.XLOOKUP(1,(TRIM('SIZE GUIDE'!$A$3:$A$2015)=TRIM(E45))*(TRIM('SIZE GUIDE'!$B$3:$B$2015)=TRIM(F45))*(TRIM('SIZE GUIDE'!$C$3:$C$2015)=TRIM(H45)),'SIZE GUIDE'!$D$3:$D$2015),"")</f>
        <v/>
      </c>
      <c r="L45" s="64"/>
      <c r="M45" s="63"/>
      <c r="N45" s="65" t="str" cm="1">
        <f t="array" ref="N45">IF(E45="trim",_xlfn.XLOOKUP(1,(TRIM('SIZE GUIDE'!$A$3:$A$2015)=TRIM(E45))*(TRIM('SIZE GUIDE'!$B$3:$B$2015)=TRIM(F45))*(TRIM('SIZE GUIDE'!$C$3:$C$2015)=TRIM(H45)),'SIZE GUIDE'!$D$3:$D$2015),"")</f>
        <v/>
      </c>
      <c r="O45" s="65" t="str" cm="1">
        <f t="array" ref="O45">IF(E45="trim",IFERROR(INDEX('SIZE GUIDE'!$E:$E,MATCH(1,('SIZE GUIDE'!$A:$A=$E45)*('SIZE GUIDE'!$B:$B=$F45)*('SIZE GUIDE'!$C:$C=$H45),0)),""),"")</f>
        <v/>
      </c>
      <c r="P45" s="65"/>
      <c r="Q45" s="66" t="str">
        <f t="shared" si="6"/>
        <v/>
      </c>
      <c r="R45" s="59"/>
      <c r="S45" s="59"/>
      <c r="T45" s="93" t="str">
        <f t="shared" si="5"/>
        <v/>
      </c>
      <c r="U45" s="94"/>
      <c r="V45" s="95"/>
      <c r="W45" s="18"/>
      <c r="X45" s="24" t="str">
        <f>IF(COUNTIF($C$15:C45,C45)=1,ROUND(SUMIF($C:$C,C45,$V:$V),2), "")</f>
        <v/>
      </c>
    </row>
    <row r="46" spans="1:24" s="17" customFormat="1" ht="41.25" hidden="1" customHeight="1" x14ac:dyDescent="0.2">
      <c r="A46" s="57"/>
      <c r="B46" s="57"/>
      <c r="C46" s="57"/>
      <c r="D46" s="58"/>
      <c r="E46" s="58"/>
      <c r="F46" s="59"/>
      <c r="G46" s="60"/>
      <c r="H46" s="58"/>
      <c r="I46" s="61"/>
      <c r="J46" s="63"/>
      <c r="K46" s="63" t="str" cm="1">
        <f t="array" ref="K46">IF(E46="untrim",_xlfn.XLOOKUP(1,(TRIM('SIZE GUIDE'!$A$3:$A$2015)=TRIM(E46))*(TRIM('SIZE GUIDE'!$B$3:$B$2015)=TRIM(F46))*(TRIM('SIZE GUIDE'!$C$3:$C$2015)=TRIM(H46)),'SIZE GUIDE'!$D$3:$D$2015),"")</f>
        <v/>
      </c>
      <c r="L46" s="64"/>
      <c r="M46" s="63"/>
      <c r="N46" s="65" t="str" cm="1">
        <f t="array" ref="N46">IF(E46="trim",_xlfn.XLOOKUP(1,(TRIM('SIZE GUIDE'!$A$3:$A$2015)=TRIM(E46))*(TRIM('SIZE GUIDE'!$B$3:$B$2015)=TRIM(F46))*(TRIM('SIZE GUIDE'!$C$3:$C$2015)=TRIM(H46)),'SIZE GUIDE'!$D$3:$D$2015),"")</f>
        <v/>
      </c>
      <c r="O46" s="65" t="str" cm="1">
        <f t="array" ref="O46">IF(E46="trim",IFERROR(INDEX('SIZE GUIDE'!$E:$E,MATCH(1,('SIZE GUIDE'!$A:$A=$E46)*('SIZE GUIDE'!$B:$B=$F46)*('SIZE GUIDE'!$C:$C=$H46),0)),""),"")</f>
        <v/>
      </c>
      <c r="P46" s="65"/>
      <c r="Q46" s="66" t="str">
        <f t="shared" si="6"/>
        <v/>
      </c>
      <c r="R46" s="59"/>
      <c r="S46" s="59"/>
      <c r="T46" s="93" t="str">
        <f t="shared" si="5"/>
        <v/>
      </c>
      <c r="U46" s="94"/>
      <c r="V46" s="95"/>
      <c r="W46" s="18"/>
      <c r="X46" s="24" t="str">
        <f>IF(COUNTIF($C$15:C46,C46)=1,ROUND(SUMIF($C:$C,C46,$V:$V),2), "")</f>
        <v/>
      </c>
    </row>
    <row r="47" spans="1:24" s="17" customFormat="1" ht="41.25" hidden="1" customHeight="1" x14ac:dyDescent="0.2">
      <c r="A47" s="57"/>
      <c r="B47" s="57"/>
      <c r="C47" s="57"/>
      <c r="D47" s="58"/>
      <c r="E47" s="58"/>
      <c r="F47" s="59"/>
      <c r="G47" s="60"/>
      <c r="H47" s="58"/>
      <c r="I47" s="61"/>
      <c r="J47" s="63"/>
      <c r="K47" s="63" t="str" cm="1">
        <f t="array" ref="K47">IF(E47="untrim",_xlfn.XLOOKUP(1,(TRIM('SIZE GUIDE'!$A$3:$A$2015)=TRIM(E47))*(TRIM('SIZE GUIDE'!$B$3:$B$2015)=TRIM(F47))*(TRIM('SIZE GUIDE'!$C$3:$C$2015)=TRIM(H47)),'SIZE GUIDE'!$D$3:$D$2015),"")</f>
        <v/>
      </c>
      <c r="L47" s="64"/>
      <c r="M47" s="63"/>
      <c r="N47" s="65" t="str" cm="1">
        <f t="array" ref="N47">IF(E47="trim",_xlfn.XLOOKUP(1,(TRIM('SIZE GUIDE'!$A$3:$A$2015)=TRIM(E47))*(TRIM('SIZE GUIDE'!$B$3:$B$2015)=TRIM(F47))*(TRIM('SIZE GUIDE'!$C$3:$C$2015)=TRIM(H47)),'SIZE GUIDE'!$D$3:$D$2015),"")</f>
        <v/>
      </c>
      <c r="O47" s="65" t="str" cm="1">
        <f t="array" ref="O47">IF(E47="trim",IFERROR(INDEX('SIZE GUIDE'!$E:$E,MATCH(1,('SIZE GUIDE'!$A:$A=$E47)*('SIZE GUIDE'!$B:$B=$F47)*('SIZE GUIDE'!$C:$C=$H47),0)),""),"")</f>
        <v/>
      </c>
      <c r="P47" s="65"/>
      <c r="Q47" s="66" t="str">
        <f t="shared" si="6"/>
        <v/>
      </c>
      <c r="R47" s="59"/>
      <c r="S47" s="59"/>
      <c r="T47" s="93" t="str">
        <f t="shared" si="5"/>
        <v/>
      </c>
      <c r="U47" s="94"/>
      <c r="V47" s="95"/>
      <c r="W47" s="18"/>
      <c r="X47" s="24" t="str">
        <f>IF(COUNTIF($C$15:C47,C47)=1,ROUND(SUMIF($C:$C,C47,$V:$V),2), "")</f>
        <v/>
      </c>
    </row>
    <row r="48" spans="1:24" s="17" customFormat="1" ht="41.25" hidden="1" customHeight="1" x14ac:dyDescent="0.2">
      <c r="A48" s="57"/>
      <c r="B48" s="57"/>
      <c r="C48" s="57"/>
      <c r="D48" s="58"/>
      <c r="E48" s="58"/>
      <c r="F48" s="59"/>
      <c r="G48" s="60"/>
      <c r="H48" s="58"/>
      <c r="I48" s="61"/>
      <c r="J48" s="63"/>
      <c r="K48" s="63" t="str" cm="1">
        <f t="array" ref="K48">IF(E48="untrim",_xlfn.XLOOKUP(1,(TRIM('SIZE GUIDE'!$A$3:$A$2015)=TRIM(E48))*(TRIM('SIZE GUIDE'!$B$3:$B$2015)=TRIM(F48))*(TRIM('SIZE GUIDE'!$C$3:$C$2015)=TRIM(H48)),'SIZE GUIDE'!$D$3:$D$2015),"")</f>
        <v/>
      </c>
      <c r="L48" s="64"/>
      <c r="M48" s="63"/>
      <c r="N48" s="65" t="str" cm="1">
        <f t="array" ref="N48">IF(E48="trim",_xlfn.XLOOKUP(1,(TRIM('SIZE GUIDE'!$A$3:$A$2015)=TRIM(E48))*(TRIM('SIZE GUIDE'!$B$3:$B$2015)=TRIM(F48))*(TRIM('SIZE GUIDE'!$C$3:$C$2015)=TRIM(H48)),'SIZE GUIDE'!$D$3:$D$2015),"")</f>
        <v/>
      </c>
      <c r="O48" s="65" t="str" cm="1">
        <f t="array" ref="O48">IF(E48="trim",IFERROR(INDEX('SIZE GUIDE'!$E:$E,MATCH(1,('SIZE GUIDE'!$A:$A=$E48)*('SIZE GUIDE'!$B:$B=$F48)*('SIZE GUIDE'!$C:$C=$H48),0)),""),"")</f>
        <v/>
      </c>
      <c r="P48" s="65"/>
      <c r="Q48" s="66" t="str">
        <f t="shared" si="6"/>
        <v/>
      </c>
      <c r="R48" s="59"/>
      <c r="S48" s="59"/>
      <c r="T48" s="93" t="str">
        <f t="shared" si="5"/>
        <v/>
      </c>
      <c r="U48" s="94"/>
      <c r="V48" s="95"/>
      <c r="W48" s="18"/>
      <c r="X48" s="24" t="str">
        <f>IF(COUNTIF($C$15:C48,C48)=1,ROUND(SUMIF($C:$C,C48,$V:$V),2), "")</f>
        <v/>
      </c>
    </row>
    <row r="49" spans="1:25" s="17" customFormat="1" ht="41.25" hidden="1" customHeight="1" x14ac:dyDescent="0.2">
      <c r="A49" s="57"/>
      <c r="B49" s="57"/>
      <c r="C49" s="57"/>
      <c r="D49" s="58"/>
      <c r="E49" s="58"/>
      <c r="F49" s="59"/>
      <c r="G49" s="60"/>
      <c r="H49" s="58"/>
      <c r="I49" s="61"/>
      <c r="J49" s="63"/>
      <c r="K49" s="63" t="str" cm="1">
        <f t="array" ref="K49">IF(E49="untrim",_xlfn.XLOOKUP(1,(TRIM('SIZE GUIDE'!$A$3:$A$2015)=TRIM(E49))*(TRIM('SIZE GUIDE'!$B$3:$B$2015)=TRIM(F49))*(TRIM('SIZE GUIDE'!$C$3:$C$2015)=TRIM(H49)),'SIZE GUIDE'!$D$3:$D$2015),"")</f>
        <v/>
      </c>
      <c r="L49" s="64"/>
      <c r="M49" s="63"/>
      <c r="N49" s="65" t="str" cm="1">
        <f t="array" ref="N49">IF(E49="trim",_xlfn.XLOOKUP(1,(TRIM('SIZE GUIDE'!$A$3:$A$2015)=TRIM(E49))*(TRIM('SIZE GUIDE'!$B$3:$B$2015)=TRIM(F49))*(TRIM('SIZE GUIDE'!$C$3:$C$2015)=TRIM(H49)),'SIZE GUIDE'!$D$3:$D$2015),"")</f>
        <v/>
      </c>
      <c r="O49" s="65" t="str" cm="1">
        <f t="array" ref="O49">IF(E49="trim",IFERROR(INDEX('SIZE GUIDE'!$E:$E,MATCH(1,('SIZE GUIDE'!$A:$A=$E49)*('SIZE GUIDE'!$B:$B=$F49)*('SIZE GUIDE'!$C:$C=$H49),0)),""),"")</f>
        <v/>
      </c>
      <c r="P49" s="65"/>
      <c r="Q49" s="66" t="str">
        <f t="shared" si="6"/>
        <v/>
      </c>
      <c r="R49" s="59"/>
      <c r="S49" s="59"/>
      <c r="T49" s="93" t="str">
        <f t="shared" si="5"/>
        <v/>
      </c>
      <c r="U49" s="94"/>
      <c r="V49" s="95"/>
      <c r="W49" s="18"/>
      <c r="X49" s="24" t="str">
        <f>IF(COUNTIF($C$15:C49,C49)=1,ROUND(SUMIF($C:$C,C49,$V:$V),2), "")</f>
        <v/>
      </c>
    </row>
    <row r="50" spans="1:25" s="17" customFormat="1" ht="41.25" customHeight="1" thickBot="1" x14ac:dyDescent="0.25">
      <c r="A50" s="53"/>
      <c r="B50" s="53"/>
      <c r="C50" s="53"/>
      <c r="D50" s="53"/>
      <c r="E50" s="67"/>
      <c r="F50" s="68"/>
      <c r="G50" s="68"/>
      <c r="H50" s="69" t="s">
        <v>155</v>
      </c>
      <c r="I50" s="70">
        <f>SUM(I15:I49)</f>
        <v>10</v>
      </c>
      <c r="J50" s="55"/>
      <c r="K50" s="55"/>
      <c r="L50" s="55"/>
      <c r="M50" s="55"/>
      <c r="N50" s="56"/>
      <c r="O50" s="56"/>
      <c r="P50" s="122"/>
      <c r="Q50" s="67"/>
      <c r="R50" s="67"/>
      <c r="S50" s="67"/>
      <c r="T50" s="96">
        <f>SUM(T15:T49)</f>
        <v>24482.25</v>
      </c>
      <c r="U50" s="97"/>
      <c r="V50" s="92">
        <f>SUM(V15:V49)</f>
        <v>5185.340549999999</v>
      </c>
      <c r="W50" s="109">
        <f>T50</f>
        <v>24482.25</v>
      </c>
      <c r="X50" s="104">
        <f>SUM(X15:X49)</f>
        <v>5185.34</v>
      </c>
    </row>
    <row r="51" spans="1:25" s="17" customFormat="1" ht="41.25" customHeight="1" x14ac:dyDescent="0.2">
      <c r="A51" s="57"/>
      <c r="B51" s="71"/>
      <c r="C51" s="71"/>
      <c r="D51" s="72"/>
      <c r="E51" s="72"/>
      <c r="F51" s="73"/>
      <c r="G51" s="74"/>
      <c r="H51" s="75" t="s">
        <v>156</v>
      </c>
      <c r="I51" s="76"/>
      <c r="J51" s="77"/>
      <c r="K51" s="78"/>
      <c r="L51" s="79"/>
      <c r="M51" s="78"/>
      <c r="N51" s="78"/>
      <c r="O51" s="78"/>
      <c r="P51" s="78"/>
      <c r="Q51" s="80"/>
      <c r="R51" s="80"/>
      <c r="S51" s="80"/>
      <c r="T51" s="81"/>
      <c r="U51" s="82"/>
      <c r="V51" s="83"/>
      <c r="W51" s="19"/>
      <c r="X51" s="25"/>
    </row>
    <row r="52" spans="1:25" s="17" customFormat="1" ht="41.25" customHeight="1" thickBot="1" x14ac:dyDescent="0.25">
      <c r="A52" s="53"/>
      <c r="B52" s="53"/>
      <c r="C52" s="68"/>
      <c r="D52" s="67"/>
      <c r="E52" s="67"/>
      <c r="F52" s="67"/>
      <c r="G52" s="67"/>
      <c r="H52" s="69" t="s">
        <v>162</v>
      </c>
      <c r="I52" s="70">
        <f>I50</f>
        <v>10</v>
      </c>
      <c r="J52" s="55"/>
      <c r="K52" s="55"/>
      <c r="L52" s="55"/>
      <c r="M52" s="55"/>
      <c r="N52" s="56"/>
      <c r="O52" s="56"/>
      <c r="P52" s="122"/>
      <c r="Q52" s="67"/>
      <c r="R52" s="67"/>
      <c r="S52" s="67"/>
      <c r="T52" s="96">
        <f>T50</f>
        <v>24482.25</v>
      </c>
      <c r="U52" s="97"/>
      <c r="V52" s="92">
        <f>+V50+V51</f>
        <v>5185.340549999999</v>
      </c>
      <c r="W52" s="109">
        <f>W50</f>
        <v>24482.25</v>
      </c>
      <c r="X52" s="104">
        <f>X50</f>
        <v>5185.34</v>
      </c>
    </row>
    <row r="53" spans="1:25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8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5" ht="15" customHeight="1" x14ac:dyDescent="0.25">
      <c r="A54" s="48" t="s">
        <v>153</v>
      </c>
      <c r="B54" s="48"/>
      <c r="C54" s="48"/>
      <c r="D54" s="48"/>
      <c r="E54" s="48"/>
      <c r="F54" s="84"/>
      <c r="G54" s="48"/>
      <c r="H54" s="85"/>
      <c r="I54" s="85"/>
      <c r="J54" s="8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5" ht="15" customHeight="1" x14ac:dyDescent="0.25">
      <c r="A55" s="48"/>
      <c r="B55" s="48"/>
      <c r="C55" s="48"/>
      <c r="D55" s="48"/>
      <c r="E55" s="48"/>
      <c r="F55" s="84"/>
      <c r="G55" s="48"/>
      <c r="H55" s="85"/>
      <c r="I55" s="85"/>
      <c r="J55" s="8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5" ht="15" customHeight="1" x14ac:dyDescent="0.25">
      <c r="A56" s="48" t="s">
        <v>154</v>
      </c>
      <c r="B56" s="48"/>
      <c r="C56" s="48"/>
      <c r="D56" s="48"/>
      <c r="E56" s="48"/>
      <c r="F56" s="84"/>
      <c r="G56" s="48"/>
      <c r="H56" s="85"/>
      <c r="I56" s="85"/>
      <c r="J56" s="8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89"/>
    </row>
    <row r="57" spans="1:25" ht="15" customHeight="1" x14ac:dyDescent="0.25">
      <c r="A57" s="48"/>
      <c r="B57" s="48"/>
      <c r="C57" s="48"/>
      <c r="D57" s="48"/>
      <c r="E57" s="48"/>
      <c r="F57" s="84"/>
      <c r="G57" s="48"/>
      <c r="H57" s="85"/>
      <c r="I57" s="85"/>
      <c r="J57" s="8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89"/>
    </row>
    <row r="58" spans="1:25" ht="15" customHeight="1" x14ac:dyDescent="0.25">
      <c r="A58" s="48"/>
      <c r="B58" s="48"/>
      <c r="C58" s="48"/>
      <c r="D58" s="48"/>
      <c r="E58" s="48"/>
      <c r="F58" s="84"/>
      <c r="G58" s="48"/>
      <c r="H58" s="85"/>
      <c r="I58" s="85"/>
      <c r="J58" s="8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89"/>
    </row>
    <row r="59" spans="1:25" ht="15" customHeight="1" x14ac:dyDescent="0.25">
      <c r="A59" s="86"/>
      <c r="B59" s="318"/>
      <c r="C59" s="318"/>
      <c r="D59" s="318"/>
      <c r="E59" s="318"/>
      <c r="F59" s="318"/>
      <c r="G59" s="318"/>
      <c r="H59" s="318"/>
      <c r="I59" s="318"/>
      <c r="J59" s="318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89"/>
    </row>
    <row r="60" spans="1:25" ht="15" customHeight="1" x14ac:dyDescent="0.25">
      <c r="A60" s="86"/>
      <c r="B60" s="319"/>
      <c r="C60" s="319"/>
      <c r="D60" s="319"/>
      <c r="E60" s="319"/>
      <c r="F60" s="319"/>
      <c r="G60" s="319"/>
      <c r="H60" s="319"/>
      <c r="I60" s="319"/>
      <c r="J60" s="319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89"/>
      <c r="X60" s="16"/>
      <c r="Y60" s="23"/>
    </row>
  </sheetData>
  <mergeCells count="5">
    <mergeCell ref="A7:E7"/>
    <mergeCell ref="F7:G7"/>
    <mergeCell ref="R9:S9"/>
    <mergeCell ref="B59:J59"/>
    <mergeCell ref="B60:J60"/>
  </mergeCells>
  <pageMargins left="0" right="0" top="1" bottom="0" header="0.511811023622047" footer="0.511811023622047"/>
  <pageSetup paperSize="9" scale="53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2CB853B1-D940-4D1D-9F34-85028C82950A}">
          <x14:formula1>
            <xm:f>LISTS!$B$2:$B$8</xm:f>
          </x14:formula1>
          <x14:formula2>
            <xm:f>0</xm:f>
          </x14:formula2>
          <xm:sqref>H15:H52</xm:sqref>
        </x14:dataValidation>
        <x14:dataValidation type="list" allowBlank="1" xr:uid="{C7D8B806-5F71-4B68-B243-209F16C3E71A}">
          <x14:formula1>
            <xm:f>'SIZE GUIDE'!$A$3:$A$38</xm:f>
          </x14:formula1>
          <xm:sqref>E15:E52</xm:sqref>
        </x14:dataValidation>
        <x14:dataValidation type="list" errorStyle="information" allowBlank="1" showInputMessage="1" xr:uid="{FEF59F1B-8F63-4C49-8178-86336BDD226A}">
          <x14:formula1>
            <xm:f>CODE_MASTER_AS!$A$3:$A$14</xm:f>
          </x14:formula1>
          <xm:sqref>F50:G50 C51:C52 C15:C49</xm:sqref>
        </x14:dataValidation>
        <x14:dataValidation type="list" allowBlank="1" showInputMessage="1" showErrorMessage="1" xr:uid="{54CEA8F0-E24D-44FF-90E6-2EED9304525B}">
          <x14:formula1>
            <xm:f>'SIZE GUIDE'!$B:$B</xm:f>
          </x14:formula1>
          <xm:sqref>G50 F15:F52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3FE49-886D-4399-99D4-AE94F0FA50F7}">
  <sheetPr codeName="Sheet6">
    <pageSetUpPr fitToPage="1"/>
  </sheetPr>
  <dimension ref="A1:AC60"/>
  <sheetViews>
    <sheetView showGridLines="0" view="pageBreakPreview" topLeftCell="A6" zoomScale="89" zoomScaleNormal="68" zoomScaleSheetLayoutView="89" workbookViewId="0">
      <selection activeCell="E17" sqref="E17:E26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6.5" style="16" customWidth="1"/>
    <col min="4" max="4" width="13.83203125" style="16" customWidth="1"/>
    <col min="5" max="5" width="15.1640625" style="16" customWidth="1"/>
    <col min="6" max="6" width="10.5" style="16" customWidth="1"/>
    <col min="7" max="7" width="13.6640625" style="16" customWidth="1"/>
    <col min="8" max="8" width="18.5" style="16" customWidth="1"/>
    <col min="9" max="10" width="8" style="16" customWidth="1"/>
    <col min="11" max="17" width="10.6640625" style="16" hidden="1" customWidth="1"/>
    <col min="18" max="20" width="8.1640625" style="16" customWidth="1"/>
    <col min="21" max="22" width="12.5" style="16" customWidth="1"/>
    <col min="23" max="23" width="13.1640625" style="98" customWidth="1"/>
    <col min="24" max="24" width="47" style="16" customWidth="1"/>
    <col min="25" max="25" width="11.5" style="23" customWidth="1"/>
    <col min="26" max="16384" width="8.6640625" style="16"/>
  </cols>
  <sheetData>
    <row r="1" spans="1:29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13"/>
      <c r="K1" s="29"/>
      <c r="L1" s="29"/>
      <c r="M1" s="29"/>
      <c r="N1" s="29"/>
      <c r="O1" s="27"/>
      <c r="P1" s="27"/>
      <c r="Q1" s="27"/>
      <c r="R1" s="13"/>
      <c r="S1" s="13"/>
      <c r="T1" s="13"/>
      <c r="U1" s="13"/>
      <c r="V1" s="13"/>
      <c r="W1" s="22"/>
      <c r="X1" s="13"/>
      <c r="Y1" s="22"/>
    </row>
    <row r="2" spans="1:29" s="14" customFormat="1" ht="33.75" customHeight="1" x14ac:dyDescent="0.2">
      <c r="A2" s="13"/>
      <c r="B2" s="13"/>
      <c r="C2" s="13"/>
      <c r="D2" s="13"/>
      <c r="E2" s="13"/>
      <c r="F2" s="13"/>
      <c r="G2" s="13"/>
      <c r="K2" s="30"/>
      <c r="L2" s="31"/>
      <c r="M2" s="29"/>
      <c r="N2" s="32" t="s">
        <v>161</v>
      </c>
      <c r="O2" s="27"/>
      <c r="P2" s="27"/>
      <c r="Q2" s="28" t="s">
        <v>160</v>
      </c>
      <c r="S2" s="20"/>
      <c r="T2" s="21"/>
      <c r="V2" s="13"/>
      <c r="X2" s="20" t="s">
        <v>151</v>
      </c>
      <c r="Y2" s="22"/>
    </row>
    <row r="3" spans="1:29" ht="15" customHeight="1" x14ac:dyDescent="0.25">
      <c r="A3" s="33" t="s">
        <v>144</v>
      </c>
      <c r="B3" s="34"/>
      <c r="C3" s="35"/>
      <c r="D3" s="35"/>
      <c r="E3" s="35"/>
      <c r="F3" s="35"/>
      <c r="G3" s="36"/>
      <c r="H3" s="35"/>
      <c r="I3" s="35"/>
      <c r="J3" s="35"/>
      <c r="K3" s="37"/>
      <c r="L3" s="37"/>
      <c r="M3" s="37"/>
      <c r="N3" s="37"/>
      <c r="O3" s="38"/>
      <c r="P3" s="38"/>
      <c r="Q3" s="38"/>
      <c r="R3" s="39"/>
      <c r="S3" s="39"/>
      <c r="T3" s="39"/>
      <c r="U3" s="35"/>
      <c r="V3" s="36"/>
      <c r="W3" s="39"/>
      <c r="X3" s="13"/>
      <c r="Y3" s="22"/>
    </row>
    <row r="4" spans="1:29" ht="21" customHeight="1" x14ac:dyDescent="0.25">
      <c r="A4" s="33" t="s">
        <v>145</v>
      </c>
      <c r="B4" s="34"/>
      <c r="C4" s="40"/>
      <c r="D4" s="40"/>
      <c r="E4" s="35"/>
      <c r="F4" s="35"/>
      <c r="G4" s="36"/>
      <c r="H4" s="35"/>
      <c r="I4" s="35"/>
      <c r="J4" s="35"/>
      <c r="K4" s="37"/>
      <c r="L4" s="37"/>
      <c r="M4" s="37"/>
      <c r="N4" s="37"/>
      <c r="O4" s="38"/>
      <c r="P4" s="38"/>
      <c r="Q4" s="38"/>
      <c r="R4" s="39"/>
      <c r="S4" s="39"/>
      <c r="T4" s="39"/>
      <c r="U4" s="35"/>
      <c r="V4" s="36"/>
      <c r="W4" s="39"/>
      <c r="X4" s="13"/>
      <c r="Y4" s="22"/>
    </row>
    <row r="5" spans="1:29" ht="21" customHeight="1" x14ac:dyDescent="0.25">
      <c r="A5" s="33" t="s">
        <v>146</v>
      </c>
      <c r="B5" s="34"/>
      <c r="C5" s="34"/>
      <c r="D5" s="34"/>
      <c r="E5" s="35"/>
      <c r="F5" s="35"/>
      <c r="G5" s="36"/>
      <c r="H5" s="35"/>
      <c r="I5" s="35"/>
      <c r="J5" s="35"/>
      <c r="K5" s="37"/>
      <c r="L5" s="37"/>
      <c r="M5" s="37"/>
      <c r="N5" s="37"/>
      <c r="O5" s="38"/>
      <c r="P5" s="38"/>
      <c r="Q5" s="38"/>
      <c r="R5" s="39"/>
      <c r="S5" s="39"/>
      <c r="T5" s="39"/>
      <c r="U5" s="35"/>
      <c r="V5" s="36"/>
      <c r="W5" s="39"/>
      <c r="X5" s="13"/>
      <c r="Y5" s="22"/>
    </row>
    <row r="6" spans="1:29" ht="21" customHeight="1" x14ac:dyDescent="0.25">
      <c r="A6" s="41"/>
      <c r="B6" s="34"/>
      <c r="C6" s="34"/>
      <c r="D6" s="34"/>
      <c r="E6" s="35"/>
      <c r="F6" s="35"/>
      <c r="G6" s="36"/>
      <c r="H6" s="35"/>
      <c r="I6" s="35"/>
      <c r="J6" s="35"/>
      <c r="K6" s="37"/>
      <c r="L6" s="37"/>
      <c r="M6" s="37"/>
      <c r="N6" s="37"/>
      <c r="O6" s="38"/>
      <c r="P6" s="38"/>
      <c r="Q6" s="38"/>
      <c r="R6" s="39"/>
      <c r="S6" s="39"/>
      <c r="T6" s="39"/>
      <c r="U6" s="35"/>
      <c r="V6" s="36"/>
      <c r="W6" s="39"/>
      <c r="X6" s="13"/>
      <c r="Y6" s="22"/>
    </row>
    <row r="7" spans="1:29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16"/>
      <c r="I7" s="35"/>
      <c r="J7" s="35"/>
      <c r="K7" s="37"/>
      <c r="L7" s="37"/>
      <c r="M7" s="37"/>
      <c r="N7" s="37"/>
      <c r="O7" s="38"/>
      <c r="P7" s="38"/>
      <c r="Q7" s="38"/>
      <c r="R7" s="43" t="s">
        <v>147</v>
      </c>
      <c r="S7" s="43"/>
      <c r="T7" s="43"/>
      <c r="U7" s="43"/>
      <c r="V7" s="43"/>
      <c r="W7" s="43" t="s">
        <v>148</v>
      </c>
      <c r="X7" s="43"/>
      <c r="Y7" s="43"/>
    </row>
    <row r="8" spans="1:29" ht="15" customHeight="1" x14ac:dyDescent="0.25">
      <c r="A8" s="44" t="s">
        <v>103</v>
      </c>
      <c r="B8" s="45"/>
      <c r="C8" s="45"/>
      <c r="D8" s="45"/>
      <c r="E8" s="46"/>
      <c r="F8" s="46"/>
      <c r="G8" s="36"/>
      <c r="H8" s="46"/>
      <c r="I8" s="35"/>
      <c r="J8" s="35"/>
      <c r="K8" s="37"/>
      <c r="L8" s="37"/>
      <c r="M8" s="37"/>
      <c r="N8" s="37"/>
      <c r="O8" s="38"/>
      <c r="P8" s="38"/>
      <c r="Q8" s="38"/>
      <c r="R8" s="105" t="s">
        <v>255</v>
      </c>
      <c r="S8" s="87"/>
      <c r="T8" s="106"/>
      <c r="U8" s="46"/>
      <c r="V8" s="107"/>
      <c r="W8" s="108">
        <v>46189</v>
      </c>
      <c r="X8" s="13"/>
      <c r="Y8" s="22"/>
    </row>
    <row r="9" spans="1:29" ht="15" customHeight="1" x14ac:dyDescent="0.25">
      <c r="A9" s="46"/>
      <c r="B9" s="45"/>
      <c r="C9" s="46"/>
      <c r="D9" s="46"/>
      <c r="E9" s="35"/>
      <c r="F9" s="46"/>
      <c r="G9" s="36"/>
      <c r="H9" s="46"/>
      <c r="I9" s="35"/>
      <c r="J9" s="35"/>
      <c r="K9" s="37"/>
      <c r="L9" s="37"/>
      <c r="M9" s="37"/>
      <c r="N9" s="37"/>
      <c r="O9" s="38"/>
      <c r="P9" s="38"/>
      <c r="Q9" s="38"/>
      <c r="R9" s="86"/>
      <c r="S9" s="320"/>
      <c r="T9" s="320"/>
      <c r="U9" s="46"/>
      <c r="V9" s="107"/>
      <c r="W9" s="33"/>
      <c r="X9" s="13"/>
      <c r="Y9" s="22"/>
    </row>
    <row r="10" spans="1:29" ht="15" customHeight="1" x14ac:dyDescent="0.25">
      <c r="A10" s="46"/>
      <c r="B10" s="45"/>
      <c r="C10" s="46"/>
      <c r="D10" s="46"/>
      <c r="E10" s="35"/>
      <c r="F10" s="46"/>
      <c r="G10" s="36"/>
      <c r="H10" s="46"/>
      <c r="I10" s="35"/>
      <c r="J10" s="35"/>
      <c r="K10" s="37"/>
      <c r="L10" s="37"/>
      <c r="M10" s="37"/>
      <c r="N10" s="37"/>
      <c r="O10" s="38"/>
      <c r="P10" s="38"/>
      <c r="Q10" s="38"/>
      <c r="R10" s="42" t="s">
        <v>149</v>
      </c>
      <c r="S10" s="43"/>
      <c r="T10" s="43"/>
      <c r="U10" s="43"/>
      <c r="V10" s="43"/>
      <c r="W10" s="43" t="s">
        <v>150</v>
      </c>
      <c r="X10" s="43"/>
      <c r="Y10" s="43"/>
    </row>
    <row r="11" spans="1:29" ht="15" customHeight="1" x14ac:dyDescent="0.25">
      <c r="A11" s="46"/>
      <c r="B11" s="34"/>
      <c r="C11" s="35"/>
      <c r="D11" s="35"/>
      <c r="E11" s="35"/>
      <c r="F11" s="46"/>
      <c r="G11" s="46"/>
      <c r="H11" s="46"/>
      <c r="I11" s="35"/>
      <c r="J11" s="35"/>
      <c r="K11" s="37"/>
      <c r="L11" s="37"/>
      <c r="M11" s="37"/>
      <c r="N11" s="37"/>
      <c r="O11" s="38"/>
      <c r="P11" s="38"/>
      <c r="Q11" s="38"/>
      <c r="R11" s="105" t="s">
        <v>247</v>
      </c>
      <c r="S11" s="86"/>
      <c r="T11" s="86"/>
      <c r="U11" s="46"/>
      <c r="V11" s="107"/>
      <c r="W11" s="86"/>
      <c r="X11" s="13"/>
      <c r="Y11" s="22"/>
    </row>
    <row r="12" spans="1:29" ht="15" customHeight="1" x14ac:dyDescent="0.25">
      <c r="A12" s="189" t="s">
        <v>231</v>
      </c>
      <c r="B12" s="34"/>
      <c r="C12" s="35"/>
      <c r="D12" s="35"/>
      <c r="E12" s="35"/>
      <c r="F12" s="46"/>
      <c r="G12" s="46"/>
      <c r="H12" s="46"/>
      <c r="I12" s="35"/>
      <c r="J12" s="35"/>
      <c r="K12" s="37"/>
      <c r="L12" s="37"/>
      <c r="M12" s="37"/>
      <c r="N12" s="37"/>
      <c r="O12" s="38"/>
      <c r="P12" s="38"/>
      <c r="Q12" s="38"/>
      <c r="R12" s="105" t="s">
        <v>251</v>
      </c>
      <c r="S12" s="48"/>
      <c r="T12" s="86"/>
      <c r="U12" s="46"/>
      <c r="V12" s="107"/>
      <c r="W12" s="86"/>
      <c r="X12" s="13"/>
      <c r="Y12" s="22"/>
    </row>
    <row r="13" spans="1:29" ht="15" customHeight="1" x14ac:dyDescent="0.25">
      <c r="A13" s="188" t="s">
        <v>246</v>
      </c>
      <c r="B13" s="34"/>
      <c r="C13" s="35"/>
      <c r="D13" s="35"/>
      <c r="E13" s="35"/>
      <c r="F13" s="46"/>
      <c r="G13" s="46"/>
      <c r="H13" s="46"/>
      <c r="I13" s="35"/>
      <c r="J13" s="35"/>
      <c r="K13" s="37"/>
      <c r="L13" s="37"/>
      <c r="M13" s="37"/>
      <c r="N13" s="37"/>
      <c r="O13" s="38"/>
      <c r="P13" s="38"/>
      <c r="Q13" s="38"/>
      <c r="R13" s="105"/>
      <c r="S13" s="35"/>
      <c r="T13" s="48"/>
      <c r="U13" s="48"/>
      <c r="V13" s="47"/>
      <c r="W13" s="49"/>
      <c r="X13" s="13"/>
      <c r="Y13" s="22"/>
    </row>
    <row r="14" spans="1:29" ht="15" customHeight="1" x14ac:dyDescent="0.25">
      <c r="A14" s="46"/>
      <c r="B14" s="34"/>
      <c r="C14" s="35"/>
      <c r="D14" s="35"/>
      <c r="E14" s="35"/>
      <c r="F14" s="46"/>
      <c r="G14" s="46"/>
      <c r="H14" s="46"/>
      <c r="I14" s="35"/>
      <c r="J14" s="35"/>
      <c r="K14" s="37"/>
      <c r="L14" s="37"/>
      <c r="M14" s="37"/>
      <c r="N14" s="37"/>
      <c r="O14" s="38"/>
      <c r="P14" s="38"/>
      <c r="Q14" s="38"/>
      <c r="R14" s="48"/>
      <c r="S14" s="48"/>
      <c r="T14" s="48"/>
      <c r="U14" s="48"/>
      <c r="V14" s="47"/>
      <c r="W14" s="49"/>
      <c r="X14" s="13"/>
      <c r="Y14" s="22"/>
    </row>
    <row r="15" spans="1:29" ht="15" hidden="1" customHeight="1" x14ac:dyDescent="0.25">
      <c r="A15" s="35"/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50"/>
      <c r="M15" s="50" t="s">
        <v>137</v>
      </c>
      <c r="N15" s="50"/>
      <c r="O15" s="51"/>
      <c r="P15" s="51" t="s">
        <v>138</v>
      </c>
      <c r="Q15" s="51"/>
      <c r="R15" s="52"/>
      <c r="S15" s="52" t="s">
        <v>134</v>
      </c>
      <c r="T15" s="52"/>
      <c r="U15" s="35"/>
      <c r="V15" s="35"/>
      <c r="W15" s="89"/>
      <c r="X15" s="16" t="s">
        <v>142</v>
      </c>
    </row>
    <row r="16" spans="1:29" s="17" customFormat="1" ht="41.25" customHeight="1" x14ac:dyDescent="0.2">
      <c r="A16" s="53" t="s">
        <v>158</v>
      </c>
      <c r="B16" s="53" t="s">
        <v>0</v>
      </c>
      <c r="C16" s="53" t="s">
        <v>1</v>
      </c>
      <c r="D16" s="54" t="s">
        <v>217</v>
      </c>
      <c r="E16" s="54" t="s">
        <v>135</v>
      </c>
      <c r="F16" s="54" t="s">
        <v>157</v>
      </c>
      <c r="G16" s="54" t="s">
        <v>3</v>
      </c>
      <c r="H16" s="54" t="s">
        <v>152</v>
      </c>
      <c r="I16" s="54" t="s">
        <v>105</v>
      </c>
      <c r="J16" s="54" t="s">
        <v>5</v>
      </c>
      <c r="K16" s="55" t="s">
        <v>64</v>
      </c>
      <c r="L16" s="55" t="s">
        <v>136</v>
      </c>
      <c r="M16" s="55" t="s">
        <v>24</v>
      </c>
      <c r="N16" s="55" t="s">
        <v>108</v>
      </c>
      <c r="O16" s="56" t="s">
        <v>136</v>
      </c>
      <c r="P16" s="56" t="s">
        <v>24</v>
      </c>
      <c r="Q16" s="56" t="s">
        <v>108</v>
      </c>
      <c r="R16" s="54" t="s">
        <v>136</v>
      </c>
      <c r="S16" s="54" t="s">
        <v>24</v>
      </c>
      <c r="T16" s="54" t="s">
        <v>108</v>
      </c>
      <c r="U16" s="131" t="s">
        <v>159</v>
      </c>
      <c r="V16" s="91" t="s">
        <v>6</v>
      </c>
      <c r="W16" s="92" t="s">
        <v>7</v>
      </c>
      <c r="X16" s="53" t="s">
        <v>214</v>
      </c>
      <c r="Y16" s="26" t="s">
        <v>141</v>
      </c>
      <c r="AC16" s="16"/>
    </row>
    <row r="17" spans="1:26" s="17" customFormat="1" ht="36" customHeight="1" x14ac:dyDescent="0.2">
      <c r="A17" s="57">
        <v>1</v>
      </c>
      <c r="B17" s="57" t="str" cm="1">
        <f t="array" ref="B17">_xlfn.LET(_xlpm.r,_xlfn.XLOOKUP(1,
(TRIM(CODE_PRICE!$A$4:$A$2003)=TRIM($C$4))*
(TRIM(CODE_PRICE!$B$4:$B$2003)=TRIM(C17)),
CODE_PRICE!$C$4:$C$2003,
""),
IF(OR(_xlpm.r="",_xlpm.r=0),"",_xlpm.r))</f>
        <v/>
      </c>
      <c r="C17" s="57" t="s">
        <v>96</v>
      </c>
      <c r="D17" s="57" t="str" cm="1">
        <f t="array" ref="D17">IFERROR(
_xlfn.XLOOKUP(1,
(CODE_PRICE!$A$3:$A$1003=$A$8)*
(CODE_PRICE!$B$3:$B$1003=C17),
CODE_PRICE!$C$3:$C$1003
),
"")</f>
        <v>FM1540</v>
      </c>
      <c r="E17" s="57" t="s">
        <v>247</v>
      </c>
      <c r="F17" s="58" t="s">
        <v>11</v>
      </c>
      <c r="G17" s="59" t="s">
        <v>123</v>
      </c>
      <c r="H17" s="60" t="str">
        <f>IF(COUNTIFS($C$17:C17,C17,$I$17:I17,I17)=1,
SUMIFS($J$17:$J$49,$C$17:$C$49,C17,$I$17:$I$49,I17)&amp;I17&amp;" "&amp;C17,
"")</f>
        <v>10S CFN34150W</v>
      </c>
      <c r="I17" s="58" t="s">
        <v>22</v>
      </c>
      <c r="J17" s="61">
        <v>1</v>
      </c>
      <c r="K17" s="62"/>
      <c r="L17" s="63">
        <v>108</v>
      </c>
      <c r="M17" s="257">
        <v>81</v>
      </c>
      <c r="N17" s="64">
        <v>42</v>
      </c>
      <c r="O17" s="65"/>
      <c r="P17" s="65" t="str" cm="1">
        <f t="array" ref="P17">IF(F17="trim",IFERROR(INDEX('SIZE GUIDE'!$E:$E,MATCH(1,('SIZE GUIDE'!$A:$A=$F17)*('SIZE GUIDE'!$B:$B=$G17)*('SIZE GUIDE'!$C:$C=$I17),0)),""),"")</f>
        <v/>
      </c>
      <c r="Q17" s="65"/>
      <c r="R17" s="59">
        <v>107</v>
      </c>
      <c r="S17" s="59">
        <f t="shared" ref="S17:S26" si="0">M17</f>
        <v>81</v>
      </c>
      <c r="T17" s="258">
        <f t="shared" ref="T17:T26" si="1">IF(F17="untrim",N17-0.5,Q17-0.5)</f>
        <v>41.5</v>
      </c>
      <c r="U17" s="93">
        <f t="shared" ref="U17:U26" si="2">IFERROR(R17*S17*T17/144*J17,"")</f>
        <v>2497.78125</v>
      </c>
      <c r="V17" s="99">
        <f>SUMIFS(CODE_PRICE!F:F,CODE_PRICE!B:B,'DICKSON-W25_02'!C17,CODE_PRICE!A:A,'DICKSON-W25_02'!$A$8)</f>
        <v>0.29070000000000001</v>
      </c>
      <c r="W17" s="95">
        <f>U17*V17</f>
        <v>726.10500937500001</v>
      </c>
      <c r="X17" s="244" t="str">
        <f>IF(OR(E17="",C17=""),"",IF(COUNTIFS($E$17:E17,E17,$C$17:C17,C17)=1,E17&amp;" - "&amp;C17&amp;" - "&amp;SUMIFS($J$17:$J$5002,$E$17:$E$5002,E17,$C$17:$C$5002,C17)&amp;I17&amp;" - "&amp;TEXT(SUMIFS($U$17:$U$5002,$E$17:$E$5002,E17,$C$17:$C$5002,C17),"0.00")&amp;" Bf",""))</f>
        <v>11-70930 - CFN34150W - 3S - 7493.34 Bf</v>
      </c>
      <c r="Y17" s="24">
        <f>IF(COUNTIF($C$17:C17,C17)=1,ROUND(SUMIF($C:$C,C17,$W:$W),2), "")</f>
        <v>7051.09</v>
      </c>
      <c r="Z17" s="17">
        <v>40.5</v>
      </c>
    </row>
    <row r="18" spans="1:26" s="17" customFormat="1" ht="36" customHeight="1" x14ac:dyDescent="0.2">
      <c r="A18" s="57">
        <f>A17+1</f>
        <v>2</v>
      </c>
      <c r="B18" s="57" t="str" cm="1">
        <f t="array" ref="B18">_xlfn.LET(_xlpm.r,_xlfn.XLOOKUP(1,
(TRIM(CODE_PRICE!$A$4:$A$2003)=TRIM($C$4))*
(TRIM(CODE_PRICE!$B$4:$B$2003)=TRIM(C18)),
CODE_PRICE!$C$4:$C$2003,
""),
IF(OR(_xlpm.r="",_xlpm.r=0),"",_xlpm.r))</f>
        <v/>
      </c>
      <c r="C18" s="57" t="s">
        <v>96</v>
      </c>
      <c r="D18" s="57" t="str" cm="1">
        <f t="array" ref="D18">IFERROR(
_xlfn.XLOOKUP(1,
(CODE_PRICE!$A$3:$A$1003=$A$8)*
(CODE_PRICE!$B$3:$B$1003=C18),
CODE_PRICE!$C$3:$C$1003
),
"")</f>
        <v>FM1540</v>
      </c>
      <c r="E18" s="57" t="s">
        <v>247</v>
      </c>
      <c r="F18" s="58" t="s">
        <v>11</v>
      </c>
      <c r="G18" s="59" t="s">
        <v>123</v>
      </c>
      <c r="H18" s="60" t="str">
        <f>IF(COUNTIFS($C$17:C18,C18,$I$17:I18,I18)=1,
SUMIFS($J$17:$J$49,$C$17:$C$49,C18,$I$17:$I$49,I18)&amp;I18&amp;" "&amp;C18,
"")</f>
        <v/>
      </c>
      <c r="I18" s="58" t="s">
        <v>22</v>
      </c>
      <c r="J18" s="61">
        <v>1</v>
      </c>
      <c r="K18" s="62"/>
      <c r="L18" s="63">
        <v>108</v>
      </c>
      <c r="M18" s="257">
        <v>81</v>
      </c>
      <c r="N18" s="64">
        <v>42</v>
      </c>
      <c r="O18" s="65"/>
      <c r="P18" s="65" t="str" cm="1">
        <f t="array" ref="P18">IF(F18="trim",IFERROR(INDEX('SIZE GUIDE'!$E:$E,MATCH(1,('SIZE GUIDE'!$A:$A=$F18)*('SIZE GUIDE'!$B:$B=$G18)*('SIZE GUIDE'!$C:$C=$I18),0)),""),"")</f>
        <v/>
      </c>
      <c r="Q18" s="65"/>
      <c r="R18" s="59">
        <v>107</v>
      </c>
      <c r="S18" s="59">
        <f t="shared" si="0"/>
        <v>81</v>
      </c>
      <c r="T18" s="258">
        <f t="shared" si="1"/>
        <v>41.5</v>
      </c>
      <c r="U18" s="93">
        <f t="shared" si="2"/>
        <v>2497.78125</v>
      </c>
      <c r="V18" s="99">
        <f>SUMIFS(CODE_PRICE!F:F,CODE_PRICE!B:B,'DICKSON-W25_02'!C18,CODE_PRICE!A:A,'DICKSON-W25_02'!$A$8)</f>
        <v>0.29070000000000001</v>
      </c>
      <c r="W18" s="95">
        <f t="shared" ref="W18:W26" si="3">U18*V18</f>
        <v>726.10500937500001</v>
      </c>
      <c r="X18" s="244" t="str">
        <f>IF(OR(E18="",C18=""),"",IF(COUNTIFS($E$17:E18,E18,$C$17:C18,C18)=1,E18&amp;" - "&amp;C18&amp;" - "&amp;SUMIFS($J$17:$J$5002,$E$17:$E$5002,E18,$C$17:$C$5002,C18)&amp;I18&amp;" - "&amp;TEXT(SUMIFS($U$17:$U$5002,$E$17:$E$5002,E18,$C$17:$C$5002,C18),"0.00")&amp;" Bf",""))</f>
        <v/>
      </c>
      <c r="Y18" s="24" t="str">
        <f>IF(COUNTIF($C$17:C18,C18)=1,ROUND(SUMIF($C:$C,C18,$W:$W),2), "")</f>
        <v/>
      </c>
      <c r="Z18" s="17">
        <v>40.5</v>
      </c>
    </row>
    <row r="19" spans="1:26" s="17" customFormat="1" ht="36" customHeight="1" x14ac:dyDescent="0.2">
      <c r="A19" s="57">
        <f t="shared" ref="A19:A26" si="4">A18+1</f>
        <v>3</v>
      </c>
      <c r="B19" s="57" t="str" cm="1">
        <f t="array" ref="B19">_xlfn.LET(_xlpm.r,_xlfn.XLOOKUP(1,
(TRIM(CODE_PRICE!$A$4:$A$2003)=TRIM($C$4))*
(TRIM(CODE_PRICE!$B$4:$B$2003)=TRIM(C19)),
CODE_PRICE!$C$4:$C$2003,
""),
IF(OR(_xlpm.r="",_xlpm.r=0),"",_xlpm.r))</f>
        <v/>
      </c>
      <c r="C19" s="57" t="s">
        <v>96</v>
      </c>
      <c r="D19" s="57" t="str" cm="1">
        <f t="array" ref="D19">IFERROR(
_xlfn.XLOOKUP(1,
(CODE_PRICE!$A$3:$A$1003=$A$8)*
(CODE_PRICE!$B$3:$B$1003=C19),
CODE_PRICE!$C$3:$C$1003
),
"")</f>
        <v>FM1540</v>
      </c>
      <c r="E19" s="57" t="s">
        <v>247</v>
      </c>
      <c r="F19" s="58" t="s">
        <v>11</v>
      </c>
      <c r="G19" s="59" t="s">
        <v>123</v>
      </c>
      <c r="H19" s="60" t="str">
        <f>IF(COUNTIFS($C$17:C19,C19,$I$17:I19,I19)=1,
SUMIFS($J$17:$J$49,$C$17:$C$49,C19,$I$17:$I$49,I19)&amp;I19&amp;" "&amp;C19,
"")</f>
        <v/>
      </c>
      <c r="I19" s="58" t="s">
        <v>22</v>
      </c>
      <c r="J19" s="61">
        <v>1</v>
      </c>
      <c r="K19" s="62"/>
      <c r="L19" s="63">
        <v>108</v>
      </c>
      <c r="M19" s="257">
        <v>81</v>
      </c>
      <c r="N19" s="64">
        <v>42</v>
      </c>
      <c r="O19" s="65"/>
      <c r="P19" s="65" t="str" cm="1">
        <f t="array" ref="P19">IF(F19="trim",IFERROR(INDEX('SIZE GUIDE'!$E:$E,MATCH(1,('SIZE GUIDE'!$A:$A=$F19)*('SIZE GUIDE'!$B:$B=$G19)*('SIZE GUIDE'!$C:$C=$I19),0)),""),"")</f>
        <v/>
      </c>
      <c r="Q19" s="65"/>
      <c r="R19" s="59">
        <v>107</v>
      </c>
      <c r="S19" s="59">
        <f t="shared" si="0"/>
        <v>81</v>
      </c>
      <c r="T19" s="258">
        <f t="shared" si="1"/>
        <v>41.5</v>
      </c>
      <c r="U19" s="93">
        <f t="shared" si="2"/>
        <v>2497.78125</v>
      </c>
      <c r="V19" s="99">
        <f>SUMIFS(CODE_PRICE!F:F,CODE_PRICE!B:B,'DICKSON-W25_02'!C19,CODE_PRICE!A:A,'DICKSON-W25_02'!$A$8)</f>
        <v>0.29070000000000001</v>
      </c>
      <c r="W19" s="95">
        <f t="shared" si="3"/>
        <v>726.10500937500001</v>
      </c>
      <c r="X19" s="244" t="str">
        <f>IF(OR(E19="",C19=""),"",IF(COUNTIFS($E$17:E19,E19,$C$17:C19,C19)=1,E19&amp;" - "&amp;C19&amp;" - "&amp;SUMIFS($J$17:$J$5002,$E$17:$E$5002,E19,$C$17:$C$5002,C19)&amp;I19&amp;" - "&amp;TEXT(SUMIFS($U$17:$U$5002,$E$17:$E$5002,E19,$C$17:$C$5002,C19),"0.00")&amp;" Bf",""))</f>
        <v/>
      </c>
      <c r="Y19" s="24" t="str">
        <f>IF(COUNTIF($C$17:C19,C19)=1,ROUND(SUMIF($C:$C,C19,$W:$W),2), "")</f>
        <v/>
      </c>
      <c r="Z19" s="17">
        <v>39.5</v>
      </c>
    </row>
    <row r="20" spans="1:26" s="17" customFormat="1" ht="36" customHeight="1" x14ac:dyDescent="0.2">
      <c r="A20" s="57">
        <f t="shared" si="4"/>
        <v>4</v>
      </c>
      <c r="B20" s="57" t="str" cm="1">
        <f t="array" ref="B20">_xlfn.LET(_xlpm.r,_xlfn.XLOOKUP(1,
(TRIM(CODE_PRICE!$A$4:$A$2003)=TRIM($C$4))*
(TRIM(CODE_PRICE!$B$4:$B$2003)=TRIM(C20)),
CODE_PRICE!$C$4:$C$2003,
""),
IF(OR(_xlpm.r="",_xlpm.r=0),"",_xlpm.r))</f>
        <v/>
      </c>
      <c r="C20" s="57" t="s">
        <v>96</v>
      </c>
      <c r="D20" s="57" t="str" cm="1">
        <f t="array" ref="D20">IFERROR(
_xlfn.XLOOKUP(1,
(CODE_PRICE!$A$3:$A$1003=$A$8)*
(CODE_PRICE!$B$3:$B$1003=C20),
CODE_PRICE!$C$3:$C$1003
),
"")</f>
        <v>FM1540</v>
      </c>
      <c r="E20" s="57" t="s">
        <v>251</v>
      </c>
      <c r="F20" s="58" t="s">
        <v>11</v>
      </c>
      <c r="G20" s="59" t="s">
        <v>123</v>
      </c>
      <c r="H20" s="60" t="str">
        <f>IF(COUNTIFS($C$17:C20,C20,$I$17:I20,I20)=1,
SUMIFS($J$17:$J$49,$C$17:$C$49,C20,$I$17:$I$49,I20)&amp;I20&amp;" "&amp;C20,
"")</f>
        <v/>
      </c>
      <c r="I20" s="58" t="s">
        <v>22</v>
      </c>
      <c r="J20" s="61">
        <v>1</v>
      </c>
      <c r="K20" s="62"/>
      <c r="L20" s="63">
        <v>108</v>
      </c>
      <c r="M20" s="257">
        <v>81</v>
      </c>
      <c r="N20" s="64">
        <v>42</v>
      </c>
      <c r="O20" s="65"/>
      <c r="P20" s="65" t="str" cm="1">
        <f t="array" ref="P20">IF(F20="trim",IFERROR(INDEX('SIZE GUIDE'!$E:$E,MATCH(1,('SIZE GUIDE'!$A:$A=$F20)*('SIZE GUIDE'!$B:$B=$G20)*('SIZE GUIDE'!$C:$C=$I20),0)),""),"")</f>
        <v/>
      </c>
      <c r="Q20" s="65"/>
      <c r="R20" s="59">
        <v>107</v>
      </c>
      <c r="S20" s="59">
        <f t="shared" si="0"/>
        <v>81</v>
      </c>
      <c r="T20" s="258">
        <f t="shared" si="1"/>
        <v>41.5</v>
      </c>
      <c r="U20" s="154">
        <f t="shared" si="2"/>
        <v>2497.78125</v>
      </c>
      <c r="V20" s="99">
        <f>SUMIFS(CODE_PRICE!F:F,CODE_PRICE!B:B,'DICKSON-W25_02'!C20,CODE_PRICE!A:A,'DICKSON-W25_02'!$A$8)</f>
        <v>0.29070000000000001</v>
      </c>
      <c r="W20" s="155">
        <f t="shared" si="3"/>
        <v>726.10500937500001</v>
      </c>
      <c r="X20" s="244" t="str">
        <f>IF(OR(E20="",C20=""),"",IF(COUNTIFS($E$17:E20,E20,$C$17:C20,C20)=1,E20&amp;" - "&amp;C20&amp;" - "&amp;SUMIFS($J$17:$J$5002,$E$17:$E$5002,E20,$C$17:$C$5002,C20)&amp;I20&amp;" - "&amp;TEXT(SUMIFS($U$17:$U$5002,$E$17:$E$5002,E20,$C$17:$C$5002,C20),"0.00")&amp;" Bf",""))</f>
        <v>11-71077 - CFN34150W - 7S - 16762.22 Bf</v>
      </c>
      <c r="Y20" s="157" t="str">
        <f>IF(COUNTIF($C$17:C20,C20)=1,ROUND(SUMIF($C:$C,C20,$W:$W),2), "")</f>
        <v/>
      </c>
      <c r="Z20" s="17">
        <v>39.5</v>
      </c>
    </row>
    <row r="21" spans="1:26" s="17" customFormat="1" ht="36" customHeight="1" x14ac:dyDescent="0.2">
      <c r="A21" s="57">
        <f t="shared" si="4"/>
        <v>5</v>
      </c>
      <c r="B21" s="57" t="str" cm="1">
        <f t="array" ref="B21">_xlfn.LET(_xlpm.r,_xlfn.XLOOKUP(1,
(TRIM(CODE_PRICE!$A$4:$A$2003)=TRIM($C$4))*
(TRIM(CODE_PRICE!$B$4:$B$2003)=TRIM(C21)),
CODE_PRICE!$C$4:$C$2003,
""),
IF(OR(_xlpm.r="",_xlpm.r=0),"",_xlpm.r))</f>
        <v/>
      </c>
      <c r="C21" s="57" t="s">
        <v>96</v>
      </c>
      <c r="D21" s="57" t="str" cm="1">
        <f t="array" ref="D21">IFERROR(
_xlfn.XLOOKUP(1,
(CODE_PRICE!$A$3:$A$1003=$A$8)*
(CODE_PRICE!$B$3:$B$1003=C21),
CODE_PRICE!$C$3:$C$1003
),
"")</f>
        <v>FM1540</v>
      </c>
      <c r="E21" s="57" t="s">
        <v>251</v>
      </c>
      <c r="F21" s="58" t="s">
        <v>11</v>
      </c>
      <c r="G21" s="59" t="s">
        <v>123</v>
      </c>
      <c r="H21" s="60" t="str">
        <f>IF(COUNTIFS($C$17:C21,C21,$I$17:I21,I21)=1,
SUMIFS($J$17:$J$49,$C$17:$C$49,C21,$I$17:$I$49,I21)&amp;I21&amp;" "&amp;C21,
"")</f>
        <v/>
      </c>
      <c r="I21" s="58" t="s">
        <v>22</v>
      </c>
      <c r="J21" s="61">
        <v>1</v>
      </c>
      <c r="K21" s="62"/>
      <c r="L21" s="63">
        <v>108</v>
      </c>
      <c r="M21" s="257">
        <v>81</v>
      </c>
      <c r="N21" s="64">
        <v>42</v>
      </c>
      <c r="O21" s="65"/>
      <c r="P21" s="65" t="str" cm="1">
        <f t="array" ref="P21">IF(F21="trim",IFERROR(INDEX('SIZE GUIDE'!$E:$E,MATCH(1,('SIZE GUIDE'!$A:$A=$F21)*('SIZE GUIDE'!$B:$B=$G21)*('SIZE GUIDE'!$C:$C=$I21),0)),""),"")</f>
        <v/>
      </c>
      <c r="Q21" s="65"/>
      <c r="R21" s="59">
        <v>107</v>
      </c>
      <c r="S21" s="59">
        <f t="shared" si="0"/>
        <v>81</v>
      </c>
      <c r="T21" s="258">
        <f t="shared" si="1"/>
        <v>41.5</v>
      </c>
      <c r="U21" s="154">
        <f t="shared" si="2"/>
        <v>2497.78125</v>
      </c>
      <c r="V21" s="99">
        <f>SUMIFS(CODE_PRICE!F:F,CODE_PRICE!B:B,'DICKSON-W25_02'!C21,CODE_PRICE!A:A,'DICKSON-W25_02'!$A$8)</f>
        <v>0.29070000000000001</v>
      </c>
      <c r="W21" s="155">
        <f t="shared" si="3"/>
        <v>726.10500937500001</v>
      </c>
      <c r="X21" s="244" t="str">
        <f>IF(OR(E21="",C21=""),"",IF(COUNTIFS($E$17:E21,E21,$C$17:C21,C21)=1,E21&amp;" - "&amp;C21&amp;" - "&amp;SUMIFS($J$17:$J$5002,$E$17:$E$5002,E21,$C$17:$C$5002,C21)&amp;I21&amp;" - "&amp;TEXT(SUMIFS($U$17:$U$5002,$E$17:$E$5002,E21,$C$17:$C$5002,C21),"0.00")&amp;" Bf",""))</f>
        <v/>
      </c>
      <c r="Y21" s="157" t="str">
        <f>IF(COUNTIF($C$17:C21,C21)=1,ROUND(SUMIF($C:$C,C21,$W:$W),2), "")</f>
        <v/>
      </c>
      <c r="Z21" s="17">
        <v>40.5</v>
      </c>
    </row>
    <row r="22" spans="1:26" s="17" customFormat="1" ht="36" customHeight="1" x14ac:dyDescent="0.2">
      <c r="A22" s="57">
        <f t="shared" si="4"/>
        <v>6</v>
      </c>
      <c r="B22" s="57" t="str" cm="1">
        <f t="array" ref="B22">_xlfn.LET(_xlpm.r,_xlfn.XLOOKUP(1,
(TRIM(CODE_PRICE!$A$4:$A$2003)=TRIM($C$4))*
(TRIM(CODE_PRICE!$B$4:$B$2003)=TRIM(C22)),
CODE_PRICE!$C$4:$C$2003,
""),
IF(OR(_xlpm.r="",_xlpm.r=0),"",_xlpm.r))</f>
        <v/>
      </c>
      <c r="C22" s="57" t="s">
        <v>96</v>
      </c>
      <c r="D22" s="57" t="str" cm="1">
        <f t="array" ref="D22">IFERROR(
_xlfn.XLOOKUP(1,
(CODE_PRICE!$A$3:$A$1003=$A$8)*
(CODE_PRICE!$B$3:$B$1003=C22),
CODE_PRICE!$C$3:$C$1003
),
"")</f>
        <v>FM1540</v>
      </c>
      <c r="E22" s="57" t="s">
        <v>251</v>
      </c>
      <c r="F22" s="58" t="s">
        <v>11</v>
      </c>
      <c r="G22" s="59" t="s">
        <v>123</v>
      </c>
      <c r="H22" s="60" t="str">
        <f>IF(COUNTIFS($C$17:C22,C22,$I$17:I22,I22)=1,
SUMIFS($J$17:$J$49,$C$17:$C$49,C22,$I$17:$I$49,I22)&amp;I22&amp;" "&amp;C22,
"")</f>
        <v/>
      </c>
      <c r="I22" s="58" t="s">
        <v>22</v>
      </c>
      <c r="J22" s="61">
        <v>1</v>
      </c>
      <c r="K22" s="62"/>
      <c r="L22" s="63">
        <v>108</v>
      </c>
      <c r="M22" s="257">
        <v>81</v>
      </c>
      <c r="N22" s="64">
        <v>42</v>
      </c>
      <c r="O22" s="65"/>
      <c r="P22" s="65" t="str" cm="1">
        <f t="array" ref="P22">IF(F22="trim",IFERROR(INDEX('SIZE GUIDE'!$E:$E,MATCH(1,('SIZE GUIDE'!$A:$A=$F22)*('SIZE GUIDE'!$B:$B=$G22)*('SIZE GUIDE'!$C:$C=$I22),0)),""),"")</f>
        <v/>
      </c>
      <c r="Q22" s="65"/>
      <c r="R22" s="59">
        <v>107</v>
      </c>
      <c r="S22" s="59">
        <f t="shared" si="0"/>
        <v>81</v>
      </c>
      <c r="T22" s="258">
        <f t="shared" si="1"/>
        <v>41.5</v>
      </c>
      <c r="U22" s="154">
        <f t="shared" si="2"/>
        <v>2497.78125</v>
      </c>
      <c r="V22" s="99">
        <f>SUMIFS(CODE_PRICE!F:F,CODE_PRICE!B:B,'DICKSON-W25_02'!C22,CODE_PRICE!A:A,'DICKSON-W25_02'!$A$8)</f>
        <v>0.29070000000000001</v>
      </c>
      <c r="W22" s="155">
        <f t="shared" si="3"/>
        <v>726.10500937500001</v>
      </c>
      <c r="X22" s="244" t="str">
        <f>IF(OR(E22="",C22=""),"",IF(COUNTIFS($E$17:E22,E22,$C$17:C22,C22)=1,E22&amp;" - "&amp;C22&amp;" - "&amp;SUMIFS($J$17:$J$5002,$E$17:$E$5002,E22,$C$17:$C$5002,C22)&amp;I22&amp;" - "&amp;TEXT(SUMIFS($U$17:$U$5002,$E$17:$E$5002,E22,$C$17:$C$5002,C22),"0.00")&amp;" Bf",""))</f>
        <v/>
      </c>
      <c r="Y22" s="157" t="str">
        <f>IF(COUNTIF($C$17:C22,C22)=1,ROUND(SUMIF($C:$C,C22,$W:$W),2), "")</f>
        <v/>
      </c>
      <c r="Z22" s="17">
        <v>41</v>
      </c>
    </row>
    <row r="23" spans="1:26" s="17" customFormat="1" ht="36" customHeight="1" x14ac:dyDescent="0.2">
      <c r="A23" s="57">
        <f t="shared" si="4"/>
        <v>7</v>
      </c>
      <c r="B23" s="57" t="str" cm="1">
        <f t="array" ref="B23">_xlfn.LET(_xlpm.r,_xlfn.XLOOKUP(1,
(TRIM(CODE_PRICE!$A$4:$A$2003)=TRIM($C$4))*
(TRIM(CODE_PRICE!$B$4:$B$2003)=TRIM(C23)),
CODE_PRICE!$C$4:$C$2003,
""),
IF(OR(_xlpm.r="",_xlpm.r=0),"",_xlpm.r))</f>
        <v/>
      </c>
      <c r="C23" s="57" t="s">
        <v>96</v>
      </c>
      <c r="D23" s="57" t="str" cm="1">
        <f t="array" ref="D23">IFERROR(
_xlfn.XLOOKUP(1,
(CODE_PRICE!$A$3:$A$1003=$A$8)*
(CODE_PRICE!$B$3:$B$1003=C23),
CODE_PRICE!$C$3:$C$1003
),
"")</f>
        <v>FM1540</v>
      </c>
      <c r="E23" s="57" t="s">
        <v>251</v>
      </c>
      <c r="F23" s="58" t="s">
        <v>11</v>
      </c>
      <c r="G23" s="59" t="s">
        <v>123</v>
      </c>
      <c r="H23" s="60" t="str">
        <f>IF(COUNTIFS($C$17:C23,C23,$I$17:I23,I23)=1,
SUMIFS($J$17:$J$49,$C$17:$C$49,C23,$I$17:$I$49,I23)&amp;I23&amp;" "&amp;C23,
"")</f>
        <v/>
      </c>
      <c r="I23" s="58" t="s">
        <v>22</v>
      </c>
      <c r="J23" s="61">
        <v>1</v>
      </c>
      <c r="K23" s="62"/>
      <c r="L23" s="63">
        <v>108</v>
      </c>
      <c r="M23" s="257">
        <v>81</v>
      </c>
      <c r="N23" s="64">
        <v>42</v>
      </c>
      <c r="O23" s="65"/>
      <c r="P23" s="65" t="str" cm="1">
        <f t="array" ref="P23">IF(F23="trim",IFERROR(INDEX('SIZE GUIDE'!$E:$E,MATCH(1,('SIZE GUIDE'!$A:$A=$F23)*('SIZE GUIDE'!$B:$B=$G23)*('SIZE GUIDE'!$C:$C=$I23),0)),""),"")</f>
        <v/>
      </c>
      <c r="Q23" s="65"/>
      <c r="R23" s="59">
        <v>107</v>
      </c>
      <c r="S23" s="59">
        <f t="shared" si="0"/>
        <v>81</v>
      </c>
      <c r="T23" s="258">
        <f t="shared" si="1"/>
        <v>41.5</v>
      </c>
      <c r="U23" s="154">
        <f t="shared" si="2"/>
        <v>2497.78125</v>
      </c>
      <c r="V23" s="99">
        <f>SUMIFS(CODE_PRICE!F:F,CODE_PRICE!B:B,'DICKSON-W25_02'!C23,CODE_PRICE!A:A,'DICKSON-W25_02'!$A$8)</f>
        <v>0.29070000000000001</v>
      </c>
      <c r="W23" s="155">
        <f t="shared" si="3"/>
        <v>726.10500937500001</v>
      </c>
      <c r="X23" s="244" t="str">
        <f>IF(OR(E23="",C23=""),"",IF(COUNTIFS($E$17:E23,E23,$C$17:C23,C23)=1,E23&amp;" - "&amp;C23&amp;" - "&amp;SUMIFS($J$17:$J$5002,$E$17:$E$5002,E23,$C$17:$C$5002,C23)&amp;I23&amp;" - "&amp;TEXT(SUMIFS($U$17:$U$5002,$E$17:$E$5002,E23,$C$17:$C$5002,C23),"0.00")&amp;" Bf",""))</f>
        <v/>
      </c>
      <c r="Y23" s="157" t="str">
        <f>IF(COUNTIF($C$17:C23,C23)=1,ROUND(SUMIF($C:$C,C23,$W:$W),2), "")</f>
        <v/>
      </c>
      <c r="Z23" s="17">
        <v>40</v>
      </c>
    </row>
    <row r="24" spans="1:26" s="17" customFormat="1" ht="36" customHeight="1" x14ac:dyDescent="0.2">
      <c r="A24" s="57">
        <f t="shared" si="4"/>
        <v>8</v>
      </c>
      <c r="B24" s="57" t="str" cm="1">
        <f t="array" ref="B24">_xlfn.LET(_xlpm.r,_xlfn.XLOOKUP(1,
(TRIM(CODE_PRICE!$A$4:$A$2003)=TRIM($C$4))*
(TRIM(CODE_PRICE!$B$4:$B$2003)=TRIM(C24)),
CODE_PRICE!$C$4:$C$2003,
""),
IF(OR(_xlpm.r="",_xlpm.r=0),"",_xlpm.r))</f>
        <v/>
      </c>
      <c r="C24" s="57" t="s">
        <v>96</v>
      </c>
      <c r="D24" s="57" t="str" cm="1">
        <f t="array" ref="D24">IFERROR(
_xlfn.XLOOKUP(1,
(CODE_PRICE!$A$3:$A$1003=$A$8)*
(CODE_PRICE!$B$3:$B$1003=C24),
CODE_PRICE!$C$3:$C$1003
),
"")</f>
        <v>FM1540</v>
      </c>
      <c r="E24" s="57" t="s">
        <v>251</v>
      </c>
      <c r="F24" s="58" t="s">
        <v>11</v>
      </c>
      <c r="G24" s="59" t="s">
        <v>123</v>
      </c>
      <c r="H24" s="60" t="str">
        <f>IF(COUNTIFS($C$17:C24,C24,$I$17:I24,I24)=1,
SUMIFS($J$17:$J$49,$C$17:$C$49,C24,$I$17:$I$49,I24)&amp;I24&amp;" "&amp;C24,
"")</f>
        <v/>
      </c>
      <c r="I24" s="58" t="s">
        <v>22</v>
      </c>
      <c r="J24" s="61">
        <v>1</v>
      </c>
      <c r="K24" s="62" t="s">
        <v>259</v>
      </c>
      <c r="L24" s="63">
        <v>108</v>
      </c>
      <c r="M24" s="257">
        <v>81</v>
      </c>
      <c r="N24" s="64">
        <v>38</v>
      </c>
      <c r="O24" s="65"/>
      <c r="P24" s="65" t="str" cm="1">
        <f t="array" ref="P24">IF(F24="trim",IFERROR(INDEX('SIZE GUIDE'!$E:$E,MATCH(1,('SIZE GUIDE'!$A:$A=$F24)*('SIZE GUIDE'!$B:$B=$G24)*('SIZE GUIDE'!$C:$C=$I24),0)),""),"")</f>
        <v/>
      </c>
      <c r="Q24" s="65"/>
      <c r="R24" s="59">
        <v>107</v>
      </c>
      <c r="S24" s="59">
        <f t="shared" si="0"/>
        <v>81</v>
      </c>
      <c r="T24" s="258">
        <f t="shared" si="1"/>
        <v>37.5</v>
      </c>
      <c r="U24" s="154">
        <f t="shared" si="2"/>
        <v>2257.03125</v>
      </c>
      <c r="V24" s="99">
        <f>SUMIFS(CODE_PRICE!F:F,CODE_PRICE!B:B,'DICKSON-W25_02'!C24,CODE_PRICE!A:A,'DICKSON-W25_02'!$A$8)</f>
        <v>0.29070000000000001</v>
      </c>
      <c r="W24" s="155">
        <f t="shared" si="3"/>
        <v>656.11898437500008</v>
      </c>
      <c r="X24" s="244" t="str">
        <f>IF(OR(E24="",C24=""),"",IF(COUNTIFS($E$17:E24,E24,$C$17:C24,C24)=1,E24&amp;" - "&amp;C24&amp;" - "&amp;SUMIFS($J$17:$J$5002,$E$17:$E$5002,E24,$C$17:$C$5002,C24)&amp;I24&amp;" - "&amp;TEXT(SUMIFS($U$17:$U$5002,$E$17:$E$5002,E24,$C$17:$C$5002,C24),"0.00")&amp;" Bf",""))</f>
        <v/>
      </c>
      <c r="Y24" s="157" t="str">
        <f>IF(COUNTIF($C$17:C24,C24)=1,ROUND(SUMIF($C:$C,C24,$W:$W),2), "")</f>
        <v/>
      </c>
      <c r="Z24" s="17">
        <v>40</v>
      </c>
    </row>
    <row r="25" spans="1:26" s="17" customFormat="1" ht="36" customHeight="1" x14ac:dyDescent="0.2">
      <c r="A25" s="57">
        <f t="shared" si="4"/>
        <v>9</v>
      </c>
      <c r="B25" s="57" t="str" cm="1">
        <f t="array" ref="B25">_xlfn.LET(_xlpm.r,_xlfn.XLOOKUP(1,
(TRIM(CODE_PRICE!$A$4:$A$2003)=TRIM($C$4))*
(TRIM(CODE_PRICE!$B$4:$B$2003)=TRIM(C25)),
CODE_PRICE!$C$4:$C$2003,
""),
IF(OR(_xlpm.r="",_xlpm.r=0),"",_xlpm.r))</f>
        <v/>
      </c>
      <c r="C25" s="57" t="s">
        <v>96</v>
      </c>
      <c r="D25" s="57" t="str" cm="1">
        <f t="array" ref="D25">IFERROR(
_xlfn.XLOOKUP(1,
(CODE_PRICE!$A$3:$A$1003=$A$8)*
(CODE_PRICE!$B$3:$B$1003=C25),
CODE_PRICE!$C$3:$C$1003
),
"")</f>
        <v>FM1540</v>
      </c>
      <c r="E25" s="57" t="s">
        <v>251</v>
      </c>
      <c r="F25" s="58" t="s">
        <v>11</v>
      </c>
      <c r="G25" s="59" t="s">
        <v>123</v>
      </c>
      <c r="H25" s="60" t="str">
        <f>IF(COUNTIFS($C$17:C25,C25,$I$17:I25,I25)=1,
SUMIFS($J$17:$J$49,$C$17:$C$49,C25,$I$17:$I$49,I25)&amp;I25&amp;" "&amp;C25,
"")</f>
        <v/>
      </c>
      <c r="I25" s="58" t="s">
        <v>22</v>
      </c>
      <c r="J25" s="61">
        <v>1</v>
      </c>
      <c r="K25" s="62" t="s">
        <v>259</v>
      </c>
      <c r="L25" s="63">
        <v>108</v>
      </c>
      <c r="M25" s="257">
        <v>81</v>
      </c>
      <c r="N25" s="64">
        <v>38</v>
      </c>
      <c r="O25" s="65"/>
      <c r="P25" s="65" t="str" cm="1">
        <f t="array" ref="P25">IF(F25="trim",IFERROR(INDEX('SIZE GUIDE'!$E:$E,MATCH(1,('SIZE GUIDE'!$A:$A=$F25)*('SIZE GUIDE'!$B:$B=$G25)*('SIZE GUIDE'!$C:$C=$I25),0)),""),"")</f>
        <v/>
      </c>
      <c r="Q25" s="65"/>
      <c r="R25" s="59">
        <v>107</v>
      </c>
      <c r="S25" s="59">
        <f t="shared" si="0"/>
        <v>81</v>
      </c>
      <c r="T25" s="258">
        <f t="shared" si="1"/>
        <v>37.5</v>
      </c>
      <c r="U25" s="154">
        <f t="shared" si="2"/>
        <v>2257.03125</v>
      </c>
      <c r="V25" s="99">
        <f>SUMIFS(CODE_PRICE!F:F,CODE_PRICE!B:B,'DICKSON-W25_02'!C25,CODE_PRICE!A:A,'DICKSON-W25_02'!$A$8)</f>
        <v>0.29070000000000001</v>
      </c>
      <c r="W25" s="155">
        <f t="shared" si="3"/>
        <v>656.11898437500008</v>
      </c>
      <c r="X25" s="244" t="str">
        <f>IF(OR(E25="",C25=""),"",IF(COUNTIFS($E$17:E25,E25,$C$17:C25,C25)=1,E25&amp;" - "&amp;C25&amp;" - "&amp;SUMIFS($J$17:$J$5002,$E$17:$E$5002,E25,$C$17:$C$5002,C25)&amp;I25&amp;" - "&amp;TEXT(SUMIFS($U$17:$U$5002,$E$17:$E$5002,E25,$C$17:$C$5002,C25),"0.00")&amp;" Bf",""))</f>
        <v/>
      </c>
      <c r="Y25" s="157" t="str">
        <f>IF(COUNTIF($C$17:C25,C25)=1,ROUND(SUMIF($C:$C,C25,$W:$W),2), "")</f>
        <v/>
      </c>
      <c r="Z25" s="17">
        <v>39.5</v>
      </c>
    </row>
    <row r="26" spans="1:26" s="17" customFormat="1" ht="36" customHeight="1" x14ac:dyDescent="0.2">
      <c r="A26" s="57">
        <f t="shared" si="4"/>
        <v>10</v>
      </c>
      <c r="B26" s="57" t="str" cm="1">
        <f t="array" ref="B26">_xlfn.LET(_xlpm.r,_xlfn.XLOOKUP(1,
(TRIM(CODE_PRICE!$A$4:$A$2003)=TRIM($C$4))*
(TRIM(CODE_PRICE!$B$4:$B$2003)=TRIM(C26)),
CODE_PRICE!$C$4:$C$2003,
""),
IF(OR(_xlpm.r="",_xlpm.r=0),"",_xlpm.r))</f>
        <v/>
      </c>
      <c r="C26" s="57" t="s">
        <v>96</v>
      </c>
      <c r="D26" s="57" t="str" cm="1">
        <f t="array" ref="D26">IFERROR(
_xlfn.XLOOKUP(1,
(CODE_PRICE!$A$3:$A$1003=$A$8)*
(CODE_PRICE!$B$3:$B$1003=C26),
CODE_PRICE!$C$3:$C$1003
),
"")</f>
        <v>FM1540</v>
      </c>
      <c r="E26" s="57" t="s">
        <v>251</v>
      </c>
      <c r="F26" s="58" t="s">
        <v>11</v>
      </c>
      <c r="G26" s="59" t="s">
        <v>123</v>
      </c>
      <c r="H26" s="60" t="str">
        <f>IF(COUNTIFS($C$17:C26,C26,$I$17:I26,I26)=1,
SUMIFS($J$17:$J$49,$C$17:$C$49,C26,$I$17:$I$49,I26)&amp;I26&amp;" "&amp;C26,
"")</f>
        <v/>
      </c>
      <c r="I26" s="58" t="s">
        <v>22</v>
      </c>
      <c r="J26" s="61">
        <v>1</v>
      </c>
      <c r="K26" s="62" t="s">
        <v>259</v>
      </c>
      <c r="L26" s="63">
        <v>108</v>
      </c>
      <c r="M26" s="257">
        <v>81</v>
      </c>
      <c r="N26" s="64">
        <v>38</v>
      </c>
      <c r="O26" s="65"/>
      <c r="P26" s="65" t="str" cm="1">
        <f t="array" ref="P26">IF(F26="trim",IFERROR(INDEX('SIZE GUIDE'!$E:$E,MATCH(1,('SIZE GUIDE'!$A:$A=$F26)*('SIZE GUIDE'!$B:$B=$G26)*('SIZE GUIDE'!$C:$C=$I26),0)),""),"")</f>
        <v/>
      </c>
      <c r="Q26" s="65"/>
      <c r="R26" s="59">
        <v>107</v>
      </c>
      <c r="S26" s="59">
        <f t="shared" si="0"/>
        <v>81</v>
      </c>
      <c r="T26" s="258">
        <f t="shared" si="1"/>
        <v>37.5</v>
      </c>
      <c r="U26" s="154">
        <f t="shared" si="2"/>
        <v>2257.03125</v>
      </c>
      <c r="V26" s="99">
        <f>SUMIFS(CODE_PRICE!F:F,CODE_PRICE!B:B,'DICKSON-W25_02'!C26,CODE_PRICE!A:A,'DICKSON-W25_02'!$A$8)</f>
        <v>0.29070000000000001</v>
      </c>
      <c r="W26" s="155">
        <f t="shared" si="3"/>
        <v>656.11898437500008</v>
      </c>
      <c r="X26" s="244" t="str">
        <f>IF(OR(E26="",C26=""),"",IF(COUNTIFS($E$17:E26,E26,$C$17:C26,C26)=1,E26&amp;" - "&amp;C26&amp;" - "&amp;SUMIFS($J$17:$J$5002,$E$17:$E$5002,E26,$C$17:$C$5002,C26)&amp;I26&amp;" - "&amp;TEXT(SUMIFS($U$17:$U$5002,$E$17:$E$5002,E26,$C$17:$C$5002,C26),"0.00")&amp;" Bf",""))</f>
        <v/>
      </c>
      <c r="Y26" s="157" t="str">
        <f>IF(COUNTIF($C$17:C26,C26)=1,ROUND(SUMIF($C:$C,C26,$W:$W),2), "")</f>
        <v/>
      </c>
      <c r="Z26" s="17">
        <v>39.5</v>
      </c>
    </row>
    <row r="27" spans="1:26" s="17" customFormat="1" ht="36" hidden="1" customHeight="1" x14ac:dyDescent="0.2">
      <c r="A27" s="57"/>
      <c r="B27" s="57"/>
      <c r="C27" s="101"/>
      <c r="D27" s="101" t="str" cm="1">
        <f t="array" ref="D27">IFERROR(
_xlfn.XLOOKUP(1,
(CODE_PRICE!$A$3:$A$1003=$A$8)*
(CODE_PRICE!$B$3:$B$1003=C27),
CODE_PRICE!$C$3:$C$1003
),
"")</f>
        <v/>
      </c>
      <c r="E27" s="58"/>
      <c r="F27" s="58"/>
      <c r="G27" s="59"/>
      <c r="H27" s="60"/>
      <c r="I27" s="58"/>
      <c r="J27" s="61"/>
      <c r="K27" s="62"/>
      <c r="L27" s="63"/>
      <c r="M27" s="64"/>
      <c r="N27" s="63"/>
      <c r="O27" s="65"/>
      <c r="P27" s="65"/>
      <c r="Q27" s="65"/>
      <c r="R27" s="66"/>
      <c r="S27" s="59"/>
      <c r="T27" s="59"/>
      <c r="U27" s="93"/>
      <c r="V27" s="94"/>
      <c r="W27" s="95"/>
      <c r="X27" s="59" t="str">
        <f>IF(OR(E27="",C27=""),"",IF(COUNTIFS($E$17:E27,E27,$C$17:C27,C27)=1,E27&amp;" - "&amp;C27&amp;" - "&amp;SUMIFS($J$17:$J$5002,$E$17:$E$5002,E27,$C$17:$C$5002,C27)&amp;I27&amp;" - "&amp;TEXT(SUMIFS($U$17:$U$5002,$E$17:$E$5002,E27,$C$17:$C$5002,C27),"0.00")&amp;" Bf",""))</f>
        <v/>
      </c>
      <c r="Y27" s="103" t="str">
        <f>IF(COUNTIF($C$17:C27,C27)=1,ROUND(SUMIF($C:$C,C27,$W:$W),2), "")</f>
        <v/>
      </c>
    </row>
    <row r="28" spans="1:26" s="17" customFormat="1" ht="36" hidden="1" customHeight="1" x14ac:dyDescent="0.2">
      <c r="A28" s="57"/>
      <c r="B28" s="57"/>
      <c r="C28" s="57"/>
      <c r="D28" s="57" t="str" cm="1">
        <f t="array" ref="D28">IFERROR(
_xlfn.XLOOKUP(1,
(CODE_PRICE!$A$3:$A$1003=$A$8)*
(CODE_PRICE!$B$3:$B$1003=C28),
CODE_PRICE!$C$3:$C$1003
),
"")</f>
        <v/>
      </c>
      <c r="E28" s="58"/>
      <c r="F28" s="58"/>
      <c r="G28" s="59"/>
      <c r="H28" s="60"/>
      <c r="I28" s="58"/>
      <c r="J28" s="61"/>
      <c r="K28" s="62"/>
      <c r="L28" s="63"/>
      <c r="M28" s="64"/>
      <c r="N28" s="63"/>
      <c r="O28" s="65"/>
      <c r="P28" s="65"/>
      <c r="Q28" s="65"/>
      <c r="R28" s="66"/>
      <c r="S28" s="59"/>
      <c r="T28" s="59"/>
      <c r="U28" s="93"/>
      <c r="V28" s="94"/>
      <c r="W28" s="95"/>
      <c r="X28" s="59" t="str">
        <f>IF(OR(E28="",C28=""),"",IF(COUNTIFS($E$17:E28,E28,$C$17:C28,C28)=1,E28&amp;" - "&amp;C28&amp;" - "&amp;SUMIFS($J$17:$J$5002,$E$17:$E$5002,E28,$C$17:$C$5002,C28)&amp;I28&amp;" - "&amp;TEXT(SUMIFS($U$17:$U$5002,$E$17:$E$5002,E28,$C$17:$C$5002,C28),"0.00")&amp;" Bf",""))</f>
        <v/>
      </c>
      <c r="Y28" s="103" t="str">
        <f>IF(COUNTIF($C$17:C28,C28)=1,ROUND(SUMIF($C:$C,C28,$W:$W),2), "")</f>
        <v/>
      </c>
    </row>
    <row r="29" spans="1:26" s="17" customFormat="1" ht="36" hidden="1" customHeight="1" x14ac:dyDescent="0.2">
      <c r="A29" s="57"/>
      <c r="B29" s="57"/>
      <c r="C29" s="57"/>
      <c r="D29" s="57" t="str" cm="1">
        <f t="array" ref="D29">IFERROR(
_xlfn.XLOOKUP(1,
(CODE_PRICE!$A$3:$A$1003=$A$8)*
(CODE_PRICE!$B$3:$B$1003=C29),
CODE_PRICE!$C$3:$C$1003
),
"")</f>
        <v/>
      </c>
      <c r="E29" s="58"/>
      <c r="F29" s="58"/>
      <c r="G29" s="59"/>
      <c r="H29" s="60"/>
      <c r="I29" s="58"/>
      <c r="J29" s="61"/>
      <c r="K29" s="62"/>
      <c r="L29" s="63"/>
      <c r="M29" s="64"/>
      <c r="N29" s="63"/>
      <c r="O29" s="65"/>
      <c r="P29" s="65"/>
      <c r="Q29" s="65"/>
      <c r="R29" s="66"/>
      <c r="S29" s="59"/>
      <c r="T29" s="59"/>
      <c r="U29" s="93"/>
      <c r="V29" s="99"/>
      <c r="W29" s="95"/>
      <c r="X29" s="59" t="str">
        <f>IF(OR(E29="",C29=""),"",IF(COUNTIFS($E$17:E29,E29,$C$17:C29,C29)=1,E29&amp;" - "&amp;C29&amp;" - "&amp;SUMIFS($J$17:$J$5002,$E$17:$E$5002,E29,$C$17:$C$5002,C29)&amp;I29&amp;" - "&amp;TEXT(SUMIFS($U$17:$U$5002,$E$17:$E$5002,E29,$C$17:$C$5002,C29),"0.00")&amp;" Bf",""))</f>
        <v/>
      </c>
      <c r="Y29" s="103" t="str">
        <f>IF(COUNTIF($C$17:C29,C29)=1,ROUND(SUMIF($C:$C,C29,$W:$W),2), "")</f>
        <v/>
      </c>
    </row>
    <row r="30" spans="1:26" s="17" customFormat="1" ht="36" hidden="1" customHeight="1" x14ac:dyDescent="0.2">
      <c r="A30" s="57"/>
      <c r="B30" s="57"/>
      <c r="C30" s="57"/>
      <c r="D30" s="57" t="str" cm="1">
        <f t="array" ref="D30">IFERROR(
_xlfn.XLOOKUP(1,
(CODE_PRICE!$A$3:$A$1003=$A$8)*
(CODE_PRICE!$B$3:$B$1003=C30),
CODE_PRICE!$C$3:$C$1003
),
"")</f>
        <v/>
      </c>
      <c r="E30" s="58"/>
      <c r="F30" s="58"/>
      <c r="G30" s="59"/>
      <c r="H30" s="60"/>
      <c r="I30" s="58"/>
      <c r="J30" s="61"/>
      <c r="K30" s="62"/>
      <c r="L30" s="63"/>
      <c r="M30" s="64"/>
      <c r="N30" s="63"/>
      <c r="O30" s="65"/>
      <c r="P30" s="65"/>
      <c r="Q30" s="65"/>
      <c r="R30" s="66"/>
      <c r="S30" s="59"/>
      <c r="T30" s="59"/>
      <c r="U30" s="93"/>
      <c r="V30" s="99"/>
      <c r="W30" s="95"/>
      <c r="X30" s="59" t="str">
        <f>IF(OR(E30="",C30=""),"",IF(COUNTIFS($E$17:E30,E30,$C$17:C30,C30)=1,E30&amp;" - "&amp;C30&amp;" - "&amp;SUMIFS($J$17:$J$5002,$E$17:$E$5002,E30,$C$17:$C$5002,C30)&amp;I30&amp;" - "&amp;TEXT(SUMIFS($U$17:$U$5002,$E$17:$E$5002,E30,$C$17:$C$5002,C30),"0.00")&amp;" Bf",""))</f>
        <v/>
      </c>
      <c r="Y30" s="103" t="str">
        <f>IF(COUNTIF($C$17:C30,C30)=1,ROUND(SUMIF($C:$C,C30,$W:$W),2), "")</f>
        <v/>
      </c>
    </row>
    <row r="31" spans="1:26" s="17" customFormat="1" ht="36" hidden="1" customHeight="1" x14ac:dyDescent="0.2">
      <c r="A31" s="57"/>
      <c r="B31" s="57"/>
      <c r="C31" s="57"/>
      <c r="D31" s="57" t="str" cm="1">
        <f t="array" ref="D31">IFERROR(
_xlfn.XLOOKUP(1,
(CODE_PRICE!$A$3:$A$1003=$A$8)*
(CODE_PRICE!$B$3:$B$1003=C31),
CODE_PRICE!$C$3:$C$1003
),
"")</f>
        <v/>
      </c>
      <c r="E31" s="58"/>
      <c r="F31" s="58"/>
      <c r="G31" s="59"/>
      <c r="H31" s="60"/>
      <c r="I31" s="58"/>
      <c r="J31" s="61"/>
      <c r="K31" s="62"/>
      <c r="L31" s="63"/>
      <c r="M31" s="64"/>
      <c r="N31" s="63"/>
      <c r="O31" s="65"/>
      <c r="P31" s="65"/>
      <c r="Q31" s="65"/>
      <c r="R31" s="66"/>
      <c r="S31" s="59"/>
      <c r="T31" s="59"/>
      <c r="U31" s="93"/>
      <c r="V31" s="99"/>
      <c r="W31" s="95"/>
      <c r="X31" s="59" t="str">
        <f>IF(OR(E31="",C31=""),"",IF(COUNTIFS($E$17:E31,E31,$C$17:C31,C31)=1,E31&amp;" - "&amp;C31&amp;" - "&amp;SUMIFS($J$17:$J$5002,$E$17:$E$5002,E31,$C$17:$C$5002,C31)&amp;I31&amp;" - "&amp;TEXT(SUMIFS($U$17:$U$5002,$E$17:$E$5002,E31,$C$17:$C$5002,C31),"0.00")&amp;" Bf",""))</f>
        <v/>
      </c>
      <c r="Y31" s="103" t="str">
        <f>IF(COUNTIF($C$17:C31,C31)=1,ROUND(SUMIF($C:$C,C31,$W:$W),2), "")</f>
        <v/>
      </c>
    </row>
    <row r="32" spans="1:26" s="17" customFormat="1" ht="36" hidden="1" customHeight="1" x14ac:dyDescent="0.2">
      <c r="A32" s="57"/>
      <c r="B32" s="57"/>
      <c r="C32" s="57"/>
      <c r="D32" s="57" t="str" cm="1">
        <f t="array" ref="D32">IFERROR(
_xlfn.XLOOKUP(1,
(CODE_PRICE!$A$3:$A$1003=$A$8)*
(CODE_PRICE!$B$3:$B$1003=C32),
CODE_PRICE!$C$3:$C$1003
),
"")</f>
        <v/>
      </c>
      <c r="E32" s="58"/>
      <c r="F32" s="58"/>
      <c r="G32" s="59"/>
      <c r="H32" s="60"/>
      <c r="I32" s="58"/>
      <c r="J32" s="61"/>
      <c r="K32" s="62"/>
      <c r="L32" s="63"/>
      <c r="M32" s="64"/>
      <c r="N32" s="63"/>
      <c r="O32" s="65"/>
      <c r="P32" s="65"/>
      <c r="Q32" s="65"/>
      <c r="R32" s="66"/>
      <c r="S32" s="59"/>
      <c r="T32" s="59"/>
      <c r="U32" s="93"/>
      <c r="V32" s="99"/>
      <c r="W32" s="95"/>
      <c r="X32" s="59" t="str">
        <f>IF(OR(E32="",C32=""),"",IF(COUNTIFS($E$17:E32,E32,$C$17:C32,C32)=1,E32&amp;" - "&amp;C32&amp;" - "&amp;SUMIFS($J$17:$J$5002,$E$17:$E$5002,E32,$C$17:$C$5002,C32)&amp;I32&amp;" - "&amp;TEXT(SUMIFS($U$17:$U$5002,$E$17:$E$5002,E32,$C$17:$C$5002,C32),"0.00")&amp;" Bf",""))</f>
        <v/>
      </c>
      <c r="Y32" s="103" t="str">
        <f>IF(COUNTIF($C$17:C32,C32)=1,ROUND(SUMIF($C:$C,C32,$W:$W),2), "")</f>
        <v/>
      </c>
    </row>
    <row r="33" spans="1:25" s="17" customFormat="1" ht="36" hidden="1" customHeight="1" x14ac:dyDescent="0.2">
      <c r="A33" s="57"/>
      <c r="B33" s="57"/>
      <c r="C33" s="57"/>
      <c r="D33" s="57" t="str" cm="1">
        <f t="array" ref="D33">IFERROR(
_xlfn.XLOOKUP(1,
(CODE_PRICE!$A$3:$A$1003=$A$8)*
(CODE_PRICE!$B$3:$B$1003=C33),
CODE_PRICE!$C$3:$C$1003
),
"")</f>
        <v/>
      </c>
      <c r="E33" s="58"/>
      <c r="F33" s="58"/>
      <c r="G33" s="59"/>
      <c r="H33" s="60"/>
      <c r="I33" s="58"/>
      <c r="J33" s="61"/>
      <c r="K33" s="62"/>
      <c r="L33" s="63"/>
      <c r="M33" s="64"/>
      <c r="N33" s="63"/>
      <c r="O33" s="65"/>
      <c r="P33" s="65"/>
      <c r="Q33" s="65"/>
      <c r="R33" s="66"/>
      <c r="S33" s="59"/>
      <c r="T33" s="59"/>
      <c r="U33" s="93"/>
      <c r="V33" s="99"/>
      <c r="W33" s="95"/>
      <c r="X33" s="59" t="str">
        <f>IF(OR(E33="",C33=""),"",IF(COUNTIFS($E$17:E33,E33,$C$17:C33,C33)=1,E33&amp;" - "&amp;C33&amp;" - "&amp;SUMIFS($J$17:$J$5002,$E$17:$E$5002,E33,$C$17:$C$5002,C33)&amp;I33&amp;" - "&amp;TEXT(SUMIFS($U$17:$U$5002,$E$17:$E$5002,E33,$C$17:$C$5002,C33),"0.00")&amp;" Bf",""))</f>
        <v/>
      </c>
      <c r="Y33" s="103" t="str">
        <f>IF(COUNTIF($C$17:C33,C33)=1,ROUND(SUMIF($C:$C,C33,$W:$W),2), "")</f>
        <v/>
      </c>
    </row>
    <row r="34" spans="1:25" s="17" customFormat="1" ht="36" hidden="1" customHeight="1" x14ac:dyDescent="0.2">
      <c r="A34" s="57"/>
      <c r="B34" s="57"/>
      <c r="C34" s="57"/>
      <c r="D34" s="57" t="str" cm="1">
        <f t="array" ref="D34">IFERROR(
_xlfn.XLOOKUP(1,
(CODE_PRICE!$A$3:$A$1003=$A$8)*
(CODE_PRICE!$B$3:$B$1003=C34),
CODE_PRICE!$C$3:$C$1003
),
"")</f>
        <v/>
      </c>
      <c r="E34" s="58"/>
      <c r="F34" s="58"/>
      <c r="G34" s="59"/>
      <c r="H34" s="60"/>
      <c r="I34" s="58"/>
      <c r="J34" s="61"/>
      <c r="K34" s="62"/>
      <c r="L34" s="63"/>
      <c r="M34" s="64"/>
      <c r="N34" s="63"/>
      <c r="O34" s="65"/>
      <c r="P34" s="65"/>
      <c r="Q34" s="65"/>
      <c r="R34" s="66"/>
      <c r="S34" s="59"/>
      <c r="T34" s="59"/>
      <c r="U34" s="93"/>
      <c r="V34" s="99"/>
      <c r="W34" s="95"/>
      <c r="X34" s="59" t="str">
        <f>IF(OR(E34="",C34=""),"",IF(COUNTIFS($E$17:E34,E34,$C$17:C34,C34)=1,E34&amp;" - "&amp;C34&amp;" - "&amp;SUMIFS($J$17:$J$5002,$E$17:$E$5002,E34,$C$17:$C$5002,C34)&amp;I34&amp;" - "&amp;TEXT(SUMIFS($U$17:$U$5002,$E$17:$E$5002,E34,$C$17:$C$5002,C34),"0.00")&amp;" Bf",""))</f>
        <v/>
      </c>
      <c r="Y34" s="103" t="str">
        <f>IF(COUNTIF($C$17:C34,C34)=1,ROUND(SUMIF($C:$C,C34,$W:$W),2), "")</f>
        <v/>
      </c>
    </row>
    <row r="35" spans="1:25" s="17" customFormat="1" ht="36" hidden="1" customHeight="1" x14ac:dyDescent="0.2">
      <c r="A35" s="57"/>
      <c r="B35" s="57"/>
      <c r="C35" s="57"/>
      <c r="D35" s="57" t="str" cm="1">
        <f t="array" ref="D35">IFERROR(
_xlfn.XLOOKUP(1,
(CODE_PRICE!$A$3:$A$1003=$A$8)*
(CODE_PRICE!$B$3:$B$1003=C35),
CODE_PRICE!$C$3:$C$1003
),
"")</f>
        <v/>
      </c>
      <c r="E35" s="58"/>
      <c r="F35" s="58"/>
      <c r="G35" s="59"/>
      <c r="H35" s="60"/>
      <c r="I35" s="58"/>
      <c r="J35" s="61"/>
      <c r="K35" s="62"/>
      <c r="L35" s="63"/>
      <c r="M35" s="64"/>
      <c r="N35" s="63"/>
      <c r="O35" s="65"/>
      <c r="P35" s="65"/>
      <c r="Q35" s="65"/>
      <c r="R35" s="66"/>
      <c r="S35" s="59"/>
      <c r="T35" s="59"/>
      <c r="U35" s="93"/>
      <c r="V35" s="99"/>
      <c r="W35" s="95"/>
      <c r="X35" s="59" t="str">
        <f>IF(OR(E35="",C35=""),"",IF(COUNTIFS($E$17:E35,E35,$C$17:C35,C35)=1,E35&amp;" - "&amp;C35&amp;" - "&amp;SUMIFS($J$17:$J$5002,$E$17:$E$5002,E35,$C$17:$C$5002,C35)&amp;I35&amp;" - "&amp;TEXT(SUMIFS($U$17:$U$5002,$E$17:$E$5002,E35,$C$17:$C$5002,C35),"0.00")&amp;" Bf",""))</f>
        <v/>
      </c>
      <c r="Y35" s="103" t="str">
        <f>IF(COUNTIF($C$17:C35,C35)=1,ROUND(SUMIF($C:$C,C35,$W:$W),2), "")</f>
        <v/>
      </c>
    </row>
    <row r="36" spans="1:25" s="17" customFormat="1" ht="36" hidden="1" customHeight="1" x14ac:dyDescent="0.2">
      <c r="A36" s="57"/>
      <c r="B36" s="57"/>
      <c r="C36" s="57"/>
      <c r="D36" s="57" t="str" cm="1">
        <f t="array" ref="D36">IFERROR(
_xlfn.XLOOKUP(1,
(CODE_PRICE!$A$3:$A$1003=$A$8)*
(CODE_PRICE!$B$3:$B$1003=C36),
CODE_PRICE!$C$3:$C$1003
),
"")</f>
        <v/>
      </c>
      <c r="E36" s="58"/>
      <c r="F36" s="58"/>
      <c r="G36" s="59"/>
      <c r="H36" s="60"/>
      <c r="I36" s="58"/>
      <c r="J36" s="61"/>
      <c r="K36" s="62"/>
      <c r="L36" s="63"/>
      <c r="M36" s="64"/>
      <c r="N36" s="63"/>
      <c r="O36" s="65"/>
      <c r="P36" s="65"/>
      <c r="Q36" s="65"/>
      <c r="R36" s="66"/>
      <c r="S36" s="59"/>
      <c r="T36" s="59"/>
      <c r="U36" s="93"/>
      <c r="V36" s="99"/>
      <c r="W36" s="95"/>
      <c r="X36" s="59" t="str">
        <f>IF(OR(E36="",C36=""),"",IF(COUNTIFS($E$17:E36,E36,$C$17:C36,C36)=1,E36&amp;" - "&amp;C36&amp;" - "&amp;SUMIFS($J$17:$J$5002,$E$17:$E$5002,E36,$C$17:$C$5002,C36)&amp;I36&amp;" - "&amp;TEXT(SUMIFS($U$17:$U$5002,$E$17:$E$5002,E36,$C$17:$C$5002,C36),"0.00")&amp;" Bf",""))</f>
        <v/>
      </c>
      <c r="Y36" s="103" t="str">
        <f>IF(COUNTIF($C$17:C36,C36)=1,ROUND(SUMIF($C:$C,C36,$W:$W),2), "")</f>
        <v/>
      </c>
    </row>
    <row r="37" spans="1:25" s="17" customFormat="1" ht="41.25" hidden="1" customHeight="1" x14ac:dyDescent="0.2">
      <c r="A37" s="57"/>
      <c r="B37" s="57"/>
      <c r="C37" s="57"/>
      <c r="D37" s="57" t="str" cm="1">
        <f t="array" ref="D37">IFERROR(
_xlfn.XLOOKUP(1,
(CODE_PRICE!$A$3:$A$1003=$A$8)*
(CODE_PRICE!$B$3:$B$1003=C37),
CODE_PRICE!$C$3:$C$1003
),
"")</f>
        <v/>
      </c>
      <c r="E37" s="58"/>
      <c r="F37" s="58"/>
      <c r="G37" s="59"/>
      <c r="H37" s="60"/>
      <c r="I37" s="58"/>
      <c r="J37" s="61"/>
      <c r="K37" s="62"/>
      <c r="L37" s="63"/>
      <c r="M37" s="64"/>
      <c r="N37" s="63"/>
      <c r="O37" s="65"/>
      <c r="P37" s="65"/>
      <c r="Q37" s="65"/>
      <c r="R37" s="66"/>
      <c r="S37" s="59"/>
      <c r="T37" s="59"/>
      <c r="U37" s="93"/>
      <c r="V37" s="94"/>
      <c r="W37" s="95"/>
      <c r="X37" s="59" t="str">
        <f>IF(OR(E37="",C37=""),"",IF(COUNTIFS($E$17:E37,E37,$C$17:C37,C37)=1,E37&amp;" - "&amp;C37&amp;" - "&amp;SUMIFS($J$17:$J$5002,$E$17:$E$5002,E37,$C$17:$C$5002,C37)&amp;I37&amp;" - "&amp;TEXT(SUMIFS($U$17:$U$5002,$E$17:$E$5002,E37,$C$17:$C$5002,C37),"0.00")&amp;" Bf",""))</f>
        <v/>
      </c>
      <c r="Y37" s="24" t="str">
        <f>IF(COUNTIF($C$17:C37,C37)=1,ROUND(SUMIF($C:$C,C37,$W:$W),2), "")</f>
        <v/>
      </c>
    </row>
    <row r="38" spans="1:25" s="17" customFormat="1" ht="41.25" hidden="1" customHeight="1" x14ac:dyDescent="0.2">
      <c r="A38" s="57"/>
      <c r="B38" s="57"/>
      <c r="C38" s="57"/>
      <c r="D38" s="57" t="str" cm="1">
        <f t="array" ref="D38">IFERROR(
_xlfn.XLOOKUP(1,
(CODE_PRICE!$A$3:$A$1003=$A$8)*
(CODE_PRICE!$B$3:$B$1003=C38),
CODE_PRICE!$C$3:$C$1003
),
"")</f>
        <v/>
      </c>
      <c r="E38" s="58"/>
      <c r="F38" s="58"/>
      <c r="G38" s="59"/>
      <c r="H38" s="60"/>
      <c r="I38" s="58"/>
      <c r="J38" s="61"/>
      <c r="K38" s="62"/>
      <c r="L38" s="63"/>
      <c r="M38" s="64"/>
      <c r="N38" s="63"/>
      <c r="O38" s="65"/>
      <c r="P38" s="65"/>
      <c r="Q38" s="65"/>
      <c r="R38" s="66"/>
      <c r="S38" s="59"/>
      <c r="T38" s="59"/>
      <c r="U38" s="93"/>
      <c r="V38" s="94"/>
      <c r="W38" s="95"/>
      <c r="X38" s="59" t="str">
        <f>IF(OR(E38="",C38=""),"",IF(COUNTIFS($E$17:E38,E38,$C$17:C38,C38)=1,E38&amp;" - "&amp;C38&amp;" - "&amp;SUMIFS($J$17:$J$5002,$E$17:$E$5002,E38,$C$17:$C$5002,C38)&amp;I38&amp;" - "&amp;TEXT(SUMIFS($U$17:$U$5002,$E$17:$E$5002,E38,$C$17:$C$5002,C38),"0.00")&amp;" Bf",""))</f>
        <v/>
      </c>
      <c r="Y38" s="24" t="str">
        <f>IF(COUNTIF($C$17:C38,C38)=1,ROUND(SUMIF($C:$C,C38,$W:$W),2), "")</f>
        <v/>
      </c>
    </row>
    <row r="39" spans="1:25" s="17" customFormat="1" ht="41.25" hidden="1" customHeight="1" x14ac:dyDescent="0.2">
      <c r="A39" s="57"/>
      <c r="B39" s="57"/>
      <c r="C39" s="57"/>
      <c r="D39" s="57" t="str" cm="1">
        <f t="array" ref="D39">IFERROR(
_xlfn.XLOOKUP(1,
(CODE_PRICE!$A$3:$A$1003=$A$8)*
(CODE_PRICE!$B$3:$B$1003=C39),
CODE_PRICE!$C$3:$C$1003
),
"")</f>
        <v/>
      </c>
      <c r="E39" s="58"/>
      <c r="F39" s="58"/>
      <c r="G39" s="59"/>
      <c r="H39" s="60"/>
      <c r="I39" s="58"/>
      <c r="J39" s="61"/>
      <c r="K39" s="62"/>
      <c r="L39" s="63"/>
      <c r="M39" s="64"/>
      <c r="N39" s="63"/>
      <c r="O39" s="65"/>
      <c r="P39" s="65"/>
      <c r="Q39" s="65"/>
      <c r="R39" s="66"/>
      <c r="S39" s="59"/>
      <c r="T39" s="59"/>
      <c r="U39" s="93"/>
      <c r="V39" s="94"/>
      <c r="W39" s="95"/>
      <c r="X39" s="59" t="str">
        <f>IF(OR(E39="",C39=""),"",IF(COUNTIFS($E$17:E39,E39,$C$17:C39,C39)=1,E39&amp;" - "&amp;C39&amp;" - "&amp;SUMIFS($J$17:$J$5002,$E$17:$E$5002,E39,$C$17:$C$5002,C39)&amp;I39&amp;" - "&amp;TEXT(SUMIFS($U$17:$U$5002,$E$17:$E$5002,E39,$C$17:$C$5002,C39),"0.00")&amp;" Bf",""))</f>
        <v/>
      </c>
      <c r="Y39" s="24" t="str">
        <f>IF(COUNTIF($C$17:C39,C39)=1,ROUND(SUMIF($C:$C,C39,$W:$W),2), "")</f>
        <v/>
      </c>
    </row>
    <row r="40" spans="1:25" s="17" customFormat="1" ht="41.25" hidden="1" customHeight="1" x14ac:dyDescent="0.2">
      <c r="A40" s="57"/>
      <c r="B40" s="57"/>
      <c r="C40" s="57"/>
      <c r="D40" s="57" t="str" cm="1">
        <f t="array" ref="D40">IFERROR(
_xlfn.XLOOKUP(1,
(CODE_PRICE!$A$3:$A$1003=$A$8)*
(CODE_PRICE!$B$3:$B$1003=C40),
CODE_PRICE!$C$3:$C$1003
),
"")</f>
        <v/>
      </c>
      <c r="E40" s="58"/>
      <c r="F40" s="58"/>
      <c r="G40" s="59"/>
      <c r="H40" s="60"/>
      <c r="I40" s="58"/>
      <c r="J40" s="61"/>
      <c r="K40" s="62"/>
      <c r="L40" s="63"/>
      <c r="M40" s="64"/>
      <c r="N40" s="63"/>
      <c r="O40" s="65"/>
      <c r="P40" s="65"/>
      <c r="Q40" s="65"/>
      <c r="R40" s="66"/>
      <c r="S40" s="59"/>
      <c r="T40" s="59"/>
      <c r="U40" s="93"/>
      <c r="V40" s="94"/>
      <c r="W40" s="95"/>
      <c r="X40" s="59" t="str">
        <f>IF(OR(E40="",C40=""),"",IF(COUNTIFS($E$17:E40,E40,$C$17:C40,C40)=1,E40&amp;" - "&amp;C40&amp;" - "&amp;SUMIFS($J$17:$J$5002,$E$17:$E$5002,E40,$C$17:$C$5002,C40)&amp;I40&amp;" - "&amp;TEXT(SUMIFS($U$17:$U$5002,$E$17:$E$5002,E40,$C$17:$C$5002,C40),"0.00")&amp;" Bf",""))</f>
        <v/>
      </c>
      <c r="Y40" s="24" t="str">
        <f>IF(COUNTIF($C$17:C40,C40)=1,ROUND(SUMIF($C:$C,C40,$W:$W),2), "")</f>
        <v/>
      </c>
    </row>
    <row r="41" spans="1:25" s="17" customFormat="1" ht="41.25" hidden="1" customHeight="1" x14ac:dyDescent="0.2">
      <c r="A41" s="57"/>
      <c r="B41" s="57"/>
      <c r="C41" s="57"/>
      <c r="D41" s="57" t="str" cm="1">
        <f t="array" ref="D41">IFERROR(
_xlfn.XLOOKUP(1,
(CODE_PRICE!$A$3:$A$1003=$A$8)*
(CODE_PRICE!$B$3:$B$1003=C41),
CODE_PRICE!$C$3:$C$1003
),
"")</f>
        <v/>
      </c>
      <c r="E41" s="58"/>
      <c r="F41" s="58"/>
      <c r="G41" s="59"/>
      <c r="H41" s="60"/>
      <c r="I41" s="58"/>
      <c r="J41" s="61"/>
      <c r="K41" s="62"/>
      <c r="L41" s="63"/>
      <c r="M41" s="64"/>
      <c r="N41" s="63"/>
      <c r="O41" s="65"/>
      <c r="P41" s="65"/>
      <c r="Q41" s="65"/>
      <c r="R41" s="66"/>
      <c r="S41" s="59"/>
      <c r="T41" s="59"/>
      <c r="U41" s="93"/>
      <c r="V41" s="94"/>
      <c r="W41" s="95"/>
      <c r="X41" s="59" t="str">
        <f>IF(OR(E41="",C41=""),"",IF(COUNTIFS($E$17:E41,E41,$C$17:C41,C41)=1,E41&amp;" - "&amp;C41&amp;" - "&amp;SUMIFS($J$17:$J$5002,$E$17:$E$5002,E41,$C$17:$C$5002,C41)&amp;I41&amp;" - "&amp;TEXT(SUMIFS($U$17:$U$5002,$E$17:$E$5002,E41,$C$17:$C$5002,C41),"0.00")&amp;" Bf",""))</f>
        <v/>
      </c>
      <c r="Y41" s="24" t="str">
        <f>IF(COUNTIF($C$17:C41,C41)=1,ROUND(SUMIF($C:$C,C41,$W:$W),2), "")</f>
        <v/>
      </c>
    </row>
    <row r="42" spans="1:25" s="17" customFormat="1" ht="41.25" hidden="1" customHeight="1" x14ac:dyDescent="0.2">
      <c r="A42" s="57"/>
      <c r="B42" s="57"/>
      <c r="C42" s="57"/>
      <c r="D42" s="57" t="str" cm="1">
        <f t="array" ref="D42">IFERROR(
_xlfn.XLOOKUP(1,
(CODE_PRICE!$A$3:$A$1003=$A$8)*
(CODE_PRICE!$B$3:$B$1003=C42),
CODE_PRICE!$C$3:$C$1003
),
"")</f>
        <v/>
      </c>
      <c r="E42" s="58"/>
      <c r="F42" s="58"/>
      <c r="G42" s="59"/>
      <c r="H42" s="60"/>
      <c r="I42" s="58"/>
      <c r="J42" s="61"/>
      <c r="K42" s="62"/>
      <c r="L42" s="63" t="str" cm="1">
        <f t="array" ref="L42">IF(F42="untrim",_xlfn.XLOOKUP(1,(TRIM('SIZE GUIDE'!$A$3:$A$2015)=TRIM(F42))*(TRIM('SIZE GUIDE'!$B$3:$B$2015)=TRIM(G42))*(TRIM('SIZE GUIDE'!$C$3:$C$2015)=TRIM(I42)),'SIZE GUIDE'!$D$3:$D$2015),"")</f>
        <v/>
      </c>
      <c r="M42" s="64"/>
      <c r="N42" s="63"/>
      <c r="O42" s="65"/>
      <c r="P42" s="65" t="str" cm="1">
        <f t="array" ref="P42">IF(F42="trim",IFERROR(INDEX('SIZE GUIDE'!$E:$E,MATCH(1,('SIZE GUIDE'!$A:$A=$F42)*('SIZE GUIDE'!$B:$B=$G42)*('SIZE GUIDE'!$C:$C=$I42),0)),""),"")</f>
        <v/>
      </c>
      <c r="Q42" s="65"/>
      <c r="R42" s="66">
        <f t="shared" ref="R42:R49" si="5">IF(F42="untrim",L42-1.5,O42)</f>
        <v>0</v>
      </c>
      <c r="S42" s="59"/>
      <c r="T42" s="59"/>
      <c r="U42" s="93"/>
      <c r="V42" s="94"/>
      <c r="W42" s="95"/>
      <c r="X42" s="59" t="str">
        <f>IF(OR(E42="",C42=""),"",IF(COUNTIFS($E$17:E42,E42,$C$17:C42,C42)=1,E42&amp;" - "&amp;C42&amp;" - "&amp;SUMIFS($J$17:$J$5002,$E$17:$E$5002,E42,$C$17:$C$5002,C42)&amp;I42&amp;" - "&amp;TEXT(SUMIFS($U$17:$U$5002,$E$17:$E$5002,E42,$C$17:$C$5002,C42),"0.00")&amp;" Bf",""))</f>
        <v/>
      </c>
      <c r="Y42" s="24" t="str">
        <f>IF(COUNTIF($C$17:C42,C42)=1,ROUND(SUMIF($C:$C,C42,$W:$W),2), "")</f>
        <v/>
      </c>
    </row>
    <row r="43" spans="1:25" s="17" customFormat="1" ht="41.25" hidden="1" customHeight="1" x14ac:dyDescent="0.2">
      <c r="A43" s="57"/>
      <c r="B43" s="57"/>
      <c r="C43" s="57"/>
      <c r="D43" s="57" t="str" cm="1">
        <f t="array" ref="D43">IFERROR(
_xlfn.XLOOKUP(1,
(CODE_PRICE!$A$3:$A$1003=$A$8)*
(CODE_PRICE!$B$3:$B$1003=C43),
CODE_PRICE!$C$3:$C$1003
),
"")</f>
        <v/>
      </c>
      <c r="E43" s="58"/>
      <c r="F43" s="58"/>
      <c r="G43" s="59"/>
      <c r="H43" s="60"/>
      <c r="I43" s="58"/>
      <c r="J43" s="61"/>
      <c r="K43" s="62"/>
      <c r="L43" s="63" t="str" cm="1">
        <f t="array" ref="L43">IF(F43="untrim",_xlfn.XLOOKUP(1,(TRIM('SIZE GUIDE'!$A$3:$A$2015)=TRIM(F43))*(TRIM('SIZE GUIDE'!$B$3:$B$2015)=TRIM(G43))*(TRIM('SIZE GUIDE'!$C$3:$C$2015)=TRIM(I43)),'SIZE GUIDE'!$D$3:$D$2015),"")</f>
        <v/>
      </c>
      <c r="M43" s="64"/>
      <c r="N43" s="63"/>
      <c r="O43" s="65"/>
      <c r="P43" s="65" t="str" cm="1">
        <f t="array" ref="P43">IF(F43="trim",IFERROR(INDEX('SIZE GUIDE'!$E:$E,MATCH(1,('SIZE GUIDE'!$A:$A=$F43)*('SIZE GUIDE'!$B:$B=$G43)*('SIZE GUIDE'!$C:$C=$I43),0)),""),"")</f>
        <v/>
      </c>
      <c r="Q43" s="65"/>
      <c r="R43" s="66">
        <f t="shared" si="5"/>
        <v>0</v>
      </c>
      <c r="S43" s="59"/>
      <c r="T43" s="59"/>
      <c r="U43" s="93"/>
      <c r="V43" s="94"/>
      <c r="W43" s="95"/>
      <c r="X43" s="59" t="str">
        <f>IF(OR(E43="",C43=""),"",IF(COUNTIFS($E$17:E43,E43,$C$17:C43,C43)=1,E43&amp;" - "&amp;C43&amp;" - "&amp;SUMIFS($J$17:$J$5002,$E$17:$E$5002,E43,$C$17:$C$5002,C43)&amp;I43&amp;" - "&amp;TEXT(SUMIFS($U$17:$U$5002,$E$17:$E$5002,E43,$C$17:$C$5002,C43),"0.00")&amp;" Bf",""))</f>
        <v/>
      </c>
      <c r="Y43" s="24" t="str">
        <f>IF(COUNTIF($C$17:C43,C43)=1,ROUND(SUMIF($C:$C,C43,$W:$W),2), "")</f>
        <v/>
      </c>
    </row>
    <row r="44" spans="1:25" s="17" customFormat="1" ht="41.25" hidden="1" customHeight="1" x14ac:dyDescent="0.2">
      <c r="A44" s="57"/>
      <c r="B44" s="57"/>
      <c r="C44" s="57"/>
      <c r="D44" s="57" t="str" cm="1">
        <f t="array" ref="D44">IFERROR(
_xlfn.XLOOKUP(1,
(CODE_PRICE!$A$3:$A$1003=$A$8)*
(CODE_PRICE!$B$3:$B$1003=C44),
CODE_PRICE!$C$3:$C$1003
),
"")</f>
        <v/>
      </c>
      <c r="E44" s="58"/>
      <c r="F44" s="58"/>
      <c r="G44" s="59"/>
      <c r="H44" s="60"/>
      <c r="I44" s="58"/>
      <c r="J44" s="61"/>
      <c r="K44" s="62"/>
      <c r="L44" s="63" t="str" cm="1">
        <f t="array" ref="L44">IF(F44="untrim",_xlfn.XLOOKUP(1,(TRIM('SIZE GUIDE'!$A$3:$A$2015)=TRIM(F44))*(TRIM('SIZE GUIDE'!$B$3:$B$2015)=TRIM(G44))*(TRIM('SIZE GUIDE'!$C$3:$C$2015)=TRIM(I44)),'SIZE GUIDE'!$D$3:$D$2015),"")</f>
        <v/>
      </c>
      <c r="M44" s="64"/>
      <c r="N44" s="63"/>
      <c r="O44" s="65"/>
      <c r="P44" s="65" t="str" cm="1">
        <f t="array" ref="P44">IF(F44="trim",IFERROR(INDEX('SIZE GUIDE'!$E:$E,MATCH(1,('SIZE GUIDE'!$A:$A=$F44)*('SIZE GUIDE'!$B:$B=$G44)*('SIZE GUIDE'!$C:$C=$I44),0)),""),"")</f>
        <v/>
      </c>
      <c r="Q44" s="65"/>
      <c r="R44" s="66">
        <f t="shared" si="5"/>
        <v>0</v>
      </c>
      <c r="S44" s="59"/>
      <c r="T44" s="59"/>
      <c r="U44" s="93"/>
      <c r="V44" s="94"/>
      <c r="W44" s="95"/>
      <c r="X44" s="59" t="str">
        <f>IF(OR(E44="",C44=""),"",IF(COUNTIFS($E$17:E44,E44,$C$17:C44,C44)=1,E44&amp;" - "&amp;C44&amp;" - "&amp;SUMIFS($J$17:$J$5002,$E$17:$E$5002,E44,$C$17:$C$5002,C44)&amp;I44&amp;" - "&amp;TEXT(SUMIFS($U$17:$U$5002,$E$17:$E$5002,E44,$C$17:$C$5002,C44),"0.00")&amp;" Bf",""))</f>
        <v/>
      </c>
      <c r="Y44" s="24" t="str">
        <f>IF(COUNTIF($C$17:C44,C44)=1,ROUND(SUMIF($C:$C,C44,$W:$W),2), "")</f>
        <v/>
      </c>
    </row>
    <row r="45" spans="1:25" s="17" customFormat="1" ht="41.25" hidden="1" customHeight="1" x14ac:dyDescent="0.2">
      <c r="A45" s="57"/>
      <c r="B45" s="57"/>
      <c r="C45" s="57"/>
      <c r="D45" s="57" t="str" cm="1">
        <f t="array" ref="D45">IFERROR(
_xlfn.XLOOKUP(1,
(CODE_PRICE!$A$3:$A$1003=$A$8)*
(CODE_PRICE!$B$3:$B$1003=C45),
CODE_PRICE!$C$3:$C$1003
),
"")</f>
        <v/>
      </c>
      <c r="E45" s="58"/>
      <c r="F45" s="58"/>
      <c r="G45" s="59"/>
      <c r="H45" s="60"/>
      <c r="I45" s="58"/>
      <c r="J45" s="61"/>
      <c r="K45" s="62"/>
      <c r="L45" s="63" t="str" cm="1">
        <f t="array" ref="L45">IF(F45="untrim",_xlfn.XLOOKUP(1,(TRIM('SIZE GUIDE'!$A$3:$A$2015)=TRIM(F45))*(TRIM('SIZE GUIDE'!$B$3:$B$2015)=TRIM(G45))*(TRIM('SIZE GUIDE'!$C$3:$C$2015)=TRIM(I45)),'SIZE GUIDE'!$D$3:$D$2015),"")</f>
        <v/>
      </c>
      <c r="M45" s="64"/>
      <c r="N45" s="63"/>
      <c r="O45" s="65"/>
      <c r="P45" s="65" t="str" cm="1">
        <f t="array" ref="P45">IF(F45="trim",IFERROR(INDEX('SIZE GUIDE'!$E:$E,MATCH(1,('SIZE GUIDE'!$A:$A=$F45)*('SIZE GUIDE'!$B:$B=$G45)*('SIZE GUIDE'!$C:$C=$I45),0)),""),"")</f>
        <v/>
      </c>
      <c r="Q45" s="65"/>
      <c r="R45" s="66">
        <f t="shared" si="5"/>
        <v>0</v>
      </c>
      <c r="S45" s="59"/>
      <c r="T45" s="59"/>
      <c r="U45" s="93"/>
      <c r="V45" s="94"/>
      <c r="W45" s="95"/>
      <c r="X45" s="59" t="str">
        <f>IF(OR(E45="",C45=""),"",IF(COUNTIFS($E$17:E45,E45,$C$17:C45,C45)=1,E45&amp;" - "&amp;C45&amp;" - "&amp;SUMIFS($J$17:$J$5002,$E$17:$E$5002,E45,$C$17:$C$5002,C45)&amp;I45&amp;" - "&amp;TEXT(SUMIFS($U$17:$U$5002,$E$17:$E$5002,E45,$C$17:$C$5002,C45),"0.00")&amp;" Bf",""))</f>
        <v/>
      </c>
      <c r="Y45" s="24" t="str">
        <f>IF(COUNTIF($C$17:C45,C45)=1,ROUND(SUMIF($C:$C,C45,$W:$W),2), "")</f>
        <v/>
      </c>
    </row>
    <row r="46" spans="1:25" s="17" customFormat="1" ht="41.25" hidden="1" customHeight="1" x14ac:dyDescent="0.2">
      <c r="A46" s="57"/>
      <c r="B46" s="57"/>
      <c r="C46" s="57"/>
      <c r="D46" s="57" t="str" cm="1">
        <f t="array" ref="D46">IFERROR(
_xlfn.XLOOKUP(1,
(CODE_PRICE!$A$3:$A$1003=$A$8)*
(CODE_PRICE!$B$3:$B$1003=C46),
CODE_PRICE!$C$3:$C$1003
),
"")</f>
        <v/>
      </c>
      <c r="E46" s="58"/>
      <c r="F46" s="58"/>
      <c r="G46" s="59"/>
      <c r="H46" s="60"/>
      <c r="I46" s="58"/>
      <c r="J46" s="61"/>
      <c r="K46" s="62"/>
      <c r="L46" s="63" t="str" cm="1">
        <f t="array" ref="L46">IF(F46="untrim",_xlfn.XLOOKUP(1,(TRIM('SIZE GUIDE'!$A$3:$A$2015)=TRIM(F46))*(TRIM('SIZE GUIDE'!$B$3:$B$2015)=TRIM(G46))*(TRIM('SIZE GUIDE'!$C$3:$C$2015)=TRIM(I46)),'SIZE GUIDE'!$D$3:$D$2015),"")</f>
        <v/>
      </c>
      <c r="M46" s="64"/>
      <c r="N46" s="63"/>
      <c r="O46" s="65"/>
      <c r="P46" s="65" t="str" cm="1">
        <f t="array" ref="P46">IF(F46="trim",IFERROR(INDEX('SIZE GUIDE'!$E:$E,MATCH(1,('SIZE GUIDE'!$A:$A=$F46)*('SIZE GUIDE'!$B:$B=$G46)*('SIZE GUIDE'!$C:$C=$I46),0)),""),"")</f>
        <v/>
      </c>
      <c r="Q46" s="65"/>
      <c r="R46" s="66">
        <f t="shared" si="5"/>
        <v>0</v>
      </c>
      <c r="S46" s="59"/>
      <c r="T46" s="59"/>
      <c r="U46" s="93"/>
      <c r="V46" s="94"/>
      <c r="W46" s="95"/>
      <c r="X46" s="59" t="str">
        <f>IF(OR(E46="",C46=""),"",IF(COUNTIFS($E$17:E46,E46,$C$17:C46,C46)=1,E46&amp;" - "&amp;C46&amp;" - "&amp;SUMIFS($J$17:$J$5002,$E$17:$E$5002,E46,$C$17:$C$5002,C46)&amp;I46&amp;" - "&amp;TEXT(SUMIFS($U$17:$U$5002,$E$17:$E$5002,E46,$C$17:$C$5002,C46),"0.00")&amp;" Bf",""))</f>
        <v/>
      </c>
      <c r="Y46" s="24" t="str">
        <f>IF(COUNTIF($C$17:C46,C46)=1,ROUND(SUMIF($C:$C,C46,$W:$W),2), "")</f>
        <v/>
      </c>
    </row>
    <row r="47" spans="1:25" s="17" customFormat="1" ht="41.25" hidden="1" customHeight="1" x14ac:dyDescent="0.2">
      <c r="A47" s="57"/>
      <c r="B47" s="57"/>
      <c r="C47" s="57"/>
      <c r="D47" s="57" t="str" cm="1">
        <f t="array" ref="D47">IFERROR(
_xlfn.XLOOKUP(1,
(CODE_PRICE!$A$3:$A$1003=$A$8)*
(CODE_PRICE!$B$3:$B$1003=C47),
CODE_PRICE!$C$3:$C$1003
),
"")</f>
        <v/>
      </c>
      <c r="E47" s="58"/>
      <c r="F47" s="58"/>
      <c r="G47" s="59"/>
      <c r="H47" s="60"/>
      <c r="I47" s="58"/>
      <c r="J47" s="61"/>
      <c r="K47" s="62"/>
      <c r="L47" s="63" t="str" cm="1">
        <f t="array" ref="L47">IF(F47="untrim",_xlfn.XLOOKUP(1,(TRIM('SIZE GUIDE'!$A$3:$A$2015)=TRIM(F47))*(TRIM('SIZE GUIDE'!$B$3:$B$2015)=TRIM(G47))*(TRIM('SIZE GUIDE'!$C$3:$C$2015)=TRIM(I47)),'SIZE GUIDE'!$D$3:$D$2015),"")</f>
        <v/>
      </c>
      <c r="M47" s="64"/>
      <c r="N47" s="63"/>
      <c r="O47" s="65"/>
      <c r="P47" s="65" t="str" cm="1">
        <f t="array" ref="P47">IF(F47="trim",IFERROR(INDEX('SIZE GUIDE'!$E:$E,MATCH(1,('SIZE GUIDE'!$A:$A=$F47)*('SIZE GUIDE'!$B:$B=$G47)*('SIZE GUIDE'!$C:$C=$I47),0)),""),"")</f>
        <v/>
      </c>
      <c r="Q47" s="65"/>
      <c r="R47" s="66">
        <f t="shared" si="5"/>
        <v>0</v>
      </c>
      <c r="S47" s="59"/>
      <c r="T47" s="59"/>
      <c r="U47" s="93"/>
      <c r="V47" s="94"/>
      <c r="W47" s="95"/>
      <c r="X47" s="59" t="str">
        <f>IF(OR(E47="",C47=""),"",IF(COUNTIFS($E$17:E47,E47,$C$17:C47,C47)=1,E47&amp;" - "&amp;C47&amp;" - "&amp;SUMIFS($J$17:$J$5002,$E$17:$E$5002,E47,$C$17:$C$5002,C47)&amp;I47&amp;" - "&amp;TEXT(SUMIFS($U$17:$U$5002,$E$17:$E$5002,E47,$C$17:$C$5002,C47),"0.00")&amp;" Bf",""))</f>
        <v/>
      </c>
      <c r="Y47" s="24" t="str">
        <f>IF(COUNTIF($C$17:C47,C47)=1,ROUND(SUMIF($C:$C,C47,$W:$W),2), "")</f>
        <v/>
      </c>
    </row>
    <row r="48" spans="1:25" s="17" customFormat="1" ht="41.25" hidden="1" customHeight="1" x14ac:dyDescent="0.2">
      <c r="A48" s="57"/>
      <c r="B48" s="57"/>
      <c r="C48" s="57"/>
      <c r="D48" s="57" t="str" cm="1">
        <f t="array" ref="D48">IFERROR(
_xlfn.XLOOKUP(1,
(CODE_PRICE!$A$3:$A$1003=$A$8)*
(CODE_PRICE!$B$3:$B$1003=C48),
CODE_PRICE!$C$3:$C$1003
),
"")</f>
        <v/>
      </c>
      <c r="E48" s="58"/>
      <c r="F48" s="58"/>
      <c r="G48" s="59"/>
      <c r="H48" s="60"/>
      <c r="I48" s="58"/>
      <c r="J48" s="61"/>
      <c r="K48" s="62"/>
      <c r="L48" s="63" t="str" cm="1">
        <f t="array" ref="L48">IF(F48="untrim",_xlfn.XLOOKUP(1,(TRIM('SIZE GUIDE'!$A$3:$A$2015)=TRIM(F48))*(TRIM('SIZE GUIDE'!$B$3:$B$2015)=TRIM(G48))*(TRIM('SIZE GUIDE'!$C$3:$C$2015)=TRIM(I48)),'SIZE GUIDE'!$D$3:$D$2015),"")</f>
        <v/>
      </c>
      <c r="M48" s="64"/>
      <c r="N48" s="63"/>
      <c r="O48" s="65"/>
      <c r="P48" s="65" t="str" cm="1">
        <f t="array" ref="P48">IF(F48="trim",IFERROR(INDEX('SIZE GUIDE'!$E:$E,MATCH(1,('SIZE GUIDE'!$A:$A=$F48)*('SIZE GUIDE'!$B:$B=$G48)*('SIZE GUIDE'!$C:$C=$I48),0)),""),"")</f>
        <v/>
      </c>
      <c r="Q48" s="65"/>
      <c r="R48" s="66">
        <f t="shared" si="5"/>
        <v>0</v>
      </c>
      <c r="S48" s="59"/>
      <c r="T48" s="59"/>
      <c r="U48" s="93"/>
      <c r="V48" s="94"/>
      <c r="W48" s="95"/>
      <c r="X48" s="59" t="str">
        <f>IF(OR(E48="",C48=""),"",IF(COUNTIFS($E$17:E48,E48,$C$17:C48,C48)=1,E48&amp;" - "&amp;C48&amp;" - "&amp;SUMIFS($J$17:$J$5002,$E$17:$E$5002,E48,$C$17:$C$5002,C48)&amp;I48&amp;" - "&amp;TEXT(SUMIFS($U$17:$U$5002,$E$17:$E$5002,E48,$C$17:$C$5002,C48),"0.00")&amp;" Bf",""))</f>
        <v/>
      </c>
      <c r="Y48" s="24" t="str">
        <f>IF(COUNTIF($C$17:C48,C48)=1,ROUND(SUMIF($C:$C,C48,$W:$W),2), "")</f>
        <v/>
      </c>
    </row>
    <row r="49" spans="1:25" s="17" customFormat="1" ht="41.25" hidden="1" customHeight="1" x14ac:dyDescent="0.2">
      <c r="A49" s="57"/>
      <c r="B49" s="57"/>
      <c r="C49" s="57"/>
      <c r="D49" s="57" t="str" cm="1">
        <f t="array" ref="D49">IFERROR(
_xlfn.XLOOKUP(1,
(CODE_PRICE!$A$3:$A$1003=$A$8)*
(CODE_PRICE!$B$3:$B$1003=C49),
CODE_PRICE!$C$3:$C$1003
),
"")</f>
        <v/>
      </c>
      <c r="E49" s="58"/>
      <c r="F49" s="58"/>
      <c r="G49" s="59"/>
      <c r="H49" s="60"/>
      <c r="I49" s="58"/>
      <c r="J49" s="61"/>
      <c r="K49" s="62"/>
      <c r="L49" s="63" t="str" cm="1">
        <f t="array" ref="L49">IF(F49="untrim",_xlfn.XLOOKUP(1,(TRIM('SIZE GUIDE'!$A$3:$A$2015)=TRIM(F49))*(TRIM('SIZE GUIDE'!$B$3:$B$2015)=TRIM(G49))*(TRIM('SIZE GUIDE'!$C$3:$C$2015)=TRIM(I49)),'SIZE GUIDE'!$D$3:$D$2015),"")</f>
        <v/>
      </c>
      <c r="M49" s="64"/>
      <c r="N49" s="63"/>
      <c r="O49" s="65"/>
      <c r="P49" s="65" t="str" cm="1">
        <f t="array" ref="P49">IF(F49="trim",IFERROR(INDEX('SIZE GUIDE'!$E:$E,MATCH(1,('SIZE GUIDE'!$A:$A=$F49)*('SIZE GUIDE'!$B:$B=$G49)*('SIZE GUIDE'!$C:$C=$I49),0)),""),"")</f>
        <v/>
      </c>
      <c r="Q49" s="65"/>
      <c r="R49" s="66">
        <f t="shared" si="5"/>
        <v>0</v>
      </c>
      <c r="S49" s="59"/>
      <c r="T49" s="59"/>
      <c r="U49" s="93"/>
      <c r="V49" s="94"/>
      <c r="W49" s="95"/>
      <c r="X49" s="59" t="str">
        <f>IF(OR(E49="",C49=""),"",IF(COUNTIFS($E$17:E49,E49,$C$17:C49,C49)=1,E49&amp;" - "&amp;C49&amp;" - "&amp;SUMIFS($J$17:$J$5002,$E$17:$E$5002,E49,$C$17:$C$5002,C49)&amp;I49&amp;" - "&amp;TEXT(SUMIFS($U$17:$U$5002,$E$17:$E$5002,E49,$C$17:$C$5002,C49),"0.00")&amp;" Bf",""))</f>
        <v/>
      </c>
      <c r="Y49" s="24" t="str">
        <f>IF(COUNTIF($C$17:C49,C49)=1,ROUND(SUMIF($C:$C,C49,$W:$W),2), "")</f>
        <v/>
      </c>
    </row>
    <row r="50" spans="1:25" s="17" customFormat="1" ht="41.25" customHeight="1" thickBot="1" x14ac:dyDescent="0.25">
      <c r="A50" s="53"/>
      <c r="B50" s="53"/>
      <c r="C50" s="53"/>
      <c r="D50" s="53" t="str" cm="1">
        <f t="array" ref="D50">IFERROR(
_xlfn.XLOOKUP(1,
(CODE_PRICE!$A$3:$A$1003=$A$8)*
(CODE_PRICE!$B$3:$B$1003=C50),
CODE_PRICE!$C$3:$C$1003
),
"")</f>
        <v/>
      </c>
      <c r="E50" s="53"/>
      <c r="F50" s="67"/>
      <c r="G50" s="68"/>
      <c r="H50" s="68"/>
      <c r="I50" s="69" t="s">
        <v>155</v>
      </c>
      <c r="J50" s="70">
        <f>SUM(J17:J49)</f>
        <v>10</v>
      </c>
      <c r="K50" s="55"/>
      <c r="L50" s="55"/>
      <c r="M50" s="55"/>
      <c r="N50" s="55"/>
      <c r="O50" s="56"/>
      <c r="P50" s="56"/>
      <c r="Q50" s="56"/>
      <c r="R50" s="67"/>
      <c r="S50" s="67"/>
      <c r="T50" s="67"/>
      <c r="U50" s="96">
        <f>SUM(U17:U49)</f>
        <v>24255.5625</v>
      </c>
      <c r="V50" s="97"/>
      <c r="W50" s="92">
        <f>SUM(W17:W49)</f>
        <v>7051.0920187499996</v>
      </c>
      <c r="X50" s="109"/>
      <c r="Y50" s="104">
        <f>SUM(Y17:Y49)</f>
        <v>7051.09</v>
      </c>
    </row>
    <row r="51" spans="1:25" s="17" customFormat="1" ht="41.25" customHeight="1" x14ac:dyDescent="0.2">
      <c r="A51" s="57"/>
      <c r="B51" s="71"/>
      <c r="C51" s="71"/>
      <c r="D51" s="156" t="str" cm="1">
        <f t="array" ref="D51">IFERROR(
_xlfn.XLOOKUP(1,
(CODE_PRICE!$A$3:$A$1003=$A$8)*
(CODE_PRICE!$B$3:$B$1003=C51),
CODE_PRICE!$C$3:$C$1003
),
"")</f>
        <v/>
      </c>
      <c r="E51" s="72"/>
      <c r="F51" s="72"/>
      <c r="G51" s="73"/>
      <c r="H51" s="74"/>
      <c r="I51" s="75" t="s">
        <v>156</v>
      </c>
      <c r="J51" s="76"/>
      <c r="K51" s="77"/>
      <c r="L51" s="78"/>
      <c r="M51" s="79"/>
      <c r="N51" s="78"/>
      <c r="O51" s="78"/>
      <c r="P51" s="78"/>
      <c r="Q51" s="78"/>
      <c r="R51" s="80"/>
      <c r="S51" s="80"/>
      <c r="T51" s="80"/>
      <c r="U51" s="81"/>
      <c r="V51" s="82"/>
      <c r="W51" s="83">
        <v>900</v>
      </c>
      <c r="X51" s="19"/>
      <c r="Y51" s="25"/>
    </row>
    <row r="52" spans="1:25" s="17" customFormat="1" ht="41.25" customHeight="1" thickBot="1" x14ac:dyDescent="0.25">
      <c r="A52" s="53"/>
      <c r="B52" s="53"/>
      <c r="C52" s="68"/>
      <c r="D52" s="68" t="str" cm="1">
        <f t="array" ref="D52">IFERROR(
_xlfn.XLOOKUP(1,
(CODE_PRICE!$A$3:$A$1003=$A$8)*
(CODE_PRICE!$B$3:$B$1003=C52),
CODE_PRICE!$C$3:$C$1003
),
"")</f>
        <v/>
      </c>
      <c r="E52" s="67"/>
      <c r="F52" s="67"/>
      <c r="G52" s="67"/>
      <c r="H52" s="67"/>
      <c r="I52" s="69" t="s">
        <v>162</v>
      </c>
      <c r="J52" s="70">
        <f>J50</f>
        <v>10</v>
      </c>
      <c r="K52" s="55"/>
      <c r="L52" s="55"/>
      <c r="M52" s="55"/>
      <c r="N52" s="55"/>
      <c r="O52" s="56"/>
      <c r="P52" s="56"/>
      <c r="Q52" s="56"/>
      <c r="R52" s="67"/>
      <c r="S52" s="67"/>
      <c r="T52" s="67"/>
      <c r="U52" s="96">
        <f>U50</f>
        <v>24255.5625</v>
      </c>
      <c r="V52" s="97"/>
      <c r="W52" s="92">
        <f>+W50+W51</f>
        <v>7951.0920187499996</v>
      </c>
      <c r="X52" s="109"/>
      <c r="Y52" s="104">
        <f>Y50</f>
        <v>7051.09</v>
      </c>
    </row>
    <row r="53" spans="1:25" ht="15" customHeight="1" x14ac:dyDescent="0.25">
      <c r="A53" s="48"/>
      <c r="B53" s="48"/>
      <c r="C53" s="48"/>
      <c r="D53" s="48"/>
      <c r="E53" s="48"/>
      <c r="F53" s="48"/>
      <c r="G53" s="84"/>
      <c r="H53" s="48"/>
      <c r="I53" s="85"/>
      <c r="J53" s="85"/>
      <c r="K53" s="8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89"/>
    </row>
    <row r="54" spans="1:25" ht="15" customHeight="1" x14ac:dyDescent="0.25">
      <c r="A54" s="48" t="s">
        <v>153</v>
      </c>
      <c r="B54" s="48"/>
      <c r="C54" s="48"/>
      <c r="D54" s="48"/>
      <c r="E54" s="48"/>
      <c r="F54" s="48"/>
      <c r="G54" s="84"/>
      <c r="H54" s="48"/>
      <c r="I54" s="85"/>
      <c r="J54" s="85"/>
      <c r="K54" s="8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89"/>
    </row>
    <row r="55" spans="1:25" ht="15" customHeight="1" x14ac:dyDescent="0.25">
      <c r="A55" s="48"/>
      <c r="B55" s="48"/>
      <c r="C55" s="48"/>
      <c r="D55" s="48"/>
      <c r="E55" s="48"/>
      <c r="F55" s="48"/>
      <c r="G55" s="84"/>
      <c r="H55" s="48"/>
      <c r="I55" s="85"/>
      <c r="J55" s="85"/>
      <c r="K55" s="85"/>
      <c r="L55" s="35"/>
      <c r="M55" s="35"/>
      <c r="O55" s="35"/>
      <c r="P55" s="35"/>
      <c r="Q55" s="35"/>
      <c r="R55" s="35"/>
      <c r="S55" s="35"/>
      <c r="T55" s="35"/>
      <c r="U55" s="35"/>
      <c r="V55" s="35"/>
      <c r="W55" s="89"/>
    </row>
    <row r="56" spans="1:25" ht="15" customHeight="1" x14ac:dyDescent="0.25">
      <c r="A56" s="48" t="s">
        <v>154</v>
      </c>
      <c r="B56" s="48"/>
      <c r="C56" s="48"/>
      <c r="D56" s="48"/>
      <c r="E56" s="48"/>
      <c r="F56" s="48"/>
      <c r="G56" s="84"/>
      <c r="H56" s="48"/>
      <c r="I56" s="85"/>
      <c r="J56" s="85"/>
      <c r="K56" s="85"/>
      <c r="L56" s="35"/>
      <c r="M56" s="35"/>
      <c r="O56" s="35"/>
      <c r="P56" s="35"/>
      <c r="Q56" s="35"/>
      <c r="R56" s="35"/>
      <c r="S56" s="35"/>
      <c r="T56" s="35"/>
      <c r="U56" s="35"/>
      <c r="V56" s="35"/>
      <c r="W56" s="89"/>
    </row>
    <row r="57" spans="1:25" ht="15" customHeight="1" x14ac:dyDescent="0.25">
      <c r="A57" s="48"/>
      <c r="B57" s="48"/>
      <c r="C57" s="48"/>
      <c r="D57" s="48"/>
      <c r="E57" s="48"/>
      <c r="F57" s="48"/>
      <c r="G57" s="84"/>
      <c r="H57" s="48"/>
      <c r="I57" s="85"/>
      <c r="J57" s="85"/>
      <c r="K57" s="85"/>
      <c r="L57" s="35"/>
      <c r="M57" s="35"/>
      <c r="O57" s="35"/>
      <c r="P57" s="35"/>
      <c r="Q57" s="35"/>
      <c r="R57" s="35"/>
      <c r="S57" s="35"/>
      <c r="T57" s="35"/>
      <c r="U57" s="35"/>
      <c r="V57" s="35"/>
      <c r="W57" s="89"/>
    </row>
    <row r="58" spans="1:25" ht="15" customHeight="1" x14ac:dyDescent="0.25">
      <c r="A58" s="48"/>
      <c r="B58" s="48"/>
      <c r="C58" s="48"/>
      <c r="D58" s="48"/>
      <c r="E58" s="48"/>
      <c r="F58" s="48"/>
      <c r="G58" s="84"/>
      <c r="H58" s="48"/>
      <c r="I58" s="85"/>
      <c r="J58" s="85"/>
      <c r="K58" s="85"/>
      <c r="L58" s="35"/>
      <c r="M58" s="35"/>
      <c r="O58" s="35"/>
      <c r="P58" s="35"/>
      <c r="Q58" s="35"/>
      <c r="R58" s="35"/>
      <c r="S58" s="35"/>
      <c r="T58" s="35"/>
      <c r="U58" s="35"/>
      <c r="V58" s="35"/>
      <c r="W58" s="89"/>
    </row>
    <row r="59" spans="1:25" ht="15" customHeight="1" x14ac:dyDescent="0.25">
      <c r="A59" s="86"/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5"/>
      <c r="M59" s="35"/>
      <c r="O59" s="35"/>
      <c r="P59" s="35"/>
      <c r="Q59" s="35"/>
      <c r="R59" s="35"/>
      <c r="S59" s="35"/>
      <c r="T59" s="35"/>
      <c r="U59" s="35"/>
      <c r="V59" s="35"/>
      <c r="W59" s="89"/>
    </row>
    <row r="60" spans="1:25" ht="15" customHeight="1" x14ac:dyDescent="0.25">
      <c r="A60" s="86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5"/>
      <c r="M60" s="35"/>
      <c r="O60" s="35"/>
      <c r="P60" s="35"/>
      <c r="Q60" s="35"/>
      <c r="R60" s="35"/>
      <c r="S60" s="35"/>
      <c r="T60" s="35"/>
      <c r="U60" s="35"/>
      <c r="V60" s="35"/>
      <c r="W60" s="89"/>
    </row>
  </sheetData>
  <mergeCells count="5">
    <mergeCell ref="A7:F7"/>
    <mergeCell ref="G7:H7"/>
    <mergeCell ref="S9:T9"/>
    <mergeCell ref="B59:K59"/>
    <mergeCell ref="B60:K60"/>
  </mergeCells>
  <conditionalFormatting sqref="C27:D27">
    <cfRule type="containsText" dxfId="35" priority="1" operator="containsText" text="CFN50180W">
      <formula>NOT(ISERROR(SEARCH(("CFN50180W"),(C27))))</formula>
    </cfRule>
    <cfRule type="containsText" dxfId="34" priority="2" operator="containsText" text="CFN17138W">
      <formula>NOT(ISERROR(SEARCH(("CFN17138W"),(C27))))</formula>
    </cfRule>
    <cfRule type="containsText" dxfId="33" priority="3" operator="containsText" text="CFN39180W">
      <formula>NOT(ISERROR(SEARCH(("CFN39180W"),(C27))))</formula>
    </cfRule>
    <cfRule type="containsText" dxfId="32" priority="4" operator="containsText" text="CFN34150">
      <formula>NOT(ISERROR(SEARCH(("CFN34150"),(C27))))</formula>
    </cfRule>
    <cfRule type="containsText" dxfId="31" priority="5" operator="containsText" text="CFN50131">
      <formula>NOT(ISERROR(SEARCH(("CFN50131"),(C27))))</formula>
    </cfRule>
    <cfRule type="containsText" dxfId="30" priority="6" operator="containsText" text="CFN30100W">
      <formula>NOT(ISERROR(SEARCH(("CFN30100W"),(C27))))</formula>
    </cfRule>
  </conditionalFormatting>
  <pageMargins left="0" right="0" top="1" bottom="1" header="0.511811023622047" footer="0.511811023622047"/>
  <pageSetup scale="43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xr:uid="{3356AE62-B44D-448A-AEDB-793A713F1B94}">
          <x14:formula1>
            <xm:f>CODE_MASTER_AS!$A$3:$A$14</xm:f>
          </x14:formula1>
          <xm:sqref>G50:H50 C28:C49 C51:C52 D17:D52 C17:C26</xm:sqref>
        </x14:dataValidation>
        <x14:dataValidation type="list" allowBlank="1" xr:uid="{DA7AFA12-4A48-4201-B4EC-6CA3EBC48C29}">
          <x14:formula1>
            <xm:f>LISTS!$B$2:$B$8</xm:f>
          </x14:formula1>
          <x14:formula2>
            <xm:f>0</xm:f>
          </x14:formula2>
          <xm:sqref>I17:I52</xm:sqref>
        </x14:dataValidation>
        <x14:dataValidation type="list" allowBlank="1" xr:uid="{A7D5FDEC-82B0-49C4-A45C-4F6C667F62EA}">
          <x14:formula1>
            <xm:f>'SIZE GUIDE'!$A$3:$A$38</xm:f>
          </x14:formula1>
          <xm:sqref>F17:F52</xm:sqref>
        </x14:dataValidation>
        <x14:dataValidation type="list" allowBlank="1" showInputMessage="1" showErrorMessage="1" xr:uid="{CEB7BFEB-8B19-46BC-93CE-3A09CB11A728}">
          <x14:formula1>
            <xm:f>'SIZE GUIDE'!$B:$B</xm:f>
          </x14:formula1>
          <xm:sqref>H50 G17:G52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82237-22B9-440E-8AC0-78FB6EB38102}">
  <sheetPr codeName="Sheet7">
    <pageSetUpPr fitToPage="1"/>
  </sheetPr>
  <dimension ref="A1:AH56"/>
  <sheetViews>
    <sheetView showGridLines="0" view="pageBreakPreview" topLeftCell="A8" zoomScale="80" zoomScaleNormal="68" zoomScaleSheetLayoutView="80" workbookViewId="0">
      <selection activeCell="M15" sqref="M15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customWidth="1"/>
    <col min="3" max="3" width="18" style="16" customWidth="1"/>
    <col min="4" max="4" width="25" style="16" customWidth="1"/>
    <col min="5" max="5" width="16.83203125" style="16" customWidth="1"/>
    <col min="6" max="6" width="15.33203125" style="16" customWidth="1"/>
    <col min="7" max="7" width="23.5" style="16" bestFit="1" customWidth="1"/>
    <col min="8" max="9" width="10.6640625" style="16" customWidth="1"/>
    <col min="10" max="10" width="10.6640625" style="15" customWidth="1"/>
    <col min="11" max="11" width="10.6640625" style="16" customWidth="1"/>
    <col min="12" max="12" width="10.6640625" style="269" customWidth="1"/>
    <col min="13" max="19" width="10.6640625" style="16" customWidth="1"/>
    <col min="20" max="20" width="14.6640625" style="16" customWidth="1"/>
    <col min="21" max="21" width="14.1640625" style="16" customWidth="1"/>
    <col min="22" max="22" width="14.5" style="98" customWidth="1"/>
    <col min="23" max="23" width="28.1640625" style="16" customWidth="1"/>
    <col min="24" max="24" width="20.33203125" style="23" customWidth="1"/>
    <col min="25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45"/>
      <c r="K1" s="29"/>
      <c r="L1" s="261"/>
      <c r="M1" s="29" t="s">
        <v>204</v>
      </c>
      <c r="N1" s="27"/>
      <c r="O1" s="27"/>
      <c r="P1" s="27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246"/>
      <c r="K2" s="31"/>
      <c r="L2" s="261"/>
      <c r="M2" s="32" t="s">
        <v>161</v>
      </c>
      <c r="N2" s="27"/>
      <c r="O2" s="27"/>
      <c r="P2" s="28" t="s">
        <v>160</v>
      </c>
      <c r="R2" s="20"/>
      <c r="S2" s="21"/>
      <c r="U2" s="13"/>
      <c r="V2" s="20"/>
      <c r="W2" s="20"/>
      <c r="X2" s="20" t="s">
        <v>151</v>
      </c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247"/>
      <c r="K3" s="37"/>
      <c r="L3" s="262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247"/>
      <c r="K4" s="37"/>
      <c r="L4" s="262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247"/>
      <c r="K5" s="37"/>
      <c r="L5" s="262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247"/>
      <c r="K6" s="37"/>
      <c r="L6" s="262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5" t="s">
        <v>143</v>
      </c>
      <c r="B7" s="315"/>
      <c r="C7" s="315"/>
      <c r="D7" s="315"/>
      <c r="E7" s="315"/>
      <c r="F7" s="316"/>
      <c r="G7" s="316"/>
      <c r="H7" s="35"/>
      <c r="I7" s="35"/>
      <c r="J7" s="247"/>
      <c r="K7" s="37"/>
      <c r="L7" s="262"/>
      <c r="M7" s="37"/>
      <c r="N7" s="38"/>
      <c r="O7" s="38"/>
      <c r="P7" s="38"/>
      <c r="Q7" s="231" t="s">
        <v>147</v>
      </c>
      <c r="R7" s="231"/>
      <c r="S7" s="231"/>
      <c r="T7" s="231"/>
      <c r="U7" s="231"/>
      <c r="V7" s="231" t="s">
        <v>148</v>
      </c>
      <c r="W7" s="231"/>
      <c r="X7" s="231"/>
    </row>
    <row r="8" spans="1:24" ht="15" customHeight="1" x14ac:dyDescent="0.25">
      <c r="A8" s="44" t="s">
        <v>212</v>
      </c>
      <c r="B8" s="45"/>
      <c r="C8" s="45"/>
      <c r="D8" s="46"/>
      <c r="E8" s="46"/>
      <c r="F8" s="36"/>
      <c r="G8" s="46"/>
      <c r="H8" s="35"/>
      <c r="I8" s="35"/>
      <c r="J8" s="247"/>
      <c r="K8" s="37"/>
      <c r="L8" s="262"/>
      <c r="M8" s="37"/>
      <c r="N8" s="38"/>
      <c r="O8" s="38"/>
      <c r="P8" s="38"/>
      <c r="Q8" s="190" t="s">
        <v>249</v>
      </c>
      <c r="R8" s="191"/>
      <c r="S8" s="192"/>
      <c r="T8" s="193"/>
      <c r="U8" s="194"/>
      <c r="V8" s="195">
        <v>46189</v>
      </c>
      <c r="W8" s="232"/>
      <c r="X8" s="233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247"/>
      <c r="K9" s="37"/>
      <c r="L9" s="262"/>
      <c r="M9" s="37"/>
      <c r="N9" s="38"/>
      <c r="O9" s="38"/>
      <c r="P9" s="38"/>
      <c r="Q9" s="225"/>
      <c r="R9" s="317"/>
      <c r="S9" s="317"/>
      <c r="T9" s="228"/>
      <c r="U9" s="234"/>
      <c r="V9" s="235"/>
      <c r="W9" s="232"/>
      <c r="X9" s="233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247"/>
      <c r="K10" s="37"/>
      <c r="L10" s="262"/>
      <c r="M10" s="37"/>
      <c r="N10" s="38"/>
      <c r="O10" s="38"/>
      <c r="P10" s="38"/>
      <c r="Q10" s="236" t="s">
        <v>149</v>
      </c>
      <c r="R10" s="231"/>
      <c r="S10" s="231"/>
      <c r="T10" s="231"/>
      <c r="U10" s="231"/>
      <c r="V10" s="231" t="s">
        <v>150</v>
      </c>
      <c r="W10" s="231"/>
      <c r="X10" s="231"/>
    </row>
    <row r="11" spans="1:24" ht="15" customHeight="1" x14ac:dyDescent="0.25">
      <c r="A11" s="188" t="s">
        <v>233</v>
      </c>
      <c r="B11" s="34"/>
      <c r="C11" s="35"/>
      <c r="D11" s="35"/>
      <c r="E11" s="46"/>
      <c r="F11" s="46"/>
      <c r="G11" s="46"/>
      <c r="H11" s="35"/>
      <c r="I11" s="35"/>
      <c r="J11" s="247"/>
      <c r="K11" s="37"/>
      <c r="L11" s="262"/>
      <c r="M11" s="37"/>
      <c r="N11" s="38"/>
      <c r="O11" s="38"/>
      <c r="P11" s="38"/>
      <c r="Q11" s="190" t="s">
        <v>248</v>
      </c>
      <c r="R11" s="190"/>
      <c r="S11" s="190"/>
      <c r="T11" s="193"/>
      <c r="U11" s="194"/>
      <c r="V11" s="190"/>
      <c r="W11" s="232"/>
      <c r="X11" s="233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247"/>
      <c r="K12" s="37"/>
      <c r="L12" s="262"/>
      <c r="M12" s="37"/>
      <c r="N12" s="38"/>
      <c r="O12" s="38"/>
      <c r="P12" s="38"/>
      <c r="Q12" s="190"/>
      <c r="R12" s="190"/>
      <c r="S12" s="190"/>
      <c r="T12" s="190"/>
      <c r="U12" s="194"/>
      <c r="V12" s="237"/>
      <c r="W12" s="232"/>
      <c r="X12" s="233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4"/>
      <c r="K13" s="50"/>
      <c r="L13" s="263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210" customFormat="1" ht="39.75" customHeight="1" x14ac:dyDescent="0.2">
      <c r="A14" s="212" t="s">
        <v>158</v>
      </c>
      <c r="B14" s="212" t="s">
        <v>0</v>
      </c>
      <c r="C14" s="212" t="s">
        <v>1</v>
      </c>
      <c r="D14" s="213" t="s">
        <v>135</v>
      </c>
      <c r="E14" s="213" t="s">
        <v>157</v>
      </c>
      <c r="F14" s="213" t="s">
        <v>3</v>
      </c>
      <c r="G14" s="213" t="s">
        <v>152</v>
      </c>
      <c r="H14" s="213" t="s">
        <v>105</v>
      </c>
      <c r="I14" s="213" t="s">
        <v>5</v>
      </c>
      <c r="J14" s="248" t="s">
        <v>64</v>
      </c>
      <c r="K14" s="216" t="s">
        <v>136</v>
      </c>
      <c r="L14" s="264" t="s">
        <v>24</v>
      </c>
      <c r="M14" s="216" t="s">
        <v>108</v>
      </c>
      <c r="N14" s="217" t="s">
        <v>136</v>
      </c>
      <c r="O14" s="217" t="s">
        <v>24</v>
      </c>
      <c r="P14" s="259" t="s">
        <v>108</v>
      </c>
      <c r="Q14" s="213" t="s">
        <v>136</v>
      </c>
      <c r="R14" s="213" t="s">
        <v>24</v>
      </c>
      <c r="S14" s="213" t="s">
        <v>108</v>
      </c>
      <c r="T14" s="218" t="s">
        <v>159</v>
      </c>
      <c r="U14" s="219" t="s">
        <v>6</v>
      </c>
      <c r="V14" s="220" t="s">
        <v>7</v>
      </c>
      <c r="W14" s="220" t="s">
        <v>140</v>
      </c>
      <c r="X14" s="220" t="s">
        <v>141</v>
      </c>
    </row>
    <row r="15" spans="1:24" s="210" customFormat="1" ht="31.5" customHeight="1" x14ac:dyDescent="0.2">
      <c r="A15" s="196">
        <v>1</v>
      </c>
      <c r="B15" s="196"/>
      <c r="C15" s="196" t="s">
        <v>95</v>
      </c>
      <c r="D15" s="197"/>
      <c r="E15" s="197" t="s">
        <v>11</v>
      </c>
      <c r="F15" s="198" t="s">
        <v>123</v>
      </c>
      <c r="G15" s="199" t="str">
        <f>IF(COUNTIFS($C$15:C15,C15,$H$15:H15,H15)=1,
SUMIFS($I$15:$I$43,$C$15:$C$43,C15,$H$15:$H$43,H15)&amp;H15&amp;" "&amp;C15,
"")</f>
        <v>8K CFN50131W</v>
      </c>
      <c r="H15" s="197" t="s">
        <v>18</v>
      </c>
      <c r="I15" s="200">
        <v>1</v>
      </c>
      <c r="J15" s="249"/>
      <c r="K15" s="201" cm="1">
        <f t="array" ref="K15">IF(E15="untrim",_xlfn.XLOOKUP(1,(TRIM('SIZE GUIDE'!$A$3:$A$2015)=TRIM(E15))*(TRIM('SIZE GUIDE'!$B$3:$B$2015)=TRIM(F15))*(TRIM('SIZE GUIDE'!$C$3:$C$2015)=TRIM(H15)),'SIZE GUIDE'!$D$3:$D$2015),"")</f>
        <v>81</v>
      </c>
      <c r="L15" s="265" cm="1">
        <f t="array" ref="L15">IF(E15="untrim",IFERROR(INDEX('SIZE GUIDE'!$E:$E,MATCH(1,('SIZE GUIDE'!$A:$A=$E15)*('SIZE GUIDE'!$B:$B=$F15)*('SIZE GUIDE'!$C:$C=$H15),0)),""),"")</f>
        <v>77</v>
      </c>
      <c r="M15" s="202">
        <v>42</v>
      </c>
      <c r="N15" s="203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203" t="str" cm="1">
        <f t="array" ref="O15">IF(E15="trim",IFERROR(INDEX('SIZE GUIDE'!$E:$E,MATCH(1,('SIZE GUIDE'!$A:$A=$E15)*('SIZE GUIDE'!$B:$B=$F15)*('SIZE GUIDE'!$C:$C=$H15),0)),""),"")</f>
        <v/>
      </c>
      <c r="P15" s="203"/>
      <c r="Q15" s="204">
        <f>IF(E15="untrim",K15-1.5,N15)</f>
        <v>79.5</v>
      </c>
      <c r="R15" s="198">
        <f>IF(E15="untrim",L15-1.5,O15)</f>
        <v>75.5</v>
      </c>
      <c r="S15" s="198">
        <f>IF(E15="untrim",M15-0.5,P15-0.5)</f>
        <v>41.5</v>
      </c>
      <c r="T15" s="205">
        <f>IFERROR(Q15*R15*S15/144*I15,"")</f>
        <v>1729.8151041666667</v>
      </c>
      <c r="U15" s="206">
        <f>SUMIFS(CODE_PRICE!F:F,CODE_PRICE!B:B,C15,CODE_PRICE!A:A,$A$8)</f>
        <v>0.2316</v>
      </c>
      <c r="V15" s="207">
        <f t="shared" ref="V15:V32" si="0">T15*U15</f>
        <v>400.62517812499999</v>
      </c>
      <c r="W15" s="208" t="str">
        <f>IF(COUNTIF($C$15:C15,C15)=1,C15 &amp; " - " &amp; TEXT(SUMIF($C:$C,C15,$T:$T),"0.00"),"")</f>
        <v>CFN50131W - 27014.20</v>
      </c>
      <c r="X15" s="209">
        <f>IF(COUNTIF($C$15:C15,C15)=1,ROUND(SUMIF($C:$C,C15,$V:$V),2), "")</f>
        <v>6256.49</v>
      </c>
    </row>
    <row r="16" spans="1:24" s="210" customFormat="1" ht="31.5" customHeight="1" x14ac:dyDescent="0.2">
      <c r="A16" s="196">
        <f>A15+1</f>
        <v>2</v>
      </c>
      <c r="B16" s="196"/>
      <c r="C16" s="196" t="s">
        <v>95</v>
      </c>
      <c r="D16" s="197"/>
      <c r="E16" s="197" t="s">
        <v>11</v>
      </c>
      <c r="F16" s="198" t="s">
        <v>123</v>
      </c>
      <c r="G16" s="199" t="str">
        <f>IF(COUNTIFS($C$15:C16,C16,$H$15:H16,H16)=1,
SUMIFS($I$15:$I$43,$C$15:$C$43,C16,$H$15:$H$43,H16)&amp;H16&amp;" "&amp;C16,
"")</f>
        <v/>
      </c>
      <c r="H16" s="197" t="s">
        <v>18</v>
      </c>
      <c r="I16" s="200">
        <v>1</v>
      </c>
      <c r="J16" s="249"/>
      <c r="K16" s="201" cm="1">
        <f t="array" ref="K16">IF(E16="untrim",_xlfn.XLOOKUP(1,(TRIM('SIZE GUIDE'!$A$3:$A$2015)=TRIM(E16))*(TRIM('SIZE GUIDE'!$B$3:$B$2015)=TRIM(F16))*(TRIM('SIZE GUIDE'!$C$3:$C$2015)=TRIM(H16)),'SIZE GUIDE'!$D$3:$D$2015),"")</f>
        <v>81</v>
      </c>
      <c r="L16" s="265" cm="1">
        <f t="array" ref="L16">IF(E16="untrim",IFERROR(INDEX('SIZE GUIDE'!$E:$E,MATCH(1,('SIZE GUIDE'!$A:$A=$E16)*('SIZE GUIDE'!$B:$B=$F16)*('SIZE GUIDE'!$C:$C=$H16),0)),""),"")</f>
        <v>77</v>
      </c>
      <c r="M16" s="202">
        <v>42</v>
      </c>
      <c r="N16" s="203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203" t="str" cm="1">
        <f t="array" ref="O16">IF(E16="trim",IFERROR(INDEX('SIZE GUIDE'!$E:$E,MATCH(1,('SIZE GUIDE'!$A:$A=$E16)*('SIZE GUIDE'!$B:$B=$F16)*('SIZE GUIDE'!$C:$C=$H16),0)),""),"")</f>
        <v/>
      </c>
      <c r="P16" s="203"/>
      <c r="Q16" s="204">
        <f t="shared" ref="Q16:Q32" si="1">IF(E16="untrim",K16-1.5,N16)</f>
        <v>79.5</v>
      </c>
      <c r="R16" s="198">
        <f t="shared" ref="R16:R32" si="2">IF(E16="untrim",L16-1.5,O16)</f>
        <v>75.5</v>
      </c>
      <c r="S16" s="198">
        <f t="shared" ref="S16:S32" si="3">IF(E16="untrim",M16-0.5,P16-0.5)</f>
        <v>41.5</v>
      </c>
      <c r="T16" s="205">
        <f t="shared" ref="T16:T32" si="4">IFERROR(Q16*R16*S16/144*I16,"")</f>
        <v>1729.8151041666667</v>
      </c>
      <c r="U16" s="206">
        <f>SUMIFS(CODE_PRICE!F:F,CODE_PRICE!B:B,C16,CODE_PRICE!A:A,$A$8)</f>
        <v>0.2316</v>
      </c>
      <c r="V16" s="207">
        <f t="shared" si="0"/>
        <v>400.62517812499999</v>
      </c>
      <c r="W16" s="208" t="str">
        <f>IF(COUNTIF($C$15:C16,C16)=1,C16 &amp; " - " &amp; TEXT(SUMIF($C:$C,C16,$T:$T),"0.00"),"")</f>
        <v/>
      </c>
      <c r="X16" s="209" t="str">
        <f>IF(COUNTIF($C$15:C16,C16)=1,ROUND(SUMIF($C:$C,C16,$V:$V),2), "")</f>
        <v/>
      </c>
    </row>
    <row r="17" spans="1:34" s="210" customFormat="1" ht="31.5" customHeight="1" x14ac:dyDescent="0.2">
      <c r="A17" s="196">
        <f t="shared" ref="A17:A32" si="5">A16+1</f>
        <v>3</v>
      </c>
      <c r="B17" s="196"/>
      <c r="C17" s="196" t="s">
        <v>95</v>
      </c>
      <c r="D17" s="197"/>
      <c r="E17" s="197" t="s">
        <v>11</v>
      </c>
      <c r="F17" s="198" t="s">
        <v>123</v>
      </c>
      <c r="G17" s="199" t="str">
        <f>IF(COUNTIFS($C$15:C17,C17,$H$15:H17,H17)=1,
SUMIFS($I$15:$I$43,$C$15:$C$43,C17,$H$15:$H$43,H17)&amp;H17&amp;" "&amp;C17,
"")</f>
        <v/>
      </c>
      <c r="H17" s="197" t="s">
        <v>18</v>
      </c>
      <c r="I17" s="200">
        <v>1</v>
      </c>
      <c r="J17" s="249"/>
      <c r="K17" s="201" cm="1">
        <f t="array" ref="K17">IF(E17="untrim",_xlfn.XLOOKUP(1,(TRIM('SIZE GUIDE'!$A$3:$A$2015)=TRIM(E17))*(TRIM('SIZE GUIDE'!$B$3:$B$2015)=TRIM(F17))*(TRIM('SIZE GUIDE'!$C$3:$C$2015)=TRIM(H17)),'SIZE GUIDE'!$D$3:$D$2015),"")</f>
        <v>81</v>
      </c>
      <c r="L17" s="265" cm="1">
        <f t="array" ref="L17">IF(E17="untrim",IFERROR(INDEX('SIZE GUIDE'!$E:$E,MATCH(1,('SIZE GUIDE'!$A:$A=$E17)*('SIZE GUIDE'!$B:$B=$F17)*('SIZE GUIDE'!$C:$C=$H17),0)),""),"")</f>
        <v>77</v>
      </c>
      <c r="M17" s="202">
        <v>42</v>
      </c>
      <c r="N17" s="203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203" t="str" cm="1">
        <f t="array" ref="O17">IF(E17="trim",IFERROR(INDEX('SIZE GUIDE'!$E:$E,MATCH(1,('SIZE GUIDE'!$A:$A=$E17)*('SIZE GUIDE'!$B:$B=$F17)*('SIZE GUIDE'!$C:$C=$H17),0)),""),"")</f>
        <v/>
      </c>
      <c r="P17" s="203"/>
      <c r="Q17" s="204">
        <f t="shared" si="1"/>
        <v>79.5</v>
      </c>
      <c r="R17" s="198">
        <f t="shared" si="2"/>
        <v>75.5</v>
      </c>
      <c r="S17" s="198">
        <f t="shared" si="3"/>
        <v>41.5</v>
      </c>
      <c r="T17" s="205">
        <f t="shared" si="4"/>
        <v>1729.8151041666667</v>
      </c>
      <c r="U17" s="206">
        <f>SUMIFS(CODE_PRICE!F:F,CODE_PRICE!B:B,C17,CODE_PRICE!A:A,$A$8)</f>
        <v>0.2316</v>
      </c>
      <c r="V17" s="207">
        <f t="shared" si="0"/>
        <v>400.62517812499999</v>
      </c>
      <c r="W17" s="208" t="str">
        <f>IF(COUNTIF($C$15:C17,C17)=1,C17 &amp; " - " &amp; TEXT(SUMIF($C:$C,C17,$T:$T),"0.00"),"")</f>
        <v/>
      </c>
      <c r="X17" s="209" t="str">
        <f>IF(COUNTIF($C$15:C17,C17)=1,ROUND(SUMIF($C:$C,C17,$V:$V),2), "")</f>
        <v/>
      </c>
    </row>
    <row r="18" spans="1:34" s="210" customFormat="1" ht="31.5" customHeight="1" x14ac:dyDescent="0.2">
      <c r="A18" s="196">
        <f t="shared" si="5"/>
        <v>4</v>
      </c>
      <c r="B18" s="196"/>
      <c r="C18" s="196" t="s">
        <v>95</v>
      </c>
      <c r="D18" s="197"/>
      <c r="E18" s="197" t="s">
        <v>11</v>
      </c>
      <c r="F18" s="198" t="s">
        <v>123</v>
      </c>
      <c r="G18" s="199" t="str">
        <f>IF(COUNTIFS($C$15:C18,C18,$H$15:H18,H18)=1,
SUMIFS($I$15:$I$43,$C$15:$C$43,C18,$H$15:$H$43,H18)&amp;H18&amp;" "&amp;C18,
"")</f>
        <v/>
      </c>
      <c r="H18" s="197" t="s">
        <v>18</v>
      </c>
      <c r="I18" s="200">
        <v>1</v>
      </c>
      <c r="J18" s="249"/>
      <c r="K18" s="201" cm="1">
        <f t="array" ref="K18">IF(E18="untrim",_xlfn.XLOOKUP(1,(TRIM('SIZE GUIDE'!$A$3:$A$2015)=TRIM(E18))*(TRIM('SIZE GUIDE'!$B$3:$B$2015)=TRIM(F18))*(TRIM('SIZE GUIDE'!$C$3:$C$2015)=TRIM(H18)),'SIZE GUIDE'!$D$3:$D$2015),"")</f>
        <v>81</v>
      </c>
      <c r="L18" s="265" cm="1">
        <f t="array" ref="L18">IF(E18="untrim",IFERROR(INDEX('SIZE GUIDE'!$E:$E,MATCH(1,('SIZE GUIDE'!$A:$A=$E18)*('SIZE GUIDE'!$B:$B=$F18)*('SIZE GUIDE'!$C:$C=$H18),0)),""),"")</f>
        <v>77</v>
      </c>
      <c r="M18" s="202">
        <v>42</v>
      </c>
      <c r="N18" s="203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203" t="str" cm="1">
        <f t="array" ref="O18">IF(E18="trim",IFERROR(INDEX('SIZE GUIDE'!$E:$E,MATCH(1,('SIZE GUIDE'!$A:$A=$E18)*('SIZE GUIDE'!$B:$B=$F18)*('SIZE GUIDE'!$C:$C=$H18),0)),""),"")</f>
        <v/>
      </c>
      <c r="P18" s="203"/>
      <c r="Q18" s="204">
        <f t="shared" si="1"/>
        <v>79.5</v>
      </c>
      <c r="R18" s="198">
        <f t="shared" si="2"/>
        <v>75.5</v>
      </c>
      <c r="S18" s="198">
        <f t="shared" si="3"/>
        <v>41.5</v>
      </c>
      <c r="T18" s="205">
        <f t="shared" si="4"/>
        <v>1729.8151041666667</v>
      </c>
      <c r="U18" s="206">
        <f>SUMIFS(CODE_PRICE!F:F,CODE_PRICE!B:B,C18,CODE_PRICE!A:A,$A$8)</f>
        <v>0.2316</v>
      </c>
      <c r="V18" s="207">
        <f t="shared" si="0"/>
        <v>400.62517812499999</v>
      </c>
      <c r="W18" s="208" t="str">
        <f>IF(COUNTIF($C$15:C18,C18)=1,C18 &amp; " - " &amp; TEXT(SUMIF($C:$C,C18,$T:$T),"0.00"),"")</f>
        <v/>
      </c>
      <c r="X18" s="209" t="str">
        <f>IF(COUNTIF($C$15:C18,C18)=1,ROUND(SUMIF($C:$C,C18,$V:$V),2), "")</f>
        <v/>
      </c>
      <c r="AH18" s="211"/>
    </row>
    <row r="19" spans="1:34" s="210" customFormat="1" ht="31.5" customHeight="1" x14ac:dyDescent="0.2">
      <c r="A19" s="196">
        <f t="shared" si="5"/>
        <v>5</v>
      </c>
      <c r="B19" s="196"/>
      <c r="C19" s="196" t="s">
        <v>95</v>
      </c>
      <c r="D19" s="197"/>
      <c r="E19" s="197" t="s">
        <v>11</v>
      </c>
      <c r="F19" s="198" t="s">
        <v>123</v>
      </c>
      <c r="G19" s="199" t="str">
        <f>IF(COUNTIFS($C$15:C19,C19,$H$15:H19,H19)=1,
SUMIFS($I$15:$I$43,$C$15:$C$43,C19,$H$15:$H$43,H19)&amp;H19&amp;" "&amp;C19,
"")</f>
        <v/>
      </c>
      <c r="H19" s="197" t="s">
        <v>18</v>
      </c>
      <c r="I19" s="200">
        <v>1</v>
      </c>
      <c r="J19" s="249"/>
      <c r="K19" s="201" cm="1">
        <f t="array" ref="K19">IF(E19="untrim",_xlfn.XLOOKUP(1,(TRIM('SIZE GUIDE'!$A$3:$A$2015)=TRIM(E19))*(TRIM('SIZE GUIDE'!$B$3:$B$2015)=TRIM(F19))*(TRIM('SIZE GUIDE'!$C$3:$C$2015)=TRIM(H19)),'SIZE GUIDE'!$D$3:$D$2015),"")</f>
        <v>81</v>
      </c>
      <c r="L19" s="265" cm="1">
        <f t="array" ref="L19">IF(E19="untrim",IFERROR(INDEX('SIZE GUIDE'!$E:$E,MATCH(1,('SIZE GUIDE'!$A:$A=$E19)*('SIZE GUIDE'!$B:$B=$F19)*('SIZE GUIDE'!$C:$C=$H19),0)),""),"")</f>
        <v>77</v>
      </c>
      <c r="M19" s="202">
        <v>42</v>
      </c>
      <c r="N19" s="203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203" t="str" cm="1">
        <f t="array" ref="O19">IF(E19="trim",IFERROR(INDEX('SIZE GUIDE'!$E:$E,MATCH(1,('SIZE GUIDE'!$A:$A=$E19)*('SIZE GUIDE'!$B:$B=$F19)*('SIZE GUIDE'!$C:$C=$H19),0)),""),"")</f>
        <v/>
      </c>
      <c r="P19" s="203"/>
      <c r="Q19" s="204">
        <f t="shared" si="1"/>
        <v>79.5</v>
      </c>
      <c r="R19" s="198">
        <f t="shared" si="2"/>
        <v>75.5</v>
      </c>
      <c r="S19" s="198">
        <f t="shared" si="3"/>
        <v>41.5</v>
      </c>
      <c r="T19" s="205">
        <f t="shared" si="4"/>
        <v>1729.8151041666667</v>
      </c>
      <c r="U19" s="206">
        <f>SUMIFS(CODE_PRICE!F:F,CODE_PRICE!B:B,C19,CODE_PRICE!A:A,$A$8)</f>
        <v>0.2316</v>
      </c>
      <c r="V19" s="207">
        <f t="shared" si="0"/>
        <v>400.62517812499999</v>
      </c>
      <c r="W19" s="208" t="str">
        <f>IF(COUNTIF($C$15:C19,C19)=1,C19 &amp; " - " &amp; TEXT(SUMIF($C:$C,C19,$T:$T),"0.00"),"")</f>
        <v/>
      </c>
      <c r="X19" s="209" t="str">
        <f>IF(COUNTIF($C$15:C19,C19)=1,ROUND(SUMIF($C:$C,C19,$V:$V),2), "")</f>
        <v/>
      </c>
    </row>
    <row r="20" spans="1:34" s="210" customFormat="1" ht="31.5" customHeight="1" x14ac:dyDescent="0.2">
      <c r="A20" s="196">
        <f t="shared" si="5"/>
        <v>6</v>
      </c>
      <c r="B20" s="196"/>
      <c r="C20" s="196" t="s">
        <v>95</v>
      </c>
      <c r="D20" s="197"/>
      <c r="E20" s="197" t="s">
        <v>11</v>
      </c>
      <c r="F20" s="198" t="s">
        <v>123</v>
      </c>
      <c r="G20" s="199" t="str">
        <f>IF(COUNTIFS($C$15:C20,C20,$H$15:H20,H20)=1,
SUMIFS($I$15:$I$43,$C$15:$C$43,C20,$H$15:$H$43,H20)&amp;H20&amp;" "&amp;C20,
"")</f>
        <v/>
      </c>
      <c r="H20" s="197" t="s">
        <v>18</v>
      </c>
      <c r="I20" s="200">
        <v>1</v>
      </c>
      <c r="J20" s="249"/>
      <c r="K20" s="201" cm="1">
        <f t="array" ref="K20">IF(E20="untrim",_xlfn.XLOOKUP(1,(TRIM('SIZE GUIDE'!$A$3:$A$2015)=TRIM(E20))*(TRIM('SIZE GUIDE'!$B$3:$B$2015)=TRIM(F20))*(TRIM('SIZE GUIDE'!$C$3:$C$2015)=TRIM(H20)),'SIZE GUIDE'!$D$3:$D$2015),"")</f>
        <v>81</v>
      </c>
      <c r="L20" s="265" cm="1">
        <f t="array" ref="L20">IF(E20="untrim",IFERROR(INDEX('SIZE GUIDE'!$E:$E,MATCH(1,('SIZE GUIDE'!$A:$A=$E20)*('SIZE GUIDE'!$B:$B=$F20)*('SIZE GUIDE'!$C:$C=$H20),0)),""),"")</f>
        <v>77</v>
      </c>
      <c r="M20" s="202">
        <v>42</v>
      </c>
      <c r="N20" s="203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203" t="str" cm="1">
        <f t="array" ref="O20">IF(E20="trim",IFERROR(INDEX('SIZE GUIDE'!$E:$E,MATCH(1,('SIZE GUIDE'!$A:$A=$E20)*('SIZE GUIDE'!$B:$B=$F20)*('SIZE GUIDE'!$C:$C=$H20),0)),""),"")</f>
        <v/>
      </c>
      <c r="P20" s="203"/>
      <c r="Q20" s="204">
        <f t="shared" si="1"/>
        <v>79.5</v>
      </c>
      <c r="R20" s="198">
        <f t="shared" si="2"/>
        <v>75.5</v>
      </c>
      <c r="S20" s="198">
        <f t="shared" si="3"/>
        <v>41.5</v>
      </c>
      <c r="T20" s="205">
        <f t="shared" si="4"/>
        <v>1729.8151041666667</v>
      </c>
      <c r="U20" s="206">
        <f>SUMIFS(CODE_PRICE!F:F,CODE_PRICE!B:B,C20,CODE_PRICE!A:A,$A$8)</f>
        <v>0.2316</v>
      </c>
      <c r="V20" s="207">
        <f t="shared" si="0"/>
        <v>400.62517812499999</v>
      </c>
      <c r="W20" s="208" t="str">
        <f>IF(COUNTIF($C$15:C20,C20)=1,C20 &amp; " - " &amp; TEXT(SUMIF($C:$C,C20,$T:$T),"0.00"),"")</f>
        <v/>
      </c>
      <c r="X20" s="209" t="str">
        <f>IF(COUNTIF($C$15:C20,C20)=1,ROUND(SUMIF($C:$C,C20,$V:$V),2), "")</f>
        <v/>
      </c>
    </row>
    <row r="21" spans="1:34" s="210" customFormat="1" ht="31.5" customHeight="1" x14ac:dyDescent="0.2">
      <c r="A21" s="196">
        <f t="shared" si="5"/>
        <v>7</v>
      </c>
      <c r="B21" s="196"/>
      <c r="C21" s="196" t="s">
        <v>95</v>
      </c>
      <c r="D21" s="197"/>
      <c r="E21" s="197" t="s">
        <v>11</v>
      </c>
      <c r="F21" s="198" t="s">
        <v>123</v>
      </c>
      <c r="G21" s="199" t="str">
        <f>IF(COUNTIFS($C$15:C21,C21,$H$15:H21,H21)=1,
SUMIFS($I$15:$I$43,$C$15:$C$43,C21,$H$15:$H$43,H21)&amp;H21&amp;" "&amp;C21,
"")</f>
        <v/>
      </c>
      <c r="H21" s="197" t="s">
        <v>18</v>
      </c>
      <c r="I21" s="200">
        <v>1</v>
      </c>
      <c r="J21" s="249"/>
      <c r="K21" s="201" cm="1">
        <f t="array" ref="K21">IF(E21="untrim",_xlfn.XLOOKUP(1,(TRIM('SIZE GUIDE'!$A$3:$A$2015)=TRIM(E21))*(TRIM('SIZE GUIDE'!$B$3:$B$2015)=TRIM(F21))*(TRIM('SIZE GUIDE'!$C$3:$C$2015)=TRIM(H21)),'SIZE GUIDE'!$D$3:$D$2015),"")</f>
        <v>81</v>
      </c>
      <c r="L21" s="265" cm="1">
        <f t="array" ref="L21">IF(E21="untrim",IFERROR(INDEX('SIZE GUIDE'!$E:$E,MATCH(1,('SIZE GUIDE'!$A:$A=$E21)*('SIZE GUIDE'!$B:$B=$F21)*('SIZE GUIDE'!$C:$C=$H21),0)),""),"")</f>
        <v>77</v>
      </c>
      <c r="M21" s="202">
        <v>42</v>
      </c>
      <c r="N21" s="203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203" t="str" cm="1">
        <f t="array" ref="O21">IF(E21="trim",IFERROR(INDEX('SIZE GUIDE'!$E:$E,MATCH(1,('SIZE GUIDE'!$A:$A=$E21)*('SIZE GUIDE'!$B:$B=$F21)*('SIZE GUIDE'!$C:$C=$H21),0)),""),"")</f>
        <v/>
      </c>
      <c r="P21" s="203"/>
      <c r="Q21" s="204">
        <f t="shared" si="1"/>
        <v>79.5</v>
      </c>
      <c r="R21" s="198">
        <f t="shared" si="2"/>
        <v>75.5</v>
      </c>
      <c r="S21" s="198">
        <f t="shared" si="3"/>
        <v>41.5</v>
      </c>
      <c r="T21" s="205">
        <f t="shared" si="4"/>
        <v>1729.8151041666667</v>
      </c>
      <c r="U21" s="206">
        <f>SUMIFS(CODE_PRICE!F:F,CODE_PRICE!B:B,C21,CODE_PRICE!A:A,$A$8)</f>
        <v>0.2316</v>
      </c>
      <c r="V21" s="207">
        <f t="shared" si="0"/>
        <v>400.62517812499999</v>
      </c>
      <c r="W21" s="208" t="str">
        <f>IF(COUNTIF($C$15:C21,C21)=1,C21 &amp; " - " &amp; TEXT(SUMIF($C:$C,C21,$T:$T),"0.00"),"")</f>
        <v/>
      </c>
      <c r="X21" s="209" t="str">
        <f>IF(COUNTIF($C$15:C21,C21)=1,ROUND(SUMIF($C:$C,C21,$V:$V),2), "")</f>
        <v/>
      </c>
    </row>
    <row r="22" spans="1:34" s="210" customFormat="1" ht="31.5" customHeight="1" x14ac:dyDescent="0.2">
      <c r="A22" s="196">
        <f t="shared" si="5"/>
        <v>8</v>
      </c>
      <c r="B22" s="196"/>
      <c r="C22" s="196" t="s">
        <v>95</v>
      </c>
      <c r="D22" s="197"/>
      <c r="E22" s="197" t="s">
        <v>11</v>
      </c>
      <c r="F22" s="198" t="s">
        <v>123</v>
      </c>
      <c r="G22" s="199" t="str">
        <f>IF(COUNTIFS($C$15:C22,C22,$H$15:H22,H22)=1,
SUMIFS($I$15:$I$43,$C$15:$C$43,C22,$H$15:$H$43,H22)&amp;H22&amp;" "&amp;C22,
"")</f>
        <v/>
      </c>
      <c r="H22" s="197" t="s">
        <v>18</v>
      </c>
      <c r="I22" s="200">
        <v>1</v>
      </c>
      <c r="J22" s="249"/>
      <c r="K22" s="201" cm="1">
        <f t="array" ref="K22">IF(E22="untrim",_xlfn.XLOOKUP(1,(TRIM('SIZE GUIDE'!$A$3:$A$2015)=TRIM(E22))*(TRIM('SIZE GUIDE'!$B$3:$B$2015)=TRIM(F22))*(TRIM('SIZE GUIDE'!$C$3:$C$2015)=TRIM(H22)),'SIZE GUIDE'!$D$3:$D$2015),"")</f>
        <v>81</v>
      </c>
      <c r="L22" s="265" cm="1">
        <f t="array" ref="L22">IF(E22="untrim",IFERROR(INDEX('SIZE GUIDE'!$E:$E,MATCH(1,('SIZE GUIDE'!$A:$A=$E22)*('SIZE GUIDE'!$B:$B=$F22)*('SIZE GUIDE'!$C:$C=$H22),0)),""),"")</f>
        <v>77</v>
      </c>
      <c r="M22" s="202">
        <v>43</v>
      </c>
      <c r="N22" s="203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203" t="str" cm="1">
        <f t="array" ref="O22">IF(E22="trim",IFERROR(INDEX('SIZE GUIDE'!$E:$E,MATCH(1,('SIZE GUIDE'!$A:$A=$E22)*('SIZE GUIDE'!$B:$B=$F22)*('SIZE GUIDE'!$C:$C=$H22),0)),""),"")</f>
        <v/>
      </c>
      <c r="P22" s="203"/>
      <c r="Q22" s="204">
        <f t="shared" si="1"/>
        <v>79.5</v>
      </c>
      <c r="R22" s="198">
        <f t="shared" si="2"/>
        <v>75.5</v>
      </c>
      <c r="S22" s="198">
        <f t="shared" si="3"/>
        <v>42.5</v>
      </c>
      <c r="T22" s="205">
        <f t="shared" si="4"/>
        <v>1771.4973958333333</v>
      </c>
      <c r="U22" s="206">
        <f>SUMIFS(CODE_PRICE!F:F,CODE_PRICE!B:B,C22,CODE_PRICE!A:A,$A$8)</f>
        <v>0.2316</v>
      </c>
      <c r="V22" s="207">
        <f t="shared" si="0"/>
        <v>410.27879687499995</v>
      </c>
      <c r="W22" s="208" t="str">
        <f>IF(COUNTIF($C$15:C22,C22)=1,C22 &amp; " - " &amp; TEXT(SUMIF($C:$C,C22,$T:$T),"0.00"),"")</f>
        <v/>
      </c>
      <c r="X22" s="209" t="str">
        <f>IF(COUNTIF($C$15:C22,C22)=1,ROUND(SUMIF($C:$C,C22,$V:$V),2), "")</f>
        <v/>
      </c>
      <c r="AD22" s="210" t="s">
        <v>204</v>
      </c>
    </row>
    <row r="23" spans="1:34" s="210" customFormat="1" ht="31.5" customHeight="1" x14ac:dyDescent="0.2">
      <c r="A23" s="196">
        <f t="shared" si="5"/>
        <v>9</v>
      </c>
      <c r="B23" s="196"/>
      <c r="C23" s="196" t="s">
        <v>95</v>
      </c>
      <c r="D23" s="197"/>
      <c r="E23" s="197" t="s">
        <v>11</v>
      </c>
      <c r="F23" s="198" t="s">
        <v>123</v>
      </c>
      <c r="G23" s="199" t="str">
        <f>IF(COUNTIFS($C$15:C23,C23,$H$15:H23,H23)=1,
SUMIFS($I$15:$I$43,$C$15:$C$43,C23,$H$15:$H$43,H23)&amp;H23&amp;" "&amp;C23,
"")</f>
        <v>8Q CFN50131W</v>
      </c>
      <c r="H23" s="197" t="s">
        <v>16</v>
      </c>
      <c r="I23" s="200">
        <v>1</v>
      </c>
      <c r="J23" s="249"/>
      <c r="K23" s="201" cm="1">
        <f t="array" ref="K23">IF(E23="untrim",_xlfn.XLOOKUP(1,(TRIM('SIZE GUIDE'!$A$3:$A$2015)=TRIM(E23))*(TRIM('SIZE GUIDE'!$B$3:$B$2015)=TRIM(F23))*(TRIM('SIZE GUIDE'!$C$3:$C$2015)=TRIM(H23)),'SIZE GUIDE'!$D$3:$D$2015),"")</f>
        <v>81</v>
      </c>
      <c r="L23" s="265" cm="1">
        <f t="array" ref="L23">IF(E23="untrim",IFERROR(INDEX('SIZE GUIDE'!$E:$E,MATCH(1,('SIZE GUIDE'!$A:$A=$E23)*('SIZE GUIDE'!$B:$B=$F23)*('SIZE GUIDE'!$C:$C=$H23),0)),""),"")</f>
        <v>61</v>
      </c>
      <c r="M23" s="202">
        <v>42</v>
      </c>
      <c r="N23" s="203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203" t="str" cm="1">
        <f t="array" ref="O23">IF(E23="trim",IFERROR(INDEX('SIZE GUIDE'!$E:$E,MATCH(1,('SIZE GUIDE'!$A:$A=$E23)*('SIZE GUIDE'!$B:$B=$F23)*('SIZE GUIDE'!$C:$C=$H23),0)),""),"")</f>
        <v/>
      </c>
      <c r="P23" s="203"/>
      <c r="Q23" s="204">
        <f t="shared" si="1"/>
        <v>79.5</v>
      </c>
      <c r="R23" s="198">
        <f t="shared" si="2"/>
        <v>59.5</v>
      </c>
      <c r="S23" s="198">
        <f t="shared" si="3"/>
        <v>41.5</v>
      </c>
      <c r="T23" s="205">
        <f t="shared" si="4"/>
        <v>1363.2317708333333</v>
      </c>
      <c r="U23" s="206">
        <f>SUMIFS(CODE_PRICE!F:F,CODE_PRICE!B:B,C23,CODE_PRICE!A:A,$A$8)</f>
        <v>0.2316</v>
      </c>
      <c r="V23" s="207">
        <f t="shared" si="0"/>
        <v>315.72447812499996</v>
      </c>
      <c r="W23" s="208" t="str">
        <f>IF(COUNTIF($C$15:C23,C23)=1,C23 &amp; " - " &amp; TEXT(SUMIF($C:$C,C23,$T:$T),"0.00"),"")</f>
        <v/>
      </c>
      <c r="X23" s="209" t="str">
        <f>IF(COUNTIF($C$15:C23,C23)=1,ROUND(SUMIF($C:$C,C23,$V:$V),2), "")</f>
        <v/>
      </c>
    </row>
    <row r="24" spans="1:34" s="210" customFormat="1" ht="31.5" customHeight="1" x14ac:dyDescent="0.2">
      <c r="A24" s="196">
        <f t="shared" si="5"/>
        <v>10</v>
      </c>
      <c r="B24" s="196"/>
      <c r="C24" s="196" t="s">
        <v>95</v>
      </c>
      <c r="D24" s="197"/>
      <c r="E24" s="197" t="s">
        <v>11</v>
      </c>
      <c r="F24" s="198" t="s">
        <v>123</v>
      </c>
      <c r="G24" s="199" t="str">
        <f>IF(COUNTIFS($C$15:C24,C24,$H$15:H24,H24)=1,
SUMIFS($I$15:$I$43,$C$15:$C$43,C24,$H$15:$H$43,H24)&amp;H24&amp;" "&amp;C24,
"")</f>
        <v/>
      </c>
      <c r="H24" s="197" t="s">
        <v>16</v>
      </c>
      <c r="I24" s="200">
        <v>1</v>
      </c>
      <c r="J24" s="249"/>
      <c r="K24" s="201" cm="1">
        <f t="array" ref="K24">IF(E24="untrim",_xlfn.XLOOKUP(1,(TRIM('SIZE GUIDE'!$A$3:$A$2015)=TRIM(E24))*(TRIM('SIZE GUIDE'!$B$3:$B$2015)=TRIM(F24))*(TRIM('SIZE GUIDE'!$C$3:$C$2015)=TRIM(H24)),'SIZE GUIDE'!$D$3:$D$2015),"")</f>
        <v>81</v>
      </c>
      <c r="L24" s="265" cm="1">
        <f t="array" ref="L24">IF(E24="untrim",IFERROR(INDEX('SIZE GUIDE'!$E:$E,MATCH(1,('SIZE GUIDE'!$A:$A=$E24)*('SIZE GUIDE'!$B:$B=$F24)*('SIZE GUIDE'!$C:$C=$H24),0)),""),"")</f>
        <v>61</v>
      </c>
      <c r="M24" s="202">
        <v>42</v>
      </c>
      <c r="N24" s="203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203" t="str" cm="1">
        <f t="array" ref="O24">IF(E24="trim",IFERROR(INDEX('SIZE GUIDE'!$E:$E,MATCH(1,('SIZE GUIDE'!$A:$A=$E24)*('SIZE GUIDE'!$B:$B=$F24)*('SIZE GUIDE'!$C:$C=$H24),0)),""),"")</f>
        <v/>
      </c>
      <c r="P24" s="203"/>
      <c r="Q24" s="204">
        <f t="shared" si="1"/>
        <v>79.5</v>
      </c>
      <c r="R24" s="198">
        <f t="shared" si="2"/>
        <v>59.5</v>
      </c>
      <c r="S24" s="198">
        <f t="shared" si="3"/>
        <v>41.5</v>
      </c>
      <c r="T24" s="205">
        <f t="shared" si="4"/>
        <v>1363.2317708333333</v>
      </c>
      <c r="U24" s="206">
        <f>SUMIFS(CODE_PRICE!F:F,CODE_PRICE!B:B,C24,CODE_PRICE!A:A,$A$8)</f>
        <v>0.2316</v>
      </c>
      <c r="V24" s="207">
        <f t="shared" si="0"/>
        <v>315.72447812499996</v>
      </c>
      <c r="W24" s="208" t="str">
        <f>IF(COUNTIF($C$15:C24,C24)=1,C24 &amp; " - " &amp; TEXT(SUMIF($C:$C,C24,$T:$T),"0.00"),"")</f>
        <v/>
      </c>
      <c r="X24" s="209" t="str">
        <f>IF(COUNTIF($C$15:C24,C24)=1,ROUND(SUMIF($C:$C,C24,$V:$V),2), "")</f>
        <v/>
      </c>
    </row>
    <row r="25" spans="1:34" s="210" customFormat="1" ht="31.5" customHeight="1" x14ac:dyDescent="0.2">
      <c r="A25" s="196">
        <f t="shared" si="5"/>
        <v>11</v>
      </c>
      <c r="B25" s="196"/>
      <c r="C25" s="196" t="s">
        <v>95</v>
      </c>
      <c r="D25" s="197"/>
      <c r="E25" s="197" t="s">
        <v>11</v>
      </c>
      <c r="F25" s="198" t="s">
        <v>123</v>
      </c>
      <c r="G25" s="199" t="str">
        <f>IF(COUNTIFS($C$15:C25,C25,$H$15:H25,H25)=1,
SUMIFS($I$15:$I$43,$C$15:$C$43,C25,$H$15:$H$43,H25)&amp;H25&amp;" "&amp;C25,
"")</f>
        <v/>
      </c>
      <c r="H25" s="197" t="s">
        <v>16</v>
      </c>
      <c r="I25" s="200">
        <v>1</v>
      </c>
      <c r="J25" s="249"/>
      <c r="K25" s="201" cm="1">
        <f t="array" ref="K25">IF(E25="untrim",_xlfn.XLOOKUP(1,(TRIM('SIZE GUIDE'!$A$3:$A$2015)=TRIM(E25))*(TRIM('SIZE GUIDE'!$B$3:$B$2015)=TRIM(F25))*(TRIM('SIZE GUIDE'!$C$3:$C$2015)=TRIM(H25)),'SIZE GUIDE'!$D$3:$D$2015),"")</f>
        <v>81</v>
      </c>
      <c r="L25" s="265" cm="1">
        <f t="array" ref="L25">IF(E25="untrim",IFERROR(INDEX('SIZE GUIDE'!$E:$E,MATCH(1,('SIZE GUIDE'!$A:$A=$E25)*('SIZE GUIDE'!$B:$B=$F25)*('SIZE GUIDE'!$C:$C=$H25),0)),""),"")</f>
        <v>61</v>
      </c>
      <c r="M25" s="202">
        <v>42</v>
      </c>
      <c r="N25" s="203"/>
      <c r="O25" s="203" t="str" cm="1">
        <f t="array" ref="O25">IF(E25="trim",IFERROR(INDEX('SIZE GUIDE'!$E:$E,MATCH(1,('SIZE GUIDE'!$A:$A=$E25)*('SIZE GUIDE'!$B:$B=$F25)*('SIZE GUIDE'!$C:$C=$H25),0)),""),"")</f>
        <v/>
      </c>
      <c r="P25" s="203"/>
      <c r="Q25" s="204">
        <f t="shared" si="1"/>
        <v>79.5</v>
      </c>
      <c r="R25" s="198">
        <f t="shared" si="2"/>
        <v>59.5</v>
      </c>
      <c r="S25" s="198">
        <f t="shared" si="3"/>
        <v>41.5</v>
      </c>
      <c r="T25" s="205">
        <f t="shared" si="4"/>
        <v>1363.2317708333333</v>
      </c>
      <c r="U25" s="206">
        <f>SUMIFS(CODE_PRICE!F:F,CODE_PRICE!B:B,C25,CODE_PRICE!A:A,$A$8)</f>
        <v>0.2316</v>
      </c>
      <c r="V25" s="207">
        <f t="shared" si="0"/>
        <v>315.72447812499996</v>
      </c>
      <c r="W25" s="208" t="str">
        <f>IF(COUNTIF($C$15:C25,C25)=1,C25 &amp; " - " &amp; TEXT(SUMIF($C:$C,C25,$T:$T),"0.00"),"")</f>
        <v/>
      </c>
      <c r="X25" s="209" t="str">
        <f>IF(COUNTIF($C$15:C25,C25)=1,ROUND(SUMIF($C:$C,C25,$V:$V),2), "")</f>
        <v/>
      </c>
    </row>
    <row r="26" spans="1:34" s="210" customFormat="1" ht="31.5" customHeight="1" x14ac:dyDescent="0.2">
      <c r="A26" s="196">
        <f t="shared" si="5"/>
        <v>12</v>
      </c>
      <c r="B26" s="196"/>
      <c r="C26" s="196" t="s">
        <v>95</v>
      </c>
      <c r="D26" s="197"/>
      <c r="E26" s="197" t="s">
        <v>11</v>
      </c>
      <c r="F26" s="198" t="s">
        <v>123</v>
      </c>
      <c r="G26" s="199" t="str">
        <f>IF(COUNTIFS($C$15:C26,C26,$H$15:H26,H26)=1,
SUMIFS($I$15:$I$43,$C$15:$C$43,C26,$H$15:$H$43,H26)&amp;H26&amp;" "&amp;C26,
"")</f>
        <v/>
      </c>
      <c r="H26" s="197" t="s">
        <v>16</v>
      </c>
      <c r="I26" s="200">
        <v>1</v>
      </c>
      <c r="J26" s="249"/>
      <c r="K26" s="201" cm="1">
        <f t="array" ref="K26">IF(E26="untrim",_xlfn.XLOOKUP(1,(TRIM('SIZE GUIDE'!$A$3:$A$2015)=TRIM(E26))*(TRIM('SIZE GUIDE'!$B$3:$B$2015)=TRIM(F26))*(TRIM('SIZE GUIDE'!$C$3:$C$2015)=TRIM(H26)),'SIZE GUIDE'!$D$3:$D$2015),"")</f>
        <v>81</v>
      </c>
      <c r="L26" s="265" cm="1">
        <f t="array" ref="L26">IF(E26="untrim",IFERROR(INDEX('SIZE GUIDE'!$E:$E,MATCH(1,('SIZE GUIDE'!$A:$A=$E26)*('SIZE GUIDE'!$B:$B=$F26)*('SIZE GUIDE'!$C:$C=$H26),0)),""),"")</f>
        <v>61</v>
      </c>
      <c r="M26" s="202">
        <v>42</v>
      </c>
      <c r="N26" s="203" t="str" cm="1">
        <f t="array" ref="N26">IF(E26="trim",_xlfn.XLOOKUP(1,(TRIM('SIZE GUIDE'!$A$3:$A$2015)=TRIM(E26))*(TRIM('SIZE GUIDE'!$B$3:$B$2015)=TRIM(F26))*(TRIM('SIZE GUIDE'!$C$3:$C$2015)=TRIM(H26)),'SIZE GUIDE'!$D$3:$D$2015),"")</f>
        <v/>
      </c>
      <c r="O26" s="203" t="str" cm="1">
        <f t="array" ref="O26">IF(E26="trim",IFERROR(INDEX('SIZE GUIDE'!$E:$E,MATCH(1,('SIZE GUIDE'!$A:$A=$E26)*('SIZE GUIDE'!$B:$B=$F26)*('SIZE GUIDE'!$C:$C=$H26),0)),""),"")</f>
        <v/>
      </c>
      <c r="P26" s="203"/>
      <c r="Q26" s="204">
        <f t="shared" si="1"/>
        <v>79.5</v>
      </c>
      <c r="R26" s="198">
        <f t="shared" si="2"/>
        <v>59.5</v>
      </c>
      <c r="S26" s="198">
        <f t="shared" si="3"/>
        <v>41.5</v>
      </c>
      <c r="T26" s="205">
        <f t="shared" si="4"/>
        <v>1363.2317708333333</v>
      </c>
      <c r="U26" s="206">
        <f>SUMIFS(CODE_PRICE!F:F,CODE_PRICE!B:B,C26,CODE_PRICE!A:A,$A$8)</f>
        <v>0.2316</v>
      </c>
      <c r="V26" s="207">
        <f t="shared" si="0"/>
        <v>315.72447812499996</v>
      </c>
      <c r="W26" s="208" t="str">
        <f>IF(COUNTIF($C$15:C26,C26)=1,C26 &amp; " - " &amp; TEXT(SUMIF($C:$C,C26,$T:$T),"0.00"),"")</f>
        <v/>
      </c>
      <c r="X26" s="209" t="str">
        <f>IF(COUNTIF($C$15:C26,C26)=1,ROUND(SUMIF($C:$C,C26,$V:$V),2), "")</f>
        <v/>
      </c>
    </row>
    <row r="27" spans="1:34" s="210" customFormat="1" ht="31.5" customHeight="1" x14ac:dyDescent="0.2">
      <c r="A27" s="196">
        <f t="shared" si="5"/>
        <v>13</v>
      </c>
      <c r="B27" s="196"/>
      <c r="C27" s="196" t="s">
        <v>95</v>
      </c>
      <c r="D27" s="197"/>
      <c r="E27" s="197" t="s">
        <v>11</v>
      </c>
      <c r="F27" s="198" t="s">
        <v>123</v>
      </c>
      <c r="G27" s="199" t="str">
        <f>IF(COUNTIFS($C$15:C27,C27,$H$15:H27,H27)=1,
SUMIFS($I$15:$I$43,$C$15:$C$43,C27,$H$15:$H$43,H27)&amp;H27&amp;" "&amp;C27,
"")</f>
        <v/>
      </c>
      <c r="H27" s="197" t="s">
        <v>16</v>
      </c>
      <c r="I27" s="200">
        <v>1</v>
      </c>
      <c r="J27" s="249"/>
      <c r="K27" s="201" cm="1">
        <f t="array" ref="K27">IF(E27="untrim",_xlfn.XLOOKUP(1,(TRIM('SIZE GUIDE'!$A$3:$A$2015)=TRIM(E27))*(TRIM('SIZE GUIDE'!$B$3:$B$2015)=TRIM(F27))*(TRIM('SIZE GUIDE'!$C$3:$C$2015)=TRIM(H27)),'SIZE GUIDE'!$D$3:$D$2015),"")</f>
        <v>81</v>
      </c>
      <c r="L27" s="265" cm="1">
        <f t="array" ref="L27">IF(E27="untrim",IFERROR(INDEX('SIZE GUIDE'!$E:$E,MATCH(1,('SIZE GUIDE'!$A:$A=$E27)*('SIZE GUIDE'!$B:$B=$F27)*('SIZE GUIDE'!$C:$C=$H27),0)),""),"")</f>
        <v>61</v>
      </c>
      <c r="M27" s="202">
        <v>42</v>
      </c>
      <c r="N27" s="203" t="str" cm="1">
        <f t="array" ref="N27">IF(E27="trim",_xlfn.XLOOKUP(1,(TRIM('SIZE GUIDE'!$A$3:$A$2015)=TRIM(E27))*(TRIM('SIZE GUIDE'!$B$3:$B$2015)=TRIM(F27))*(TRIM('SIZE GUIDE'!$C$3:$C$2015)=TRIM(H27)),'SIZE GUIDE'!$D$3:$D$2015),"")</f>
        <v/>
      </c>
      <c r="O27" s="203" t="str" cm="1">
        <f t="array" ref="O27">IF(E27="trim",IFERROR(INDEX('SIZE GUIDE'!$E:$E,MATCH(1,('SIZE GUIDE'!$A:$A=$E27)*('SIZE GUIDE'!$B:$B=$F27)*('SIZE GUIDE'!$C:$C=$H27),0)),""),"")</f>
        <v/>
      </c>
      <c r="P27" s="203"/>
      <c r="Q27" s="204">
        <f t="shared" si="1"/>
        <v>79.5</v>
      </c>
      <c r="R27" s="198">
        <f t="shared" si="2"/>
        <v>59.5</v>
      </c>
      <c r="S27" s="198">
        <f t="shared" si="3"/>
        <v>41.5</v>
      </c>
      <c r="T27" s="205">
        <f t="shared" si="4"/>
        <v>1363.2317708333333</v>
      </c>
      <c r="U27" s="206">
        <f>SUMIFS(CODE_PRICE!F:F,CODE_PRICE!B:B,C27,CODE_PRICE!A:A,$A$8)</f>
        <v>0.2316</v>
      </c>
      <c r="V27" s="207">
        <f t="shared" si="0"/>
        <v>315.72447812499996</v>
      </c>
      <c r="W27" s="208" t="str">
        <f>IF(COUNTIF($C$15:C27,C27)=1,C27 &amp; " - " &amp; TEXT(SUMIF($C:$C,C27,$T:$T),"0.00"),"")</f>
        <v/>
      </c>
      <c r="X27" s="209" t="str">
        <f>IF(COUNTIF($C$15:C27,C27)=1,ROUND(SUMIF($C:$C,C27,$V:$V),2), "")</f>
        <v/>
      </c>
    </row>
    <row r="28" spans="1:34" s="210" customFormat="1" ht="31.5" customHeight="1" x14ac:dyDescent="0.2">
      <c r="A28" s="196">
        <f t="shared" si="5"/>
        <v>14</v>
      </c>
      <c r="B28" s="196"/>
      <c r="C28" s="196" t="s">
        <v>95</v>
      </c>
      <c r="D28" s="197"/>
      <c r="E28" s="197" t="s">
        <v>11</v>
      </c>
      <c r="F28" s="198" t="s">
        <v>123</v>
      </c>
      <c r="G28" s="199" t="str">
        <f>IF(COUNTIFS($C$15:C28,C28,$H$15:H28,H28)=1,
SUMIFS($I$15:$I$43,$C$15:$C$43,C28,$H$15:$H$43,H28)&amp;H28&amp;" "&amp;C28,
"")</f>
        <v/>
      </c>
      <c r="H28" s="197" t="s">
        <v>16</v>
      </c>
      <c r="I28" s="200">
        <v>1</v>
      </c>
      <c r="J28" s="249"/>
      <c r="K28" s="201" cm="1">
        <f t="array" ref="K28">IF(E28="untrim",_xlfn.XLOOKUP(1,(TRIM('SIZE GUIDE'!$A$3:$A$2015)=TRIM(E28))*(TRIM('SIZE GUIDE'!$B$3:$B$2015)=TRIM(F28))*(TRIM('SIZE GUIDE'!$C$3:$C$2015)=TRIM(H28)),'SIZE GUIDE'!$D$3:$D$2015),"")</f>
        <v>81</v>
      </c>
      <c r="L28" s="265" cm="1">
        <f t="array" ref="L28">IF(E28="untrim",IFERROR(INDEX('SIZE GUIDE'!$E:$E,MATCH(1,('SIZE GUIDE'!$A:$A=$E28)*('SIZE GUIDE'!$B:$B=$F28)*('SIZE GUIDE'!$C:$C=$H28),0)),""),"")</f>
        <v>61</v>
      </c>
      <c r="M28" s="202">
        <v>42</v>
      </c>
      <c r="N28" s="203" t="str" cm="1">
        <f t="array" ref="N28">IF(E28="trim",_xlfn.XLOOKUP(1,(TRIM('SIZE GUIDE'!$A$3:$A$2015)=TRIM(E28))*(TRIM('SIZE GUIDE'!$B$3:$B$2015)=TRIM(F28))*(TRIM('SIZE GUIDE'!$C$3:$C$2015)=TRIM(H28)),'SIZE GUIDE'!$D$3:$D$2015),"")</f>
        <v/>
      </c>
      <c r="O28" s="203" t="str" cm="1">
        <f t="array" ref="O28">IF(E28="trim",IFERROR(INDEX('SIZE GUIDE'!$E:$E,MATCH(1,('SIZE GUIDE'!$A:$A=$E28)*('SIZE GUIDE'!$B:$B=$F28)*('SIZE GUIDE'!$C:$C=$H28),0)),""),"")</f>
        <v/>
      </c>
      <c r="P28" s="203"/>
      <c r="Q28" s="204">
        <f t="shared" si="1"/>
        <v>79.5</v>
      </c>
      <c r="R28" s="198">
        <f t="shared" si="2"/>
        <v>59.5</v>
      </c>
      <c r="S28" s="198">
        <f t="shared" si="3"/>
        <v>41.5</v>
      </c>
      <c r="T28" s="205">
        <f t="shared" si="4"/>
        <v>1363.2317708333333</v>
      </c>
      <c r="U28" s="206">
        <f>SUMIFS(CODE_PRICE!F:F,CODE_PRICE!B:B,C28,CODE_PRICE!A:A,$A$8)</f>
        <v>0.2316</v>
      </c>
      <c r="V28" s="207">
        <f t="shared" si="0"/>
        <v>315.72447812499996</v>
      </c>
      <c r="W28" s="208" t="str">
        <f>IF(COUNTIF($C$15:C28,C28)=1,C28 &amp; " - " &amp; TEXT(SUMIF($C:$C,C28,$T:$T),"0.00"),"")</f>
        <v/>
      </c>
      <c r="X28" s="209" t="str">
        <f>IF(COUNTIF($C$15:C28,C28)=1,ROUND(SUMIF($C:$C,C28,$V:$V),2), "")</f>
        <v/>
      </c>
    </row>
    <row r="29" spans="1:34" s="210" customFormat="1" ht="31.5" customHeight="1" x14ac:dyDescent="0.2">
      <c r="A29" s="196">
        <f t="shared" si="5"/>
        <v>15</v>
      </c>
      <c r="B29" s="196"/>
      <c r="C29" s="196" t="s">
        <v>95</v>
      </c>
      <c r="D29" s="197"/>
      <c r="E29" s="197" t="s">
        <v>11</v>
      </c>
      <c r="F29" s="198" t="s">
        <v>123</v>
      </c>
      <c r="G29" s="199" t="str">
        <f>IF(COUNTIFS($C$15:C29,C29,$H$15:H29,H29)=1,
SUMIFS($I$15:$I$43,$C$15:$C$43,C29,$H$15:$H$43,H29)&amp;H29&amp;" "&amp;C29,
"")</f>
        <v/>
      </c>
      <c r="H29" s="197" t="s">
        <v>16</v>
      </c>
      <c r="I29" s="200">
        <v>1</v>
      </c>
      <c r="J29" s="249"/>
      <c r="K29" s="201" cm="1">
        <f t="array" ref="K29">IF(E29="untrim",_xlfn.XLOOKUP(1,(TRIM('SIZE GUIDE'!$A$3:$A$2015)=TRIM(E29))*(TRIM('SIZE GUIDE'!$B$3:$B$2015)=TRIM(F29))*(TRIM('SIZE GUIDE'!$C$3:$C$2015)=TRIM(H29)),'SIZE GUIDE'!$D$3:$D$2015),"")</f>
        <v>81</v>
      </c>
      <c r="L29" s="265" cm="1">
        <f t="array" ref="L29">IF(E29="untrim",IFERROR(INDEX('SIZE GUIDE'!$E:$E,MATCH(1,('SIZE GUIDE'!$A:$A=$E29)*('SIZE GUIDE'!$B:$B=$F29)*('SIZE GUIDE'!$C:$C=$H29),0)),""),"")</f>
        <v>61</v>
      </c>
      <c r="M29" s="202">
        <v>42</v>
      </c>
      <c r="N29" s="203" t="str" cm="1">
        <f t="array" ref="N29">IF(E29="trim",_xlfn.XLOOKUP(1,(TRIM('SIZE GUIDE'!$A$3:$A$2015)=TRIM(E29))*(TRIM('SIZE GUIDE'!$B$3:$B$2015)=TRIM(F29))*(TRIM('SIZE GUIDE'!$C$3:$C$2015)=TRIM(H29)),'SIZE GUIDE'!$D$3:$D$2015),"")</f>
        <v/>
      </c>
      <c r="O29" s="203" t="str" cm="1">
        <f t="array" ref="O29">IF(E29="trim",IFERROR(INDEX('SIZE GUIDE'!$E:$E,MATCH(1,('SIZE GUIDE'!$A:$A=$E29)*('SIZE GUIDE'!$B:$B=$F29)*('SIZE GUIDE'!$C:$C=$H29),0)),""),"")</f>
        <v/>
      </c>
      <c r="P29" s="203"/>
      <c r="Q29" s="204">
        <f t="shared" si="1"/>
        <v>79.5</v>
      </c>
      <c r="R29" s="198">
        <f t="shared" si="2"/>
        <v>59.5</v>
      </c>
      <c r="S29" s="198">
        <f t="shared" si="3"/>
        <v>41.5</v>
      </c>
      <c r="T29" s="205">
        <f t="shared" si="4"/>
        <v>1363.2317708333333</v>
      </c>
      <c r="U29" s="206">
        <f>SUMIFS(CODE_PRICE!F:F,CODE_PRICE!B:B,C29,CODE_PRICE!A:A,$A$8)</f>
        <v>0.2316</v>
      </c>
      <c r="V29" s="207">
        <f t="shared" si="0"/>
        <v>315.72447812499996</v>
      </c>
      <c r="W29" s="208" t="str">
        <f>IF(COUNTIF($C$15:C29,C29)=1,C29 &amp; " - " &amp; TEXT(SUMIF($C:$C,C29,$T:$T),"0.00"),"")</f>
        <v/>
      </c>
      <c r="X29" s="209"/>
    </row>
    <row r="30" spans="1:34" s="210" customFormat="1" ht="31.5" customHeight="1" x14ac:dyDescent="0.2">
      <c r="A30" s="196">
        <f t="shared" si="5"/>
        <v>16</v>
      </c>
      <c r="B30" s="196"/>
      <c r="C30" s="196" t="s">
        <v>95</v>
      </c>
      <c r="D30" s="197"/>
      <c r="E30" s="197" t="s">
        <v>11</v>
      </c>
      <c r="F30" s="198" t="s">
        <v>123</v>
      </c>
      <c r="G30" s="199" t="str">
        <f>IF(COUNTIFS($C$15:C30,C30,$H$15:H30,H30)=1,
SUMIFS($I$15:$I$43,$C$15:$C$43,C30,$H$15:$H$43,H30)&amp;H30&amp;" "&amp;C30,
"")</f>
        <v/>
      </c>
      <c r="H30" s="197" t="s">
        <v>16</v>
      </c>
      <c r="I30" s="200">
        <v>1</v>
      </c>
      <c r="J30" s="285"/>
      <c r="K30" s="201" cm="1">
        <f t="array" ref="K30">IF(E30="untrim",_xlfn.XLOOKUP(1,(TRIM('SIZE GUIDE'!$A$3:$A$2015)=TRIM(E30))*(TRIM('SIZE GUIDE'!$B$3:$B$2015)=TRIM(F30))*(TRIM('SIZE GUIDE'!$C$3:$C$2015)=TRIM(H30)),'SIZE GUIDE'!$D$3:$D$2015),"")</f>
        <v>81</v>
      </c>
      <c r="L30" s="265" cm="1">
        <f t="array" ref="L30">IF(E30="untrim",IFERROR(INDEX('SIZE GUIDE'!$E:$E,MATCH(1,('SIZE GUIDE'!$A:$A=$E30)*('SIZE GUIDE'!$B:$B=$F30)*('SIZE GUIDE'!$C:$C=$H30),0)),""),"")</f>
        <v>61</v>
      </c>
      <c r="M30" s="202">
        <v>42</v>
      </c>
      <c r="N30" s="203" t="str" cm="1">
        <f t="array" ref="N30">IF(E30="trim",_xlfn.XLOOKUP(1,(TRIM('SIZE GUIDE'!$A$3:$A$2015)=TRIM(E30))*(TRIM('SIZE GUIDE'!$B$3:$B$2015)=TRIM(F30))*(TRIM('SIZE GUIDE'!$C$3:$C$2015)=TRIM(H30)),'SIZE GUIDE'!$D$3:$D$2015),"")</f>
        <v/>
      </c>
      <c r="O30" s="203" t="str" cm="1">
        <f t="array" ref="O30">IF(E30="trim",IFERROR(INDEX('SIZE GUIDE'!$E:$E,MATCH(1,('SIZE GUIDE'!$A:$A=$E30)*('SIZE GUIDE'!$B:$B=$F30)*('SIZE GUIDE'!$C:$C=$H30),0)),""),"")</f>
        <v/>
      </c>
      <c r="P30" s="203"/>
      <c r="Q30" s="204">
        <f t="shared" si="1"/>
        <v>79.5</v>
      </c>
      <c r="R30" s="198">
        <f t="shared" si="2"/>
        <v>59.5</v>
      </c>
      <c r="S30" s="198">
        <f t="shared" si="3"/>
        <v>41.5</v>
      </c>
      <c r="T30" s="205">
        <f t="shared" si="4"/>
        <v>1363.2317708333333</v>
      </c>
      <c r="U30" s="206">
        <f>SUMIFS(CODE_PRICE!F:F,CODE_PRICE!B:B,C30,CODE_PRICE!A:A,$A$8)</f>
        <v>0.2316</v>
      </c>
      <c r="V30" s="207">
        <f t="shared" si="0"/>
        <v>315.72447812499996</v>
      </c>
      <c r="W30" s="208" t="str">
        <f>IF(COUNTIF($C$15:C30,C30)=1,C30 &amp; " - " &amp; TEXT(SUMIF($C:$C,C30,$T:$T),"0.00"),"")</f>
        <v/>
      </c>
      <c r="X30" s="209"/>
    </row>
    <row r="31" spans="1:34" s="210" customFormat="1" ht="31.5" customHeight="1" x14ac:dyDescent="0.2">
      <c r="A31" s="196">
        <f t="shared" si="5"/>
        <v>17</v>
      </c>
      <c r="B31" s="196"/>
      <c r="C31" s="196" t="s">
        <v>95</v>
      </c>
      <c r="D31" s="197"/>
      <c r="E31" s="197" t="s">
        <v>11</v>
      </c>
      <c r="F31" s="198" t="s">
        <v>123</v>
      </c>
      <c r="G31" s="199" t="str">
        <f>IF(COUNTIFS($C$15:C31,C31,$H$15:H31,H31)=1,
SUMIFS($I$15:$I$43,$C$15:$C$43,C31,$H$15:$H$43,H31)&amp;H31&amp;" "&amp;C31,
"")</f>
        <v>2F CFN50131W</v>
      </c>
      <c r="H31" s="197" t="s">
        <v>14</v>
      </c>
      <c r="I31" s="200">
        <v>1</v>
      </c>
      <c r="J31" s="249"/>
      <c r="K31" s="201" cm="1">
        <f t="array" ref="K31">IF(E31="untrim",_xlfn.XLOOKUP(1,(TRIM('SIZE GUIDE'!$A$3:$A$2015)=TRIM(E31))*(TRIM('SIZE GUIDE'!$B$3:$B$2015)=TRIM(F31))*(TRIM('SIZE GUIDE'!$C$3:$C$2015)=TRIM(H31)),'SIZE GUIDE'!$D$3:$D$2015),"")</f>
        <v>76</v>
      </c>
      <c r="L31" s="265" cm="1">
        <f t="array" ref="L31">IF(E31="untrim",IFERROR(INDEX('SIZE GUIDE'!$E:$E,MATCH(1,('SIZE GUIDE'!$A:$A=$E31)*('SIZE GUIDE'!$B:$B=$F31)*('SIZE GUIDE'!$C:$C=$H31),0)),""),"")</f>
        <v>55</v>
      </c>
      <c r="M31" s="202">
        <v>40.5</v>
      </c>
      <c r="N31" s="203" t="str" cm="1">
        <f t="array" ref="N31">IF(E31="trim",_xlfn.XLOOKUP(1,(TRIM('SIZE GUIDE'!$A$3:$A$2015)=TRIM(E31))*(TRIM('SIZE GUIDE'!$B$3:$B$2015)=TRIM(F31))*(TRIM('SIZE GUIDE'!$C$3:$C$2015)=TRIM(H31)),'SIZE GUIDE'!$D$3:$D$2015),"")</f>
        <v/>
      </c>
      <c r="O31" s="203" t="str" cm="1">
        <f t="array" ref="O31">IF(E31="trim",IFERROR(INDEX('SIZE GUIDE'!$E:$E,MATCH(1,('SIZE GUIDE'!$A:$A=$E31)*('SIZE GUIDE'!$B:$B=$F31)*('SIZE GUIDE'!$C:$C=$H31),0)),""),"")</f>
        <v/>
      </c>
      <c r="P31" s="203"/>
      <c r="Q31" s="204">
        <f t="shared" si="1"/>
        <v>74.5</v>
      </c>
      <c r="R31" s="198">
        <f t="shared" si="2"/>
        <v>53.5</v>
      </c>
      <c r="S31" s="198">
        <f t="shared" si="3"/>
        <v>40</v>
      </c>
      <c r="T31" s="205">
        <f t="shared" si="4"/>
        <v>1107.1527777777778</v>
      </c>
      <c r="U31" s="206">
        <f>SUMIFS(CODE_PRICE!F:F,CODE_PRICE!B:B,C31,CODE_PRICE!A:A,$A$8)</f>
        <v>0.2316</v>
      </c>
      <c r="V31" s="207">
        <f t="shared" si="0"/>
        <v>256.41658333333334</v>
      </c>
      <c r="W31" s="208" t="str">
        <f>IF(COUNTIF($C$15:C31,C31)=1,C31 &amp; " - " &amp; TEXT(SUMIF($C:$C,C31,$T:$T),"0.00"),"")</f>
        <v/>
      </c>
      <c r="X31" s="209"/>
    </row>
    <row r="32" spans="1:34" s="210" customFormat="1" ht="31.5" customHeight="1" x14ac:dyDescent="0.2">
      <c r="A32" s="196">
        <f t="shared" si="5"/>
        <v>18</v>
      </c>
      <c r="B32" s="196"/>
      <c r="C32" s="196" t="s">
        <v>95</v>
      </c>
      <c r="D32" s="197"/>
      <c r="E32" s="197" t="s">
        <v>11</v>
      </c>
      <c r="F32" s="198" t="s">
        <v>123</v>
      </c>
      <c r="G32" s="199" t="str">
        <f>IF(COUNTIFS($C$15:C32,C32,$H$15:H32,H32)=1,
SUMIFS($I$15:$I$43,$C$15:$C$43,C32,$H$15:$H$43,H32)&amp;H32&amp;" "&amp;C32,
"")</f>
        <v/>
      </c>
      <c r="H32" s="197" t="s">
        <v>14</v>
      </c>
      <c r="I32" s="200">
        <v>1</v>
      </c>
      <c r="J32" s="249"/>
      <c r="K32" s="201" cm="1">
        <f t="array" ref="K32">IF(E32="untrim",_xlfn.XLOOKUP(1,(TRIM('SIZE GUIDE'!$A$3:$A$2015)=TRIM(E32))*(TRIM('SIZE GUIDE'!$B$3:$B$2015)=TRIM(F32))*(TRIM('SIZE GUIDE'!$C$3:$C$2015)=TRIM(H32)),'SIZE GUIDE'!$D$3:$D$2015),"")</f>
        <v>76</v>
      </c>
      <c r="L32" s="265" cm="1">
        <f t="array" ref="L32">IF(E32="untrim",IFERROR(INDEX('SIZE GUIDE'!$E:$E,MATCH(1,('SIZE GUIDE'!$A:$A=$E32)*('SIZE GUIDE'!$B:$B=$F32)*('SIZE GUIDE'!$C:$C=$H32),0)),""),"")</f>
        <v>55</v>
      </c>
      <c r="M32" s="202">
        <v>41</v>
      </c>
      <c r="N32" s="203" t="str" cm="1">
        <f t="array" ref="N32">IF(E32="trim",_xlfn.XLOOKUP(1,(TRIM('SIZE GUIDE'!$A$3:$A$2015)=TRIM(E32))*(TRIM('SIZE GUIDE'!$B$3:$B$2015)=TRIM(F32))*(TRIM('SIZE GUIDE'!$C$3:$C$2015)=TRIM(H32)),'SIZE GUIDE'!$D$3:$D$2015),"")</f>
        <v/>
      </c>
      <c r="O32" s="203" t="str" cm="1">
        <f t="array" ref="O32">IF(E32="trim",IFERROR(INDEX('SIZE GUIDE'!$E:$E,MATCH(1,('SIZE GUIDE'!$A:$A=$E32)*('SIZE GUIDE'!$B:$B=$F32)*('SIZE GUIDE'!$C:$C=$H32),0)),""),"")</f>
        <v/>
      </c>
      <c r="P32" s="203"/>
      <c r="Q32" s="204">
        <f t="shared" si="1"/>
        <v>74.5</v>
      </c>
      <c r="R32" s="198">
        <f t="shared" si="2"/>
        <v>53.5</v>
      </c>
      <c r="S32" s="198">
        <f t="shared" si="3"/>
        <v>40.5</v>
      </c>
      <c r="T32" s="205">
        <f t="shared" si="4"/>
        <v>1120.9921875</v>
      </c>
      <c r="U32" s="206">
        <f>SUMIFS(CODE_PRICE!F:F,CODE_PRICE!B:B,C32,CODE_PRICE!A:A,$A$8)</f>
        <v>0.2316</v>
      </c>
      <c r="V32" s="207">
        <f t="shared" si="0"/>
        <v>259.62179062500002</v>
      </c>
      <c r="W32" s="208" t="str">
        <f>IF(COUNTIF($C$15:C32,C32)=1,C32 &amp; " - " &amp; TEXT(SUMIF($C:$C,C32,$T:$T),"0.00"),"")</f>
        <v/>
      </c>
      <c r="X32" s="209"/>
    </row>
    <row r="33" spans="1:24" s="210" customFormat="1" ht="31.5" hidden="1" customHeight="1" x14ac:dyDescent="0.2">
      <c r="A33" s="196"/>
      <c r="B33" s="196"/>
      <c r="C33" s="196"/>
      <c r="D33" s="197"/>
      <c r="E33" s="197"/>
      <c r="F33" s="198"/>
      <c r="G33" s="199"/>
      <c r="H33" s="197"/>
      <c r="I33" s="200"/>
      <c r="J33" s="249"/>
      <c r="K33" s="201"/>
      <c r="L33" s="265"/>
      <c r="M33" s="202"/>
      <c r="N33" s="203"/>
      <c r="O33" s="203"/>
      <c r="P33" s="203"/>
      <c r="Q33" s="204"/>
      <c r="R33" s="198"/>
      <c r="S33" s="198"/>
      <c r="T33" s="205"/>
      <c r="U33" s="206"/>
      <c r="V33" s="207"/>
      <c r="W33" s="208"/>
      <c r="X33" s="209"/>
    </row>
    <row r="34" spans="1:24" s="210" customFormat="1" ht="31.5" hidden="1" customHeight="1" x14ac:dyDescent="0.2">
      <c r="A34" s="196"/>
      <c r="B34" s="196"/>
      <c r="C34" s="196"/>
      <c r="D34" s="197"/>
      <c r="E34" s="197"/>
      <c r="F34" s="198"/>
      <c r="G34" s="199"/>
      <c r="H34" s="197"/>
      <c r="I34" s="200"/>
      <c r="J34" s="249"/>
      <c r="K34" s="201"/>
      <c r="L34" s="265"/>
      <c r="M34" s="202"/>
      <c r="N34" s="203"/>
      <c r="O34" s="203"/>
      <c r="P34" s="203"/>
      <c r="Q34" s="204"/>
      <c r="R34" s="198"/>
      <c r="S34" s="198"/>
      <c r="T34" s="205"/>
      <c r="U34" s="206"/>
      <c r="V34" s="207"/>
      <c r="W34" s="208"/>
      <c r="X34" s="209"/>
    </row>
    <row r="35" spans="1:24" s="210" customFormat="1" ht="31.5" hidden="1" customHeight="1" x14ac:dyDescent="0.2">
      <c r="A35" s="196"/>
      <c r="B35" s="196"/>
      <c r="C35" s="196"/>
      <c r="D35" s="197"/>
      <c r="E35" s="197"/>
      <c r="F35" s="198"/>
      <c r="G35" s="199"/>
      <c r="H35" s="197"/>
      <c r="I35" s="200"/>
      <c r="J35" s="249"/>
      <c r="K35" s="201"/>
      <c r="L35" s="265"/>
      <c r="M35" s="202"/>
      <c r="N35" s="203"/>
      <c r="O35" s="203"/>
      <c r="P35" s="203"/>
      <c r="Q35" s="204"/>
      <c r="R35" s="198"/>
      <c r="S35" s="198"/>
      <c r="T35" s="205"/>
      <c r="U35" s="206"/>
      <c r="V35" s="207"/>
      <c r="W35" s="208"/>
      <c r="X35" s="209"/>
    </row>
    <row r="36" spans="1:24" s="210" customFormat="1" ht="31.5" hidden="1" customHeight="1" x14ac:dyDescent="0.2">
      <c r="A36" s="196"/>
      <c r="B36" s="196"/>
      <c r="C36" s="196"/>
      <c r="D36" s="197"/>
      <c r="E36" s="197"/>
      <c r="F36" s="198"/>
      <c r="G36" s="199"/>
      <c r="H36" s="197"/>
      <c r="I36" s="200"/>
      <c r="J36" s="249"/>
      <c r="K36" s="201"/>
      <c r="L36" s="265"/>
      <c r="M36" s="202"/>
      <c r="N36" s="203"/>
      <c r="O36" s="203"/>
      <c r="P36" s="203"/>
      <c r="Q36" s="204"/>
      <c r="R36" s="198"/>
      <c r="S36" s="198"/>
      <c r="T36" s="205"/>
      <c r="U36" s="206"/>
      <c r="V36" s="207"/>
      <c r="W36" s="208"/>
      <c r="X36" s="209"/>
    </row>
    <row r="37" spans="1:24" s="210" customFormat="1" ht="31.5" hidden="1" customHeight="1" x14ac:dyDescent="0.2">
      <c r="A37" s="196"/>
      <c r="B37" s="196"/>
      <c r="C37" s="196"/>
      <c r="D37" s="197"/>
      <c r="E37" s="197"/>
      <c r="F37" s="198"/>
      <c r="G37" s="199"/>
      <c r="H37" s="197"/>
      <c r="I37" s="200"/>
      <c r="J37" s="249"/>
      <c r="K37" s="201"/>
      <c r="L37" s="265"/>
      <c r="M37" s="202"/>
      <c r="N37" s="203"/>
      <c r="O37" s="203"/>
      <c r="P37" s="203"/>
      <c r="Q37" s="204"/>
      <c r="R37" s="198"/>
      <c r="S37" s="198"/>
      <c r="T37" s="205"/>
      <c r="U37" s="206"/>
      <c r="V37" s="207"/>
      <c r="W37" s="208"/>
      <c r="X37" s="209"/>
    </row>
    <row r="38" spans="1:24" s="210" customFormat="1" ht="31.5" hidden="1" customHeight="1" x14ac:dyDescent="0.2">
      <c r="A38" s="196"/>
      <c r="B38" s="196"/>
      <c r="C38" s="196"/>
      <c r="D38" s="197"/>
      <c r="E38" s="197"/>
      <c r="F38" s="198"/>
      <c r="G38" s="199"/>
      <c r="H38" s="197"/>
      <c r="I38" s="200"/>
      <c r="J38" s="249"/>
      <c r="K38" s="201"/>
      <c r="L38" s="265"/>
      <c r="M38" s="202"/>
      <c r="N38" s="203"/>
      <c r="O38" s="203"/>
      <c r="P38" s="203"/>
      <c r="Q38" s="204"/>
      <c r="R38" s="198"/>
      <c r="S38" s="198"/>
      <c r="T38" s="205"/>
      <c r="U38" s="206"/>
      <c r="V38" s="207"/>
      <c r="W38" s="208"/>
      <c r="X38" s="209"/>
    </row>
    <row r="39" spans="1:24" s="210" customFormat="1" ht="31.5" hidden="1" customHeight="1" x14ac:dyDescent="0.2">
      <c r="A39" s="196"/>
      <c r="B39" s="196"/>
      <c r="C39" s="196"/>
      <c r="D39" s="197"/>
      <c r="E39" s="197"/>
      <c r="F39" s="198"/>
      <c r="G39" s="199"/>
      <c r="H39" s="197"/>
      <c r="I39" s="200"/>
      <c r="J39" s="249"/>
      <c r="K39" s="201"/>
      <c r="L39" s="265"/>
      <c r="M39" s="202"/>
      <c r="N39" s="203"/>
      <c r="O39" s="203"/>
      <c r="P39" s="203"/>
      <c r="Q39" s="204"/>
      <c r="R39" s="198"/>
      <c r="S39" s="198"/>
      <c r="T39" s="205"/>
      <c r="U39" s="206"/>
      <c r="V39" s="207"/>
      <c r="W39" s="208"/>
      <c r="X39" s="209"/>
    </row>
    <row r="40" spans="1:24" s="210" customFormat="1" ht="31.5" hidden="1" customHeight="1" x14ac:dyDescent="0.2">
      <c r="A40" s="196"/>
      <c r="B40" s="196"/>
      <c r="C40" s="196"/>
      <c r="D40" s="197"/>
      <c r="E40" s="197"/>
      <c r="F40" s="198"/>
      <c r="G40" s="199"/>
      <c r="H40" s="197"/>
      <c r="I40" s="200"/>
      <c r="J40" s="249"/>
      <c r="K40" s="201"/>
      <c r="L40" s="265"/>
      <c r="M40" s="202"/>
      <c r="N40" s="203"/>
      <c r="O40" s="203"/>
      <c r="P40" s="203"/>
      <c r="Q40" s="204"/>
      <c r="R40" s="198"/>
      <c r="S40" s="198"/>
      <c r="T40" s="205"/>
      <c r="U40" s="206"/>
      <c r="V40" s="207"/>
      <c r="W40" s="208"/>
      <c r="X40" s="209"/>
    </row>
    <row r="41" spans="1:24" s="210" customFormat="1" ht="31.5" hidden="1" customHeight="1" x14ac:dyDescent="0.2">
      <c r="A41" s="196"/>
      <c r="B41" s="196"/>
      <c r="C41" s="196"/>
      <c r="D41" s="260"/>
      <c r="E41" s="197"/>
      <c r="F41" s="198"/>
      <c r="G41" s="199"/>
      <c r="H41" s="197"/>
      <c r="I41" s="200"/>
      <c r="J41" s="249"/>
      <c r="K41" s="201"/>
      <c r="L41" s="265"/>
      <c r="M41" s="202"/>
      <c r="N41" s="203"/>
      <c r="O41" s="203"/>
      <c r="P41" s="203"/>
      <c r="Q41" s="204"/>
      <c r="R41" s="198"/>
      <c r="S41" s="198"/>
      <c r="T41" s="205"/>
      <c r="U41" s="206"/>
      <c r="V41" s="207"/>
      <c r="W41" s="198"/>
      <c r="X41" s="238"/>
    </row>
    <row r="42" spans="1:24" s="210" customFormat="1" ht="31.5" hidden="1" customHeight="1" x14ac:dyDescent="0.2">
      <c r="A42" s="196"/>
      <c r="B42" s="196"/>
      <c r="C42" s="196"/>
      <c r="D42" s="260"/>
      <c r="E42" s="197"/>
      <c r="F42" s="198"/>
      <c r="G42" s="199"/>
      <c r="H42" s="197"/>
      <c r="I42" s="200"/>
      <c r="J42" s="249"/>
      <c r="K42" s="201"/>
      <c r="L42" s="265"/>
      <c r="M42" s="202"/>
      <c r="N42" s="203"/>
      <c r="O42" s="203"/>
      <c r="P42" s="203"/>
      <c r="Q42" s="204"/>
      <c r="R42" s="198"/>
      <c r="S42" s="198"/>
      <c r="T42" s="205"/>
      <c r="U42" s="206"/>
      <c r="V42" s="207"/>
      <c r="W42" s="198"/>
      <c r="X42" s="238"/>
    </row>
    <row r="43" spans="1:24" s="210" customFormat="1" ht="31.5" hidden="1" customHeight="1" x14ac:dyDescent="0.2">
      <c r="A43" s="196"/>
      <c r="B43" s="196"/>
      <c r="C43" s="196"/>
      <c r="D43" s="260"/>
      <c r="E43" s="197"/>
      <c r="F43" s="198"/>
      <c r="G43" s="199"/>
      <c r="H43" s="197"/>
      <c r="I43" s="200"/>
      <c r="J43" s="249"/>
      <c r="K43" s="201"/>
      <c r="L43" s="265"/>
      <c r="M43" s="202"/>
      <c r="N43" s="203"/>
      <c r="O43" s="203"/>
      <c r="P43" s="203"/>
      <c r="Q43" s="204"/>
      <c r="R43" s="198"/>
      <c r="S43" s="198"/>
      <c r="T43" s="205"/>
      <c r="U43" s="206"/>
      <c r="V43" s="207"/>
      <c r="W43" s="198"/>
      <c r="X43" s="238"/>
    </row>
    <row r="44" spans="1:24" s="284" customFormat="1" ht="31.5" hidden="1" customHeight="1" x14ac:dyDescent="0.2">
      <c r="A44" s="270"/>
      <c r="B44" s="270"/>
      <c r="C44" s="270"/>
      <c r="D44" s="271"/>
      <c r="E44" s="272"/>
      <c r="F44" s="273"/>
      <c r="G44" s="274"/>
      <c r="H44" s="272"/>
      <c r="I44" s="275"/>
      <c r="J44" s="276"/>
      <c r="K44" s="277"/>
      <c r="L44" s="278"/>
      <c r="M44" s="279"/>
      <c r="N44" s="277"/>
      <c r="O44" s="277"/>
      <c r="P44" s="277"/>
      <c r="Q44" s="277"/>
      <c r="R44" s="273"/>
      <c r="S44" s="273"/>
      <c r="T44" s="280"/>
      <c r="U44" s="281"/>
      <c r="V44" s="282"/>
      <c r="W44" s="273"/>
      <c r="X44" s="283"/>
    </row>
    <row r="45" spans="1:24" s="284" customFormat="1" ht="31.5" hidden="1" customHeight="1" x14ac:dyDescent="0.2">
      <c r="A45" s="270"/>
      <c r="B45" s="270"/>
      <c r="C45" s="270"/>
      <c r="D45" s="271"/>
      <c r="E45" s="272"/>
      <c r="F45" s="273"/>
      <c r="G45" s="274"/>
      <c r="H45" s="272"/>
      <c r="I45" s="275"/>
      <c r="J45" s="276"/>
      <c r="K45" s="277"/>
      <c r="L45" s="278"/>
      <c r="M45" s="279"/>
      <c r="N45" s="277"/>
      <c r="O45" s="277"/>
      <c r="P45" s="277"/>
      <c r="Q45" s="277"/>
      <c r="R45" s="273"/>
      <c r="S45" s="273"/>
      <c r="T45" s="280"/>
      <c r="U45" s="281"/>
      <c r="V45" s="282"/>
      <c r="W45" s="273"/>
      <c r="X45" s="283"/>
    </row>
    <row r="46" spans="1:24" s="210" customFormat="1" ht="31.5" customHeight="1" x14ac:dyDescent="0.2">
      <c r="A46" s="212"/>
      <c r="B46" s="212"/>
      <c r="C46" s="212"/>
      <c r="D46" s="212"/>
      <c r="E46" s="213"/>
      <c r="F46" s="212"/>
      <c r="G46" s="212"/>
      <c r="H46" s="214" t="s">
        <v>155</v>
      </c>
      <c r="I46" s="215">
        <f>SUM(I13:I43)</f>
        <v>18</v>
      </c>
      <c r="J46" s="248"/>
      <c r="K46" s="216"/>
      <c r="L46" s="264"/>
      <c r="M46" s="216"/>
      <c r="N46" s="217"/>
      <c r="O46" s="217"/>
      <c r="P46" s="217"/>
      <c r="Q46" s="213"/>
      <c r="R46" s="213"/>
      <c r="S46" s="213"/>
      <c r="T46" s="218">
        <f>SUM(T13:T45)</f>
        <v>27014.202256944438</v>
      </c>
      <c r="U46" s="219"/>
      <c r="V46" s="220">
        <f>SUM(V13:V45)</f>
        <v>6256.4892427083341</v>
      </c>
      <c r="W46" s="219"/>
      <c r="X46" s="220"/>
    </row>
    <row r="47" spans="1:24" s="210" customFormat="1" ht="31.5" customHeight="1" x14ac:dyDescent="0.2">
      <c r="A47" s="196"/>
      <c r="B47" s="196"/>
      <c r="C47" s="196"/>
      <c r="D47" s="197"/>
      <c r="E47" s="197"/>
      <c r="F47" s="198"/>
      <c r="G47" s="199"/>
      <c r="H47" s="221" t="s">
        <v>156</v>
      </c>
      <c r="I47" s="222"/>
      <c r="J47" s="250"/>
      <c r="K47" s="204"/>
      <c r="L47" s="266"/>
      <c r="M47" s="223"/>
      <c r="N47" s="204"/>
      <c r="O47" s="204"/>
      <c r="P47" s="204"/>
      <c r="Q47" s="224"/>
      <c r="R47" s="224"/>
      <c r="S47" s="224"/>
      <c r="T47" s="205"/>
      <c r="U47" s="224"/>
      <c r="V47" s="207"/>
      <c r="W47" s="224"/>
      <c r="X47" s="207"/>
    </row>
    <row r="48" spans="1:24" s="210" customFormat="1" ht="31.5" customHeight="1" x14ac:dyDescent="0.2">
      <c r="A48" s="212"/>
      <c r="B48" s="212"/>
      <c r="C48" s="212"/>
      <c r="D48" s="213"/>
      <c r="E48" s="213"/>
      <c r="F48" s="213"/>
      <c r="G48" s="213"/>
      <c r="H48" s="214" t="s">
        <v>162</v>
      </c>
      <c r="I48" s="215">
        <f>SUM(I15:I43)</f>
        <v>18</v>
      </c>
      <c r="J48" s="248"/>
      <c r="K48" s="216"/>
      <c r="L48" s="264"/>
      <c r="M48" s="216"/>
      <c r="N48" s="217"/>
      <c r="O48" s="217"/>
      <c r="P48" s="217"/>
      <c r="Q48" s="213"/>
      <c r="R48" s="213"/>
      <c r="S48" s="213"/>
      <c r="T48" s="218">
        <f>SUM(T15:T45)</f>
        <v>27014.202256944438</v>
      </c>
      <c r="U48" s="219"/>
      <c r="V48" s="220">
        <f>+V46+V47</f>
        <v>6256.4892427083341</v>
      </c>
      <c r="W48" s="219"/>
      <c r="X48" s="220"/>
    </row>
    <row r="49" spans="1:24" s="228" customFormat="1" ht="15" customHeight="1" x14ac:dyDescent="0.25">
      <c r="A49" s="225"/>
      <c r="B49" s="225"/>
      <c r="C49" s="225"/>
      <c r="D49" s="225"/>
      <c r="E49" s="225"/>
      <c r="F49" s="226"/>
      <c r="G49" s="225"/>
      <c r="H49" s="227"/>
      <c r="I49" s="227"/>
      <c r="J49" s="251"/>
      <c r="L49" s="267"/>
      <c r="V49" s="229"/>
      <c r="X49" s="230"/>
    </row>
    <row r="50" spans="1:24" s="228" customFormat="1" ht="15" customHeight="1" x14ac:dyDescent="0.25">
      <c r="A50" s="225" t="s">
        <v>218</v>
      </c>
      <c r="B50" s="225"/>
      <c r="C50" s="225"/>
      <c r="D50" s="225"/>
      <c r="E50" s="225"/>
      <c r="F50" s="226"/>
      <c r="G50" s="225"/>
      <c r="H50" s="227"/>
      <c r="I50" s="227"/>
      <c r="J50" s="251"/>
      <c r="L50" s="267"/>
      <c r="V50" s="229"/>
      <c r="X50" s="230"/>
    </row>
    <row r="51" spans="1:24" s="228" customFormat="1" ht="15" customHeight="1" x14ac:dyDescent="0.25">
      <c r="A51" s="225"/>
      <c r="B51" s="225"/>
      <c r="C51" s="225"/>
      <c r="D51" s="225"/>
      <c r="E51" s="225"/>
      <c r="F51" s="226"/>
      <c r="G51" s="225"/>
      <c r="H51" s="227"/>
      <c r="I51" s="227"/>
      <c r="J51" s="251"/>
      <c r="L51" s="267"/>
      <c r="V51" s="229"/>
      <c r="X51" s="230"/>
    </row>
    <row r="52" spans="1:24" s="228" customFormat="1" ht="15" customHeight="1" x14ac:dyDescent="0.25">
      <c r="A52" s="225" t="s">
        <v>219</v>
      </c>
      <c r="B52" s="225"/>
      <c r="C52" s="225"/>
      <c r="D52" s="225"/>
      <c r="E52" s="225"/>
      <c r="F52" s="226"/>
      <c r="G52" s="225"/>
      <c r="H52" s="227"/>
      <c r="I52" s="227"/>
      <c r="J52" s="251"/>
      <c r="L52" s="267"/>
      <c r="V52" s="229"/>
      <c r="X52" s="230"/>
    </row>
    <row r="53" spans="1:24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252"/>
      <c r="K53" s="35"/>
      <c r="L53" s="268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4" ht="15" customHeight="1" x14ac:dyDescent="0.25">
      <c r="A54" s="48"/>
      <c r="B54" s="48"/>
      <c r="C54" s="48"/>
      <c r="D54" s="48"/>
      <c r="E54" s="48"/>
      <c r="F54" s="84"/>
      <c r="G54" s="48"/>
      <c r="H54" s="85"/>
      <c r="I54" s="85"/>
      <c r="J54" s="252"/>
      <c r="K54" s="35"/>
      <c r="L54" s="268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4" ht="15" customHeight="1" x14ac:dyDescent="0.25">
      <c r="A55" s="86"/>
      <c r="B55" s="318"/>
      <c r="C55" s="318"/>
      <c r="D55" s="318"/>
      <c r="E55" s="318"/>
      <c r="F55" s="318"/>
      <c r="G55" s="318"/>
      <c r="H55" s="318"/>
      <c r="I55" s="318"/>
      <c r="J55" s="318"/>
      <c r="K55" s="35"/>
      <c r="L55" s="268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4" ht="15" customHeight="1" x14ac:dyDescent="0.25">
      <c r="A56" s="86"/>
      <c r="B56" s="319"/>
      <c r="C56" s="319"/>
      <c r="D56" s="319"/>
      <c r="E56" s="319"/>
      <c r="F56" s="319"/>
      <c r="G56" s="319"/>
      <c r="H56" s="319"/>
      <c r="I56" s="319"/>
      <c r="J56" s="319"/>
      <c r="K56" s="35"/>
      <c r="L56" s="268"/>
      <c r="M56" s="35"/>
      <c r="N56" s="35"/>
      <c r="O56" s="35"/>
      <c r="P56" s="35"/>
      <c r="Q56" s="35"/>
      <c r="R56" s="35"/>
      <c r="S56" s="35"/>
      <c r="T56" s="35"/>
      <c r="U56" s="35"/>
      <c r="V56" s="89"/>
    </row>
  </sheetData>
  <mergeCells count="5">
    <mergeCell ref="A7:E7"/>
    <mergeCell ref="F7:G7"/>
    <mergeCell ref="R9:S9"/>
    <mergeCell ref="B55:J55"/>
    <mergeCell ref="B56:J56"/>
  </mergeCells>
  <pageMargins left="0" right="0" top="1" bottom="0" header="0.511811023622047" footer="0.511811023622047"/>
  <pageSetup paperSize="9" scale="26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colBreaks count="2" manualBreakCount="2">
    <brk id="4" max="1048575" man="1"/>
    <brk id="6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xr:uid="{DEEB62DF-29AE-451D-BF05-055770D61A4A}">
          <x14:formula1>
            <xm:f>CODE_MASTER_AS!$A$3:$A$14</xm:f>
          </x14:formula1>
          <xm:sqref>C47:C48 F46:G46 C15:C45</xm:sqref>
        </x14:dataValidation>
        <x14:dataValidation type="list" allowBlank="1" xr:uid="{FEE51119-2622-4909-AC7C-8A155F06EC8F}">
          <x14:formula1>
            <xm:f>LISTS!$B$2:$B$8</xm:f>
          </x14:formula1>
          <x14:formula2>
            <xm:f>0</xm:f>
          </x14:formula2>
          <xm:sqref>H15:H48</xm:sqref>
        </x14:dataValidation>
        <x14:dataValidation type="list" allowBlank="1" xr:uid="{50D67C0F-C165-4B88-A3C0-3005615ED0EA}">
          <x14:formula1>
            <xm:f>'SIZE GUIDE'!$A$3:$A$38</xm:f>
          </x14:formula1>
          <xm:sqref>E15:E48</xm:sqref>
        </x14:dataValidation>
        <x14:dataValidation type="list" allowBlank="1" showInputMessage="1" showErrorMessage="1" xr:uid="{F3D37C09-94D6-44F4-9478-A33208B931D4}">
          <x14:formula1>
            <xm:f>'SIZE GUIDE'!$B:$B</xm:f>
          </x14:formula1>
          <xm:sqref>G46 F15:F48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ABBEF-8D7F-4345-A7B2-4D1DA96C0DAC}">
  <sheetPr codeName="Sheet8">
    <pageSetUpPr fitToPage="1"/>
  </sheetPr>
  <dimension ref="A1:AH56"/>
  <sheetViews>
    <sheetView showGridLines="0" view="pageBreakPreview" topLeftCell="A2" zoomScale="80" zoomScaleNormal="68" zoomScaleSheetLayoutView="80" workbookViewId="0">
      <selection activeCell="W24" sqref="W24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25" style="16" hidden="1" customWidth="1"/>
    <col min="5" max="5" width="16.83203125" style="16" customWidth="1"/>
    <col min="6" max="6" width="15.33203125" style="16" hidden="1" customWidth="1"/>
    <col min="7" max="7" width="23.5" style="16" bestFit="1" customWidth="1"/>
    <col min="8" max="9" width="10.6640625" style="16" customWidth="1"/>
    <col min="10" max="10" width="10.6640625" style="15" hidden="1" customWidth="1"/>
    <col min="11" max="11" width="10.6640625" style="16" hidden="1" customWidth="1"/>
    <col min="12" max="12" width="10.6640625" style="269" hidden="1" customWidth="1"/>
    <col min="13" max="16" width="10.6640625" style="16" hidden="1" customWidth="1"/>
    <col min="17" max="19" width="10.6640625" style="16" customWidth="1"/>
    <col min="20" max="20" width="14.6640625" style="16" customWidth="1"/>
    <col min="21" max="21" width="14.1640625" style="16" customWidth="1"/>
    <col min="22" max="22" width="14.5" style="98" customWidth="1"/>
    <col min="23" max="23" width="28.1640625" style="16" customWidth="1"/>
    <col min="24" max="24" width="20.33203125" style="23" customWidth="1"/>
    <col min="25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45"/>
      <c r="K1" s="29"/>
      <c r="L1" s="261"/>
      <c r="M1" s="29" t="s">
        <v>204</v>
      </c>
      <c r="N1" s="27"/>
      <c r="O1" s="27"/>
      <c r="P1" s="27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246"/>
      <c r="K2" s="31"/>
      <c r="L2" s="261"/>
      <c r="M2" s="32" t="s">
        <v>161</v>
      </c>
      <c r="N2" s="27"/>
      <c r="O2" s="27"/>
      <c r="P2" s="28" t="s">
        <v>160</v>
      </c>
      <c r="R2" s="20"/>
      <c r="S2" s="21"/>
      <c r="U2" s="13"/>
      <c r="V2" s="20"/>
      <c r="W2" s="20"/>
      <c r="X2" s="20" t="s">
        <v>151</v>
      </c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247"/>
      <c r="K3" s="37"/>
      <c r="L3" s="262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247"/>
      <c r="K4" s="37"/>
      <c r="L4" s="262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247"/>
      <c r="K5" s="37"/>
      <c r="L5" s="262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247"/>
      <c r="K6" s="37"/>
      <c r="L6" s="262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5" t="s">
        <v>143</v>
      </c>
      <c r="B7" s="315"/>
      <c r="C7" s="315"/>
      <c r="D7" s="315"/>
      <c r="E7" s="315"/>
      <c r="F7" s="316"/>
      <c r="G7" s="316"/>
      <c r="H7" s="35"/>
      <c r="I7" s="35"/>
      <c r="J7" s="247"/>
      <c r="K7" s="37"/>
      <c r="L7" s="262"/>
      <c r="M7" s="37"/>
      <c r="N7" s="38"/>
      <c r="O7" s="38"/>
      <c r="P7" s="38"/>
      <c r="Q7" s="231" t="s">
        <v>147</v>
      </c>
      <c r="R7" s="231"/>
      <c r="S7" s="231"/>
      <c r="T7" s="231"/>
      <c r="U7" s="231"/>
      <c r="V7" s="231" t="s">
        <v>148</v>
      </c>
      <c r="W7" s="231"/>
      <c r="X7" s="231"/>
    </row>
    <row r="8" spans="1:24" ht="15" customHeight="1" x14ac:dyDescent="0.25">
      <c r="A8" s="44" t="s">
        <v>212</v>
      </c>
      <c r="B8" s="45"/>
      <c r="C8" s="45"/>
      <c r="D8" s="46"/>
      <c r="E8" s="46"/>
      <c r="F8" s="36"/>
      <c r="G8" s="46"/>
      <c r="H8" s="35"/>
      <c r="I8" s="35"/>
      <c r="J8" s="247"/>
      <c r="K8" s="37"/>
      <c r="L8" s="262"/>
      <c r="M8" s="37"/>
      <c r="N8" s="38"/>
      <c r="O8" s="38"/>
      <c r="P8" s="38"/>
      <c r="Q8" s="190" t="s">
        <v>256</v>
      </c>
      <c r="R8" s="191"/>
      <c r="S8" s="192"/>
      <c r="T8" s="193"/>
      <c r="U8" s="194"/>
      <c r="V8" s="195">
        <v>46190</v>
      </c>
      <c r="W8" s="232"/>
      <c r="X8" s="233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247"/>
      <c r="K9" s="37"/>
      <c r="L9" s="262"/>
      <c r="M9" s="37"/>
      <c r="N9" s="38"/>
      <c r="O9" s="38"/>
      <c r="P9" s="38"/>
      <c r="Q9" s="225"/>
      <c r="R9" s="317"/>
      <c r="S9" s="317"/>
      <c r="T9" s="228"/>
      <c r="U9" s="234"/>
      <c r="V9" s="235"/>
      <c r="W9" s="232"/>
      <c r="X9" s="233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247"/>
      <c r="K10" s="37"/>
      <c r="L10" s="262"/>
      <c r="M10" s="37"/>
      <c r="N10" s="38"/>
      <c r="O10" s="38"/>
      <c r="P10" s="38"/>
      <c r="Q10" s="236" t="s">
        <v>149</v>
      </c>
      <c r="R10" s="231"/>
      <c r="S10" s="231"/>
      <c r="T10" s="231"/>
      <c r="U10" s="231"/>
      <c r="V10" s="231" t="s">
        <v>150</v>
      </c>
      <c r="W10" s="231"/>
      <c r="X10" s="231"/>
    </row>
    <row r="11" spans="1:24" ht="15" customHeight="1" x14ac:dyDescent="0.25">
      <c r="A11" s="188" t="s">
        <v>233</v>
      </c>
      <c r="B11" s="34"/>
      <c r="C11" s="35"/>
      <c r="D11" s="35"/>
      <c r="E11" s="46"/>
      <c r="F11" s="46"/>
      <c r="G11" s="46"/>
      <c r="H11" s="35"/>
      <c r="I11" s="35"/>
      <c r="J11" s="247"/>
      <c r="K11" s="37"/>
      <c r="L11" s="262"/>
      <c r="M11" s="37"/>
      <c r="N11" s="38"/>
      <c r="O11" s="38"/>
      <c r="P11" s="38"/>
      <c r="Q11" s="190" t="s">
        <v>250</v>
      </c>
      <c r="R11" s="190"/>
      <c r="S11" s="190"/>
      <c r="T11" s="193"/>
      <c r="U11" s="194"/>
      <c r="V11" s="190"/>
      <c r="W11" s="232"/>
      <c r="X11" s="233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247"/>
      <c r="K12" s="37"/>
      <c r="L12" s="262"/>
      <c r="M12" s="37"/>
      <c r="N12" s="38"/>
      <c r="O12" s="38"/>
      <c r="P12" s="38"/>
      <c r="Q12" s="190"/>
      <c r="R12" s="190"/>
      <c r="S12" s="190"/>
      <c r="T12" s="190"/>
      <c r="U12" s="194"/>
      <c r="V12" s="237"/>
      <c r="W12" s="232"/>
      <c r="X12" s="233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4"/>
      <c r="K13" s="50"/>
      <c r="L13" s="263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210" customFormat="1" ht="39.75" customHeight="1" x14ac:dyDescent="0.2">
      <c r="A14" s="212" t="s">
        <v>158</v>
      </c>
      <c r="B14" s="212" t="s">
        <v>0</v>
      </c>
      <c r="C14" s="212" t="s">
        <v>1</v>
      </c>
      <c r="D14" s="213" t="s">
        <v>135</v>
      </c>
      <c r="E14" s="213" t="s">
        <v>157</v>
      </c>
      <c r="F14" s="213" t="s">
        <v>3</v>
      </c>
      <c r="G14" s="213" t="s">
        <v>152</v>
      </c>
      <c r="H14" s="213" t="s">
        <v>105</v>
      </c>
      <c r="I14" s="213" t="s">
        <v>5</v>
      </c>
      <c r="J14" s="248" t="s">
        <v>64</v>
      </c>
      <c r="K14" s="216" t="s">
        <v>136</v>
      </c>
      <c r="L14" s="264" t="s">
        <v>24</v>
      </c>
      <c r="M14" s="216" t="s">
        <v>108</v>
      </c>
      <c r="N14" s="217" t="s">
        <v>136</v>
      </c>
      <c r="O14" s="217" t="s">
        <v>24</v>
      </c>
      <c r="P14" s="259" t="s">
        <v>108</v>
      </c>
      <c r="Q14" s="213" t="s">
        <v>136</v>
      </c>
      <c r="R14" s="213" t="s">
        <v>24</v>
      </c>
      <c r="S14" s="213" t="s">
        <v>108</v>
      </c>
      <c r="T14" s="218" t="s">
        <v>159</v>
      </c>
      <c r="U14" s="219" t="s">
        <v>6</v>
      </c>
      <c r="V14" s="220" t="s">
        <v>7</v>
      </c>
      <c r="W14" s="220" t="s">
        <v>140</v>
      </c>
      <c r="X14" s="220" t="s">
        <v>141</v>
      </c>
    </row>
    <row r="15" spans="1:24" s="210" customFormat="1" ht="31.5" customHeight="1" x14ac:dyDescent="0.2">
      <c r="A15" s="196">
        <v>1</v>
      </c>
      <c r="B15" s="196"/>
      <c r="C15" s="196" t="s">
        <v>95</v>
      </c>
      <c r="D15" s="197"/>
      <c r="E15" s="197" t="s">
        <v>11</v>
      </c>
      <c r="F15" s="198" t="s">
        <v>123</v>
      </c>
      <c r="G15" s="199" t="str">
        <f>IF(COUNTIFS($C$15:C15,C15,$H$15:H15,H15)=1,
SUMIFS($I$15:$I$43,$C$15:$C$43,C15,$H$15:$H$43,H15)&amp;H15&amp;" "&amp;C15,
"")</f>
        <v>1K CFN50131W</v>
      </c>
      <c r="H15" s="197" t="s">
        <v>18</v>
      </c>
      <c r="I15" s="200">
        <v>1</v>
      </c>
      <c r="J15" s="249"/>
      <c r="K15" s="201" cm="1">
        <f t="array" ref="K15">IF(E15="untrim",_xlfn.XLOOKUP(1,(TRIM('SIZE GUIDE'!$A$3:$A$2015)=TRIM(E15))*(TRIM('SIZE GUIDE'!$B$3:$B$2015)=TRIM(F15))*(TRIM('SIZE GUIDE'!$C$3:$C$2015)=TRIM(H15)),'SIZE GUIDE'!$D$3:$D$2015),"")</f>
        <v>81</v>
      </c>
      <c r="L15" s="265" cm="1">
        <f t="array" ref="L15">IF(E15="untrim",IFERROR(INDEX('SIZE GUIDE'!$E:$E,MATCH(1,('SIZE GUIDE'!$A:$A=$E15)*('SIZE GUIDE'!$B:$B=$F15)*('SIZE GUIDE'!$C:$C=$H15),0)),""),"")</f>
        <v>77</v>
      </c>
      <c r="M15" s="202">
        <v>43.5</v>
      </c>
      <c r="N15" s="203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203" t="str" cm="1">
        <f t="array" ref="O15">IF(E15="trim",IFERROR(INDEX('SIZE GUIDE'!$E:$E,MATCH(1,('SIZE GUIDE'!$A:$A=$E15)*('SIZE GUIDE'!$B:$B=$F15)*('SIZE GUIDE'!$C:$C=$H15),0)),""),"")</f>
        <v/>
      </c>
      <c r="P15" s="203"/>
      <c r="Q15" s="204">
        <f>IF(E15="untrim",K15-1.5,N15)</f>
        <v>79.5</v>
      </c>
      <c r="R15" s="198">
        <f>IF(E15="untrim",L15-1.5,O15)</f>
        <v>75.5</v>
      </c>
      <c r="S15" s="198">
        <f>IF(E15="untrim",M15-0.5,P15-0.5)</f>
        <v>43</v>
      </c>
      <c r="T15" s="205">
        <f>IFERROR(Q15*R15*S15/144*I15,"")</f>
        <v>1792.3385416666667</v>
      </c>
      <c r="U15" s="206">
        <f>SUMIFS(CODE_PRICE!F:F,CODE_PRICE!B:B,C15,CODE_PRICE!A:A,$A$8)</f>
        <v>0.2316</v>
      </c>
      <c r="V15" s="207">
        <f t="shared" ref="V15:V32" si="0">T15*U15</f>
        <v>415.10560624999999</v>
      </c>
      <c r="W15" s="208" t="str">
        <f>IF(COUNTIF($C$15:C15,C15)=1,C15 &amp; " - " &amp; TEXT(SUMIF($C:$C,C15,$T:$T),"0.00"),"")</f>
        <v>CFN50131W - 1792.34</v>
      </c>
      <c r="X15" s="209">
        <f>IF(COUNTIF($C$15:C15,C15)=1,ROUND(SUMIF($C:$C,C15,$V:$V),2), "")</f>
        <v>415.11</v>
      </c>
    </row>
    <row r="16" spans="1:24" s="210" customFormat="1" ht="31.5" customHeight="1" x14ac:dyDescent="0.2">
      <c r="A16" s="196">
        <f>A15+1</f>
        <v>2</v>
      </c>
      <c r="B16" s="196"/>
      <c r="C16" s="196" t="s">
        <v>89</v>
      </c>
      <c r="D16" s="197"/>
      <c r="E16" s="197" t="s">
        <v>11</v>
      </c>
      <c r="F16" s="198" t="s">
        <v>123</v>
      </c>
      <c r="G16" s="199" t="str">
        <f>IF(COUNTIFS($C$15:C16,C16,$H$15:H16,H16)=1,
SUMIFS($I$15:$I$43,$C$15:$C$43,C16,$H$15:$H$43,H16)&amp;H16&amp;" "&amp;C16,
"")</f>
        <v>3K CFN30100W</v>
      </c>
      <c r="H16" s="197" t="s">
        <v>18</v>
      </c>
      <c r="I16" s="200">
        <v>1</v>
      </c>
      <c r="J16" s="249"/>
      <c r="K16" s="201" cm="1">
        <f t="array" ref="K16">IF(E16="untrim",_xlfn.XLOOKUP(1,(TRIM('SIZE GUIDE'!$A$3:$A$2015)=TRIM(E16))*(TRIM('SIZE GUIDE'!$B$3:$B$2015)=TRIM(F16))*(TRIM('SIZE GUIDE'!$C$3:$C$2015)=TRIM(H16)),'SIZE GUIDE'!$D$3:$D$2015),"")</f>
        <v>81</v>
      </c>
      <c r="L16" s="265" cm="1">
        <f t="array" ref="L16">IF(E16="untrim",IFERROR(INDEX('SIZE GUIDE'!$E:$E,MATCH(1,('SIZE GUIDE'!$A:$A=$E16)*('SIZE GUIDE'!$B:$B=$F16)*('SIZE GUIDE'!$C:$C=$H16),0)),""),"")</f>
        <v>77</v>
      </c>
      <c r="M16" s="202">
        <v>43.5</v>
      </c>
      <c r="N16" s="203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203" t="str" cm="1">
        <f t="array" ref="O16">IF(E16="trim",IFERROR(INDEX('SIZE GUIDE'!$E:$E,MATCH(1,('SIZE GUIDE'!$A:$A=$E16)*('SIZE GUIDE'!$B:$B=$F16)*('SIZE GUIDE'!$C:$C=$H16),0)),""),"")</f>
        <v/>
      </c>
      <c r="P16" s="203"/>
      <c r="Q16" s="204">
        <f t="shared" ref="Q16:Q32" si="1">IF(E16="untrim",K16-1.5,N16)</f>
        <v>79.5</v>
      </c>
      <c r="R16" s="198">
        <f t="shared" ref="R16:R32" si="2">IF(E16="untrim",L16-1.5,O16)</f>
        <v>75.5</v>
      </c>
      <c r="S16" s="198">
        <f t="shared" ref="S16:S36" si="3">IF(E16="untrim",M16-0.5,P16-0.5)</f>
        <v>43</v>
      </c>
      <c r="T16" s="205">
        <f t="shared" ref="T16:T32" si="4">IFERROR(Q16*R16*S16/144*I16,"")</f>
        <v>1792.3385416666667</v>
      </c>
      <c r="U16" s="206">
        <f>SUMIFS(CODE_PRICE!F:F,CODE_PRICE!B:B,C16,CODE_PRICE!A:A,$A$8)</f>
        <v>0.1895</v>
      </c>
      <c r="V16" s="207">
        <f t="shared" si="0"/>
        <v>339.64815364583336</v>
      </c>
      <c r="W16" s="208" t="str">
        <f>IF(COUNTIF($C$15:C16,C16)=1,C16 &amp; " - " &amp; TEXT(SUMIF($C:$C,C16,$T:$T),"0.00"),"")</f>
        <v>CFN30100W - 25734.27</v>
      </c>
      <c r="X16" s="209">
        <f>IF(COUNTIF($C$15:C16,C16)=1,ROUND(SUMIF($C:$C,C16,$V:$V),2), "")</f>
        <v>4876.6400000000003</v>
      </c>
    </row>
    <row r="17" spans="1:34" s="210" customFormat="1" ht="31.5" customHeight="1" x14ac:dyDescent="0.2">
      <c r="A17" s="196">
        <f t="shared" ref="A17:A36" si="5">A16+1</f>
        <v>3</v>
      </c>
      <c r="B17" s="196"/>
      <c r="C17" s="196" t="s">
        <v>89</v>
      </c>
      <c r="D17" s="197"/>
      <c r="E17" s="197" t="s">
        <v>11</v>
      </c>
      <c r="F17" s="198" t="s">
        <v>123</v>
      </c>
      <c r="G17" s="199" t="str">
        <f>IF(COUNTIFS($C$15:C17,C17,$H$15:H17,H17)=1,
SUMIFS($I$15:$I$43,$C$15:$C$43,C17,$H$15:$H$43,H17)&amp;H17&amp;" "&amp;C17,
"")</f>
        <v/>
      </c>
      <c r="H17" s="197" t="s">
        <v>18</v>
      </c>
      <c r="I17" s="200">
        <v>1</v>
      </c>
      <c r="J17" s="249"/>
      <c r="K17" s="201" cm="1">
        <f t="array" ref="K17">IF(E17="untrim",_xlfn.XLOOKUP(1,(TRIM('SIZE GUIDE'!$A$3:$A$2015)=TRIM(E17))*(TRIM('SIZE GUIDE'!$B$3:$B$2015)=TRIM(F17))*(TRIM('SIZE GUIDE'!$C$3:$C$2015)=TRIM(H17)),'SIZE GUIDE'!$D$3:$D$2015),"")</f>
        <v>81</v>
      </c>
      <c r="L17" s="265" cm="1">
        <f t="array" ref="L17">IF(E17="untrim",IFERROR(INDEX('SIZE GUIDE'!$E:$E,MATCH(1,('SIZE GUIDE'!$A:$A=$E17)*('SIZE GUIDE'!$B:$B=$F17)*('SIZE GUIDE'!$C:$C=$H17),0)),""),"")</f>
        <v>77</v>
      </c>
      <c r="M17" s="202">
        <v>44</v>
      </c>
      <c r="N17" s="203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203" t="str" cm="1">
        <f t="array" ref="O17">IF(E17="trim",IFERROR(INDEX('SIZE GUIDE'!$E:$E,MATCH(1,('SIZE GUIDE'!$A:$A=$E17)*('SIZE GUIDE'!$B:$B=$F17)*('SIZE GUIDE'!$C:$C=$H17),0)),""),"")</f>
        <v/>
      </c>
      <c r="P17" s="203"/>
      <c r="Q17" s="204">
        <f t="shared" si="1"/>
        <v>79.5</v>
      </c>
      <c r="R17" s="198">
        <f t="shared" si="2"/>
        <v>75.5</v>
      </c>
      <c r="S17" s="198">
        <f t="shared" si="3"/>
        <v>43.5</v>
      </c>
      <c r="T17" s="205">
        <f t="shared" si="4"/>
        <v>1813.1796875</v>
      </c>
      <c r="U17" s="206">
        <f>SUMIFS(CODE_PRICE!F:F,CODE_PRICE!B:B,C17,CODE_PRICE!A:A,$A$8)</f>
        <v>0.1895</v>
      </c>
      <c r="V17" s="207">
        <f t="shared" si="0"/>
        <v>343.59755078124999</v>
      </c>
      <c r="W17" s="208" t="str">
        <f>IF(COUNTIF($C$15:C17,C17)=1,C17 &amp; " - " &amp; TEXT(SUMIF($C:$C,C17,$T:$T),"0.00"),"")</f>
        <v/>
      </c>
      <c r="X17" s="209" t="str">
        <f>IF(COUNTIF($C$15:C17,C17)=1,ROUND(SUMIF($C:$C,C17,$V:$V),2), "")</f>
        <v/>
      </c>
    </row>
    <row r="18" spans="1:34" s="210" customFormat="1" ht="31.5" customHeight="1" x14ac:dyDescent="0.2">
      <c r="A18" s="196">
        <f t="shared" si="5"/>
        <v>4</v>
      </c>
      <c r="B18" s="196"/>
      <c r="C18" s="196" t="s">
        <v>89</v>
      </c>
      <c r="D18" s="197"/>
      <c r="E18" s="197" t="s">
        <v>11</v>
      </c>
      <c r="F18" s="198" t="s">
        <v>123</v>
      </c>
      <c r="G18" s="199" t="str">
        <f>IF(COUNTIFS($C$15:C18,C18,$H$15:H18,H18)=1,
SUMIFS($I$15:$I$43,$C$15:$C$43,C18,$H$15:$H$43,H18)&amp;H18&amp;" "&amp;C18,
"")</f>
        <v/>
      </c>
      <c r="H18" s="197" t="s">
        <v>18</v>
      </c>
      <c r="I18" s="200">
        <v>1</v>
      </c>
      <c r="J18" s="249"/>
      <c r="K18" s="201" cm="1">
        <f t="array" ref="K18">IF(E18="untrim",_xlfn.XLOOKUP(1,(TRIM('SIZE GUIDE'!$A$3:$A$2015)=TRIM(E18))*(TRIM('SIZE GUIDE'!$B$3:$B$2015)=TRIM(F18))*(TRIM('SIZE GUIDE'!$C$3:$C$2015)=TRIM(H18)),'SIZE GUIDE'!$D$3:$D$2015),"")</f>
        <v>81</v>
      </c>
      <c r="L18" s="265" cm="1">
        <f t="array" ref="L18">IF(E18="untrim",IFERROR(INDEX('SIZE GUIDE'!$E:$E,MATCH(1,('SIZE GUIDE'!$A:$A=$E18)*('SIZE GUIDE'!$B:$B=$F18)*('SIZE GUIDE'!$C:$C=$H18),0)),""),"")</f>
        <v>77</v>
      </c>
      <c r="M18" s="202">
        <v>43.5</v>
      </c>
      <c r="N18" s="203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203" t="str" cm="1">
        <f t="array" ref="O18">IF(E18="trim",IFERROR(INDEX('SIZE GUIDE'!$E:$E,MATCH(1,('SIZE GUIDE'!$A:$A=$E18)*('SIZE GUIDE'!$B:$B=$F18)*('SIZE GUIDE'!$C:$C=$H18),0)),""),"")</f>
        <v/>
      </c>
      <c r="P18" s="203"/>
      <c r="Q18" s="204">
        <f t="shared" si="1"/>
        <v>79.5</v>
      </c>
      <c r="R18" s="198">
        <f t="shared" si="2"/>
        <v>75.5</v>
      </c>
      <c r="S18" s="198">
        <f t="shared" si="3"/>
        <v>43</v>
      </c>
      <c r="T18" s="205">
        <f t="shared" si="4"/>
        <v>1792.3385416666667</v>
      </c>
      <c r="U18" s="206">
        <f>SUMIFS(CODE_PRICE!F:F,CODE_PRICE!B:B,C18,CODE_PRICE!A:A,$A$8)</f>
        <v>0.1895</v>
      </c>
      <c r="V18" s="207">
        <f t="shared" si="0"/>
        <v>339.64815364583336</v>
      </c>
      <c r="W18" s="208" t="str">
        <f>IF(COUNTIF($C$15:C18,C18)=1,C18 &amp; " - " &amp; TEXT(SUMIF($C:$C,C18,$T:$T),"0.00"),"")</f>
        <v/>
      </c>
      <c r="X18" s="209" t="str">
        <f>IF(COUNTIF($C$15:C18,C18)=1,ROUND(SUMIF($C:$C,C18,$V:$V),2), "")</f>
        <v/>
      </c>
      <c r="AH18" s="211"/>
    </row>
    <row r="19" spans="1:34" s="210" customFormat="1" ht="31.5" customHeight="1" x14ac:dyDescent="0.2">
      <c r="A19" s="196">
        <f t="shared" si="5"/>
        <v>5</v>
      </c>
      <c r="B19" s="196"/>
      <c r="C19" s="196" t="s">
        <v>89</v>
      </c>
      <c r="D19" s="197"/>
      <c r="E19" s="197" t="s">
        <v>11</v>
      </c>
      <c r="F19" s="198" t="s">
        <v>123</v>
      </c>
      <c r="G19" s="199" t="str">
        <f>IF(COUNTIFS($C$15:C19,C19,$H$15:H19,H19)=1,
SUMIFS($I$15:$I$43,$C$15:$C$43,C19,$H$15:$H$43,H19)&amp;H19&amp;" "&amp;C19,
"")</f>
        <v>8Q CFN30100W</v>
      </c>
      <c r="H19" s="197" t="s">
        <v>16</v>
      </c>
      <c r="I19" s="200">
        <v>1</v>
      </c>
      <c r="J19" s="249"/>
      <c r="K19" s="201" cm="1">
        <f t="array" ref="K19">IF(E19="untrim",_xlfn.XLOOKUP(1,(TRIM('SIZE GUIDE'!$A$3:$A$2015)=TRIM(E19))*(TRIM('SIZE GUIDE'!$B$3:$B$2015)=TRIM(F19))*(TRIM('SIZE GUIDE'!$C$3:$C$2015)=TRIM(H19)),'SIZE GUIDE'!$D$3:$D$2015),"")</f>
        <v>81</v>
      </c>
      <c r="L19" s="265" cm="1">
        <f t="array" ref="L19">IF(E19="untrim",IFERROR(INDEX('SIZE GUIDE'!$E:$E,MATCH(1,('SIZE GUIDE'!$A:$A=$E19)*('SIZE GUIDE'!$B:$B=$F19)*('SIZE GUIDE'!$C:$C=$H19),0)),""),"")</f>
        <v>61</v>
      </c>
      <c r="M19" s="202">
        <v>44</v>
      </c>
      <c r="N19" s="203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203" t="str" cm="1">
        <f t="array" ref="O19">IF(E19="trim",IFERROR(INDEX('SIZE GUIDE'!$E:$E,MATCH(1,('SIZE GUIDE'!$A:$A=$E19)*('SIZE GUIDE'!$B:$B=$F19)*('SIZE GUIDE'!$C:$C=$H19),0)),""),"")</f>
        <v/>
      </c>
      <c r="P19" s="203"/>
      <c r="Q19" s="204">
        <f t="shared" si="1"/>
        <v>79.5</v>
      </c>
      <c r="R19" s="198">
        <f t="shared" si="2"/>
        <v>59.5</v>
      </c>
      <c r="S19" s="198">
        <f t="shared" si="3"/>
        <v>43.5</v>
      </c>
      <c r="T19" s="205">
        <f t="shared" si="4"/>
        <v>1428.9296875</v>
      </c>
      <c r="U19" s="206">
        <f>SUMIFS(CODE_PRICE!F:F,CODE_PRICE!B:B,C19,CODE_PRICE!A:A,$A$8)</f>
        <v>0.1895</v>
      </c>
      <c r="V19" s="207">
        <f t="shared" si="0"/>
        <v>270.78217578124998</v>
      </c>
      <c r="W19" s="208" t="str">
        <f>IF(COUNTIF($C$15:C19,C19)=1,C19 &amp; " - " &amp; TEXT(SUMIF($C:$C,C19,$T:$T),"0.00"),"")</f>
        <v/>
      </c>
      <c r="X19" s="209" t="str">
        <f>IF(COUNTIF($C$15:C19,C19)=1,ROUND(SUMIF($C:$C,C19,$V:$V),2), "")</f>
        <v/>
      </c>
    </row>
    <row r="20" spans="1:34" s="210" customFormat="1" ht="31.5" customHeight="1" x14ac:dyDescent="0.2">
      <c r="A20" s="196">
        <f t="shared" si="5"/>
        <v>6</v>
      </c>
      <c r="B20" s="196"/>
      <c r="C20" s="196" t="s">
        <v>89</v>
      </c>
      <c r="D20" s="197"/>
      <c r="E20" s="197" t="s">
        <v>11</v>
      </c>
      <c r="F20" s="198" t="s">
        <v>123</v>
      </c>
      <c r="G20" s="199" t="str">
        <f>IF(COUNTIFS($C$15:C20,C20,$H$15:H20,H20)=1,
SUMIFS($I$15:$I$43,$C$15:$C$43,C20,$H$15:$H$43,H20)&amp;H20&amp;" "&amp;C20,
"")</f>
        <v/>
      </c>
      <c r="H20" s="197" t="s">
        <v>16</v>
      </c>
      <c r="I20" s="200">
        <v>1</v>
      </c>
      <c r="J20" s="249"/>
      <c r="K20" s="201" cm="1">
        <f t="array" ref="K20">IF(E20="untrim",_xlfn.XLOOKUP(1,(TRIM('SIZE GUIDE'!$A$3:$A$2015)=TRIM(E20))*(TRIM('SIZE GUIDE'!$B$3:$B$2015)=TRIM(F20))*(TRIM('SIZE GUIDE'!$C$3:$C$2015)=TRIM(H20)),'SIZE GUIDE'!$D$3:$D$2015),"")</f>
        <v>81</v>
      </c>
      <c r="L20" s="265" cm="1">
        <f t="array" ref="L20">IF(E20="untrim",IFERROR(INDEX('SIZE GUIDE'!$E:$E,MATCH(1,('SIZE GUIDE'!$A:$A=$E20)*('SIZE GUIDE'!$B:$B=$F20)*('SIZE GUIDE'!$C:$C=$H20),0)),""),"")</f>
        <v>61</v>
      </c>
      <c r="M20" s="202">
        <v>43.5</v>
      </c>
      <c r="N20" s="203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203" t="str" cm="1">
        <f t="array" ref="O20">IF(E20="trim",IFERROR(INDEX('SIZE GUIDE'!$E:$E,MATCH(1,('SIZE GUIDE'!$A:$A=$E20)*('SIZE GUIDE'!$B:$B=$F20)*('SIZE GUIDE'!$C:$C=$H20),0)),""),"")</f>
        <v/>
      </c>
      <c r="P20" s="203"/>
      <c r="Q20" s="204">
        <f t="shared" si="1"/>
        <v>79.5</v>
      </c>
      <c r="R20" s="198">
        <f t="shared" si="2"/>
        <v>59.5</v>
      </c>
      <c r="S20" s="198">
        <f t="shared" si="3"/>
        <v>43</v>
      </c>
      <c r="T20" s="205">
        <f t="shared" si="4"/>
        <v>1412.5052083333333</v>
      </c>
      <c r="U20" s="206">
        <f>SUMIFS(CODE_PRICE!F:F,CODE_PRICE!B:B,C20,CODE_PRICE!A:A,$A$8)</f>
        <v>0.1895</v>
      </c>
      <c r="V20" s="207">
        <f t="shared" si="0"/>
        <v>267.66973697916666</v>
      </c>
      <c r="W20" s="208" t="str">
        <f>IF(COUNTIF($C$15:C20,C20)=1,C20 &amp; " - " &amp; TEXT(SUMIF($C:$C,C20,$T:$T),"0.00"),"")</f>
        <v/>
      </c>
      <c r="X20" s="209" t="str">
        <f>IF(COUNTIF($C$15:C20,C20)=1,ROUND(SUMIF($C:$C,C20,$V:$V),2), "")</f>
        <v/>
      </c>
    </row>
    <row r="21" spans="1:34" s="210" customFormat="1" ht="31.5" customHeight="1" x14ac:dyDescent="0.2">
      <c r="A21" s="196">
        <f t="shared" si="5"/>
        <v>7</v>
      </c>
      <c r="B21" s="196"/>
      <c r="C21" s="196" t="s">
        <v>89</v>
      </c>
      <c r="D21" s="197"/>
      <c r="E21" s="197" t="s">
        <v>11</v>
      </c>
      <c r="F21" s="198" t="s">
        <v>123</v>
      </c>
      <c r="G21" s="199" t="str">
        <f>IF(COUNTIFS($C$15:C21,C21,$H$15:H21,H21)=1,
SUMIFS($I$15:$I$43,$C$15:$C$43,C21,$H$15:$H$43,H21)&amp;H21&amp;" "&amp;C21,
"")</f>
        <v/>
      </c>
      <c r="H21" s="197" t="s">
        <v>16</v>
      </c>
      <c r="I21" s="200">
        <v>1</v>
      </c>
      <c r="J21" s="249"/>
      <c r="K21" s="201" cm="1">
        <f t="array" ref="K21">IF(E21="untrim",_xlfn.XLOOKUP(1,(TRIM('SIZE GUIDE'!$A$3:$A$2015)=TRIM(E21))*(TRIM('SIZE GUIDE'!$B$3:$B$2015)=TRIM(F21))*(TRIM('SIZE GUIDE'!$C$3:$C$2015)=TRIM(H21)),'SIZE GUIDE'!$D$3:$D$2015),"")</f>
        <v>81</v>
      </c>
      <c r="L21" s="265" cm="1">
        <f t="array" ref="L21">IF(E21="untrim",IFERROR(INDEX('SIZE GUIDE'!$E:$E,MATCH(1,('SIZE GUIDE'!$A:$A=$E21)*('SIZE GUIDE'!$B:$B=$F21)*('SIZE GUIDE'!$C:$C=$H21),0)),""),"")</f>
        <v>61</v>
      </c>
      <c r="M21" s="202">
        <v>43.5</v>
      </c>
      <c r="N21" s="203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203" t="str" cm="1">
        <f t="array" ref="O21">IF(E21="trim",IFERROR(INDEX('SIZE GUIDE'!$E:$E,MATCH(1,('SIZE GUIDE'!$A:$A=$E21)*('SIZE GUIDE'!$B:$B=$F21)*('SIZE GUIDE'!$C:$C=$H21),0)),""),"")</f>
        <v/>
      </c>
      <c r="P21" s="203"/>
      <c r="Q21" s="204">
        <f t="shared" si="1"/>
        <v>79.5</v>
      </c>
      <c r="R21" s="198">
        <f t="shared" si="2"/>
        <v>59.5</v>
      </c>
      <c r="S21" s="198">
        <f t="shared" si="3"/>
        <v>43</v>
      </c>
      <c r="T21" s="205">
        <f t="shared" si="4"/>
        <v>1412.5052083333333</v>
      </c>
      <c r="U21" s="206">
        <f>SUMIFS(CODE_PRICE!F:F,CODE_PRICE!B:B,C21,CODE_PRICE!A:A,$A$8)</f>
        <v>0.1895</v>
      </c>
      <c r="V21" s="207">
        <f t="shared" si="0"/>
        <v>267.66973697916666</v>
      </c>
      <c r="W21" s="208" t="str">
        <f>IF(COUNTIF($C$15:C21,C21)=1,C21 &amp; " - " &amp; TEXT(SUMIF($C:$C,C21,$T:$T),"0.00"),"")</f>
        <v/>
      </c>
      <c r="X21" s="209" t="str">
        <f>IF(COUNTIF($C$15:C21,C21)=1,ROUND(SUMIF($C:$C,C21,$V:$V),2), "")</f>
        <v/>
      </c>
    </row>
    <row r="22" spans="1:34" s="210" customFormat="1" ht="31.5" customHeight="1" x14ac:dyDescent="0.2">
      <c r="A22" s="196">
        <f t="shared" si="5"/>
        <v>8</v>
      </c>
      <c r="B22" s="196"/>
      <c r="C22" s="196" t="s">
        <v>89</v>
      </c>
      <c r="D22" s="197"/>
      <c r="E22" s="197" t="s">
        <v>11</v>
      </c>
      <c r="F22" s="198" t="s">
        <v>123</v>
      </c>
      <c r="G22" s="199" t="str">
        <f>IF(COUNTIFS($C$15:C22,C22,$H$15:H22,H22)=1,
SUMIFS($I$15:$I$43,$C$15:$C$43,C22,$H$15:$H$43,H22)&amp;H22&amp;" "&amp;C22,
"")</f>
        <v/>
      </c>
      <c r="H22" s="197" t="s">
        <v>16</v>
      </c>
      <c r="I22" s="200">
        <v>1</v>
      </c>
      <c r="J22" s="249"/>
      <c r="K22" s="201" cm="1">
        <f t="array" ref="K22">IF(E22="untrim",_xlfn.XLOOKUP(1,(TRIM('SIZE GUIDE'!$A$3:$A$2015)=TRIM(E22))*(TRIM('SIZE GUIDE'!$B$3:$B$2015)=TRIM(F22))*(TRIM('SIZE GUIDE'!$C$3:$C$2015)=TRIM(H22)),'SIZE GUIDE'!$D$3:$D$2015),"")</f>
        <v>81</v>
      </c>
      <c r="L22" s="265" cm="1">
        <f t="array" ref="L22">IF(E22="untrim",IFERROR(INDEX('SIZE GUIDE'!$E:$E,MATCH(1,('SIZE GUIDE'!$A:$A=$E22)*('SIZE GUIDE'!$B:$B=$F22)*('SIZE GUIDE'!$C:$C=$H22),0)),""),"")</f>
        <v>61</v>
      </c>
      <c r="M22" s="202">
        <v>41</v>
      </c>
      <c r="N22" s="203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203" t="str" cm="1">
        <f t="array" ref="O22">IF(E22="trim",IFERROR(INDEX('SIZE GUIDE'!$E:$E,MATCH(1,('SIZE GUIDE'!$A:$A=$E22)*('SIZE GUIDE'!$B:$B=$F22)*('SIZE GUIDE'!$C:$C=$H22),0)),""),"")</f>
        <v/>
      </c>
      <c r="P22" s="203"/>
      <c r="Q22" s="204">
        <f t="shared" si="1"/>
        <v>79.5</v>
      </c>
      <c r="R22" s="198">
        <f t="shared" si="2"/>
        <v>59.5</v>
      </c>
      <c r="S22" s="198">
        <f t="shared" si="3"/>
        <v>40.5</v>
      </c>
      <c r="T22" s="205">
        <f t="shared" si="4"/>
        <v>1330.3828125</v>
      </c>
      <c r="U22" s="206">
        <f>SUMIFS(CODE_PRICE!F:F,CODE_PRICE!B:B,C22,CODE_PRICE!A:A,$A$8)</f>
        <v>0.1895</v>
      </c>
      <c r="V22" s="207">
        <f t="shared" si="0"/>
        <v>252.10754296875001</v>
      </c>
      <c r="W22" s="208" t="str">
        <f>IF(COUNTIF($C$15:C22,C22)=1,C22 &amp; " - " &amp; TEXT(SUMIF($C:$C,C22,$T:$T),"0.00"),"")</f>
        <v/>
      </c>
      <c r="X22" s="209" t="str">
        <f>IF(COUNTIF($C$15:C22,C22)=1,ROUND(SUMIF($C:$C,C22,$V:$V),2), "")</f>
        <v/>
      </c>
      <c r="AD22" s="210" t="s">
        <v>204</v>
      </c>
    </row>
    <row r="23" spans="1:34" s="210" customFormat="1" ht="31.5" customHeight="1" x14ac:dyDescent="0.2">
      <c r="A23" s="196">
        <f t="shared" si="5"/>
        <v>9</v>
      </c>
      <c r="B23" s="196"/>
      <c r="C23" s="196" t="s">
        <v>89</v>
      </c>
      <c r="D23" s="197"/>
      <c r="E23" s="197" t="s">
        <v>11</v>
      </c>
      <c r="F23" s="198" t="s">
        <v>123</v>
      </c>
      <c r="G23" s="199" t="str">
        <f>IF(COUNTIFS($C$15:C23,C23,$H$15:H23,H23)=1,
SUMIFS($I$15:$I$43,$C$15:$C$43,C23,$H$15:$H$43,H23)&amp;H23&amp;" "&amp;C23,
"")</f>
        <v/>
      </c>
      <c r="H23" s="197" t="s">
        <v>16</v>
      </c>
      <c r="I23" s="200">
        <v>1</v>
      </c>
      <c r="J23" s="249"/>
      <c r="K23" s="201" cm="1">
        <f t="array" ref="K23">IF(E23="untrim",_xlfn.XLOOKUP(1,(TRIM('SIZE GUIDE'!$A$3:$A$2015)=TRIM(E23))*(TRIM('SIZE GUIDE'!$B$3:$B$2015)=TRIM(F23))*(TRIM('SIZE GUIDE'!$C$3:$C$2015)=TRIM(H23)),'SIZE GUIDE'!$D$3:$D$2015),"")</f>
        <v>81</v>
      </c>
      <c r="L23" s="265" cm="1">
        <f t="array" ref="L23">IF(E23="untrim",IFERROR(INDEX('SIZE GUIDE'!$E:$E,MATCH(1,('SIZE GUIDE'!$A:$A=$E23)*('SIZE GUIDE'!$B:$B=$F23)*('SIZE GUIDE'!$C:$C=$H23),0)),""),"")</f>
        <v>61</v>
      </c>
      <c r="M23" s="202">
        <v>43.5</v>
      </c>
      <c r="N23" s="203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203" t="str" cm="1">
        <f t="array" ref="O23">IF(E23="trim",IFERROR(INDEX('SIZE GUIDE'!$E:$E,MATCH(1,('SIZE GUIDE'!$A:$A=$E23)*('SIZE GUIDE'!$B:$B=$F23)*('SIZE GUIDE'!$C:$C=$H23),0)),""),"")</f>
        <v/>
      </c>
      <c r="P23" s="203"/>
      <c r="Q23" s="204">
        <f t="shared" si="1"/>
        <v>79.5</v>
      </c>
      <c r="R23" s="198">
        <f t="shared" si="2"/>
        <v>59.5</v>
      </c>
      <c r="S23" s="198">
        <f t="shared" si="3"/>
        <v>43</v>
      </c>
      <c r="T23" s="205">
        <f t="shared" si="4"/>
        <v>1412.5052083333333</v>
      </c>
      <c r="U23" s="206">
        <f>SUMIFS(CODE_PRICE!F:F,CODE_PRICE!B:B,C23,CODE_PRICE!A:A,$A$8)</f>
        <v>0.1895</v>
      </c>
      <c r="V23" s="207">
        <f t="shared" si="0"/>
        <v>267.66973697916666</v>
      </c>
      <c r="W23" s="208" t="str">
        <f>IF(COUNTIF($C$15:C23,C23)=1,C23 &amp; " - " &amp; TEXT(SUMIF($C:$C,C23,$T:$T),"0.00"),"")</f>
        <v/>
      </c>
      <c r="X23" s="209" t="str">
        <f>IF(COUNTIF($C$15:C23,C23)=1,ROUND(SUMIF($C:$C,C23,$V:$V),2), "")</f>
        <v/>
      </c>
    </row>
    <row r="24" spans="1:34" s="210" customFormat="1" ht="31.5" customHeight="1" x14ac:dyDescent="0.2">
      <c r="A24" s="196">
        <f t="shared" si="5"/>
        <v>10</v>
      </c>
      <c r="B24" s="196"/>
      <c r="C24" s="196" t="s">
        <v>89</v>
      </c>
      <c r="D24" s="197"/>
      <c r="E24" s="197" t="s">
        <v>11</v>
      </c>
      <c r="F24" s="198" t="s">
        <v>123</v>
      </c>
      <c r="G24" s="199" t="str">
        <f>IF(COUNTIFS($C$15:C24,C24,$H$15:H24,H24)=1,
SUMIFS($I$15:$I$43,$C$15:$C$43,C24,$H$15:$H$43,H24)&amp;H24&amp;" "&amp;C24,
"")</f>
        <v/>
      </c>
      <c r="H24" s="197" t="s">
        <v>16</v>
      </c>
      <c r="I24" s="200">
        <v>1</v>
      </c>
      <c r="J24" s="249"/>
      <c r="K24" s="201" cm="1">
        <f t="array" ref="K24">IF(E24="untrim",_xlfn.XLOOKUP(1,(TRIM('SIZE GUIDE'!$A$3:$A$2015)=TRIM(E24))*(TRIM('SIZE GUIDE'!$B$3:$B$2015)=TRIM(F24))*(TRIM('SIZE GUIDE'!$C$3:$C$2015)=TRIM(H24)),'SIZE GUIDE'!$D$3:$D$2015),"")</f>
        <v>81</v>
      </c>
      <c r="L24" s="265" cm="1">
        <f t="array" ref="L24">IF(E24="untrim",IFERROR(INDEX('SIZE GUIDE'!$E:$E,MATCH(1,('SIZE GUIDE'!$A:$A=$E24)*('SIZE GUIDE'!$B:$B=$F24)*('SIZE GUIDE'!$C:$C=$H24),0)),""),"")</f>
        <v>61</v>
      </c>
      <c r="M24" s="202">
        <v>43.5</v>
      </c>
      <c r="N24" s="203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203" t="str" cm="1">
        <f t="array" ref="O24">IF(E24="trim",IFERROR(INDEX('SIZE GUIDE'!$E:$E,MATCH(1,('SIZE GUIDE'!$A:$A=$E24)*('SIZE GUIDE'!$B:$B=$F24)*('SIZE GUIDE'!$C:$C=$H24),0)),""),"")</f>
        <v/>
      </c>
      <c r="P24" s="203"/>
      <c r="Q24" s="204">
        <f t="shared" si="1"/>
        <v>79.5</v>
      </c>
      <c r="R24" s="198">
        <f t="shared" si="2"/>
        <v>59.5</v>
      </c>
      <c r="S24" s="198">
        <f t="shared" si="3"/>
        <v>43</v>
      </c>
      <c r="T24" s="205">
        <f t="shared" si="4"/>
        <v>1412.5052083333333</v>
      </c>
      <c r="U24" s="206">
        <f>SUMIFS(CODE_PRICE!F:F,CODE_PRICE!B:B,C24,CODE_PRICE!A:A,$A$8)</f>
        <v>0.1895</v>
      </c>
      <c r="V24" s="207">
        <f t="shared" si="0"/>
        <v>267.66973697916666</v>
      </c>
      <c r="W24" s="208" t="str">
        <f>IF(COUNTIF($C$15:C24,C24)=1,C24 &amp; " - " &amp; TEXT(SUMIF($C:$C,C24,$T:$T),"0.00"),"")</f>
        <v/>
      </c>
      <c r="X24" s="209" t="str">
        <f>IF(COUNTIF($C$15:C24,C24)=1,ROUND(SUMIF($C:$C,C24,$V:$V),2), "")</f>
        <v/>
      </c>
    </row>
    <row r="25" spans="1:34" s="210" customFormat="1" ht="31.5" customHeight="1" x14ac:dyDescent="0.2">
      <c r="A25" s="196">
        <f t="shared" si="5"/>
        <v>11</v>
      </c>
      <c r="B25" s="196"/>
      <c r="C25" s="196" t="s">
        <v>89</v>
      </c>
      <c r="D25" s="197"/>
      <c r="E25" s="197" t="s">
        <v>11</v>
      </c>
      <c r="F25" s="198" t="s">
        <v>123</v>
      </c>
      <c r="G25" s="199" t="str">
        <f>IF(COUNTIFS($C$15:C25,C25,$H$15:H25,H25)=1,
SUMIFS($I$15:$I$43,$C$15:$C$43,C25,$H$15:$H$43,H25)&amp;H25&amp;" "&amp;C25,
"")</f>
        <v/>
      </c>
      <c r="H25" s="197" t="s">
        <v>16</v>
      </c>
      <c r="I25" s="200">
        <v>1</v>
      </c>
      <c r="J25" s="249"/>
      <c r="K25" s="201" cm="1">
        <f t="array" ref="K25">IF(E25="untrim",_xlfn.XLOOKUP(1,(TRIM('SIZE GUIDE'!$A$3:$A$2015)=TRIM(E25))*(TRIM('SIZE GUIDE'!$B$3:$B$2015)=TRIM(F25))*(TRIM('SIZE GUIDE'!$C$3:$C$2015)=TRIM(H25)),'SIZE GUIDE'!$D$3:$D$2015),"")</f>
        <v>81</v>
      </c>
      <c r="L25" s="265" cm="1">
        <f t="array" ref="L25">IF(E25="untrim",IFERROR(INDEX('SIZE GUIDE'!$E:$E,MATCH(1,('SIZE GUIDE'!$A:$A=$E25)*('SIZE GUIDE'!$B:$B=$F25)*('SIZE GUIDE'!$C:$C=$H25),0)),""),"")</f>
        <v>61</v>
      </c>
      <c r="M25" s="202">
        <v>42</v>
      </c>
      <c r="N25" s="203"/>
      <c r="O25" s="203" t="str" cm="1">
        <f t="array" ref="O25">IF(E25="trim",IFERROR(INDEX('SIZE GUIDE'!$E:$E,MATCH(1,('SIZE GUIDE'!$A:$A=$E25)*('SIZE GUIDE'!$B:$B=$F25)*('SIZE GUIDE'!$C:$C=$H25),0)),""),"")</f>
        <v/>
      </c>
      <c r="P25" s="203"/>
      <c r="Q25" s="204">
        <f t="shared" si="1"/>
        <v>79.5</v>
      </c>
      <c r="R25" s="198">
        <f t="shared" si="2"/>
        <v>59.5</v>
      </c>
      <c r="S25" s="198">
        <f t="shared" si="3"/>
        <v>41.5</v>
      </c>
      <c r="T25" s="205">
        <f t="shared" si="4"/>
        <v>1363.2317708333333</v>
      </c>
      <c r="U25" s="206">
        <f>SUMIFS(CODE_PRICE!F:F,CODE_PRICE!B:B,C25,CODE_PRICE!A:A,$A$8)</f>
        <v>0.1895</v>
      </c>
      <c r="V25" s="207">
        <f t="shared" si="0"/>
        <v>258.33242057291665</v>
      </c>
      <c r="W25" s="208" t="str">
        <f>IF(COUNTIF($C$15:C25,C25)=1,C25 &amp; " - " &amp; TEXT(SUMIF($C:$C,C25,$T:$T),"0.00"),"")</f>
        <v/>
      </c>
      <c r="X25" s="209" t="str">
        <f>IF(COUNTIF($C$15:C25,C25)=1,ROUND(SUMIF($C:$C,C25,$V:$V),2), "")</f>
        <v/>
      </c>
    </row>
    <row r="26" spans="1:34" s="210" customFormat="1" ht="31.5" customHeight="1" x14ac:dyDescent="0.2">
      <c r="A26" s="196">
        <f t="shared" si="5"/>
        <v>12</v>
      </c>
      <c r="B26" s="196"/>
      <c r="C26" s="196" t="s">
        <v>89</v>
      </c>
      <c r="D26" s="197"/>
      <c r="E26" s="197" t="s">
        <v>11</v>
      </c>
      <c r="F26" s="198" t="s">
        <v>123</v>
      </c>
      <c r="G26" s="199" t="str">
        <f>IF(COUNTIFS($C$15:C26,C26,$H$15:H26,H26)=1,
SUMIFS($I$15:$I$43,$C$15:$C$43,C26,$H$15:$H$43,H26)&amp;H26&amp;" "&amp;C26,
"")</f>
        <v/>
      </c>
      <c r="H26" s="197" t="s">
        <v>16</v>
      </c>
      <c r="I26" s="200">
        <v>1</v>
      </c>
      <c r="J26" s="249"/>
      <c r="K26" s="201" cm="1">
        <f t="array" ref="K26">IF(E26="untrim",_xlfn.XLOOKUP(1,(TRIM('SIZE GUIDE'!$A$3:$A$2015)=TRIM(E26))*(TRIM('SIZE GUIDE'!$B$3:$B$2015)=TRIM(F26))*(TRIM('SIZE GUIDE'!$C$3:$C$2015)=TRIM(H26)),'SIZE GUIDE'!$D$3:$D$2015),"")</f>
        <v>81</v>
      </c>
      <c r="L26" s="265" cm="1">
        <f t="array" ref="L26">IF(E26="untrim",IFERROR(INDEX('SIZE GUIDE'!$E:$E,MATCH(1,('SIZE GUIDE'!$A:$A=$E26)*('SIZE GUIDE'!$B:$B=$F26)*('SIZE GUIDE'!$C:$C=$H26),0)),""),"")</f>
        <v>61</v>
      </c>
      <c r="M26" s="202">
        <v>44</v>
      </c>
      <c r="N26" s="203" t="str" cm="1">
        <f t="array" ref="N26">IF(E26="trim",_xlfn.XLOOKUP(1,(TRIM('SIZE GUIDE'!$A$3:$A$2015)=TRIM(E26))*(TRIM('SIZE GUIDE'!$B$3:$B$2015)=TRIM(F26))*(TRIM('SIZE GUIDE'!$C$3:$C$2015)=TRIM(H26)),'SIZE GUIDE'!$D$3:$D$2015),"")</f>
        <v/>
      </c>
      <c r="O26" s="203" t="str" cm="1">
        <f t="array" ref="O26">IF(E26="trim",IFERROR(INDEX('SIZE GUIDE'!$E:$E,MATCH(1,('SIZE GUIDE'!$A:$A=$E26)*('SIZE GUIDE'!$B:$B=$F26)*('SIZE GUIDE'!$C:$C=$H26),0)),""),"")</f>
        <v/>
      </c>
      <c r="P26" s="203"/>
      <c r="Q26" s="204">
        <f t="shared" si="1"/>
        <v>79.5</v>
      </c>
      <c r="R26" s="198">
        <f t="shared" si="2"/>
        <v>59.5</v>
      </c>
      <c r="S26" s="198">
        <f t="shared" si="3"/>
        <v>43.5</v>
      </c>
      <c r="T26" s="205">
        <f t="shared" si="4"/>
        <v>1428.9296875</v>
      </c>
      <c r="U26" s="206">
        <f>SUMIFS(CODE_PRICE!F:F,CODE_PRICE!B:B,C26,CODE_PRICE!A:A,$A$8)</f>
        <v>0.1895</v>
      </c>
      <c r="V26" s="207">
        <f t="shared" si="0"/>
        <v>270.78217578124998</v>
      </c>
      <c r="W26" s="208" t="str">
        <f>IF(COUNTIF($C$15:C26,C26)=1,C26 &amp; " - " &amp; TEXT(SUMIF($C:$C,C26,$T:$T),"0.00"),"")</f>
        <v/>
      </c>
      <c r="X26" s="209" t="str">
        <f>IF(COUNTIF($C$15:C26,C26)=1,ROUND(SUMIF($C:$C,C26,$V:$V),2), "")</f>
        <v/>
      </c>
    </row>
    <row r="27" spans="1:34" s="210" customFormat="1" ht="31.5" customHeight="1" x14ac:dyDescent="0.2">
      <c r="A27" s="196">
        <f t="shared" si="5"/>
        <v>13</v>
      </c>
      <c r="B27" s="196"/>
      <c r="C27" s="196" t="s">
        <v>89</v>
      </c>
      <c r="D27" s="197"/>
      <c r="E27" s="197" t="s">
        <v>11</v>
      </c>
      <c r="F27" s="198" t="s">
        <v>123</v>
      </c>
      <c r="G27" s="199" t="str">
        <f>IF(COUNTIFS($C$15:C27,C27,$H$15:H27,H27)=1,
SUMIFS($I$15:$I$43,$C$15:$C$43,C27,$H$15:$H$43,H27)&amp;H27&amp;" "&amp;C27,
"")</f>
        <v>4F CFN30100W</v>
      </c>
      <c r="H27" s="197" t="s">
        <v>14</v>
      </c>
      <c r="I27" s="200">
        <v>1</v>
      </c>
      <c r="J27" s="249"/>
      <c r="K27" s="201" cm="1">
        <f t="array" ref="K27">IF(E27="untrim",_xlfn.XLOOKUP(1,(TRIM('SIZE GUIDE'!$A$3:$A$2015)=TRIM(E27))*(TRIM('SIZE GUIDE'!$B$3:$B$2015)=TRIM(F27))*(TRIM('SIZE GUIDE'!$C$3:$C$2015)=TRIM(H27)),'SIZE GUIDE'!$D$3:$D$2015),"")</f>
        <v>76</v>
      </c>
      <c r="L27" s="265" cm="1">
        <f t="array" ref="L27">IF(E27="untrim",IFERROR(INDEX('SIZE GUIDE'!$E:$E,MATCH(1,('SIZE GUIDE'!$A:$A=$E27)*('SIZE GUIDE'!$B:$B=$F27)*('SIZE GUIDE'!$C:$C=$H27),0)),""),"")</f>
        <v>55</v>
      </c>
      <c r="M27" s="202">
        <v>40.5</v>
      </c>
      <c r="N27" s="203" t="str" cm="1">
        <f t="array" ref="N27">IF(E27="trim",_xlfn.XLOOKUP(1,(TRIM('SIZE GUIDE'!$A$3:$A$2015)=TRIM(E27))*(TRIM('SIZE GUIDE'!$B$3:$B$2015)=TRIM(F27))*(TRIM('SIZE GUIDE'!$C$3:$C$2015)=TRIM(H27)),'SIZE GUIDE'!$D$3:$D$2015),"")</f>
        <v/>
      </c>
      <c r="O27" s="203" t="str" cm="1">
        <f t="array" ref="O27">IF(E27="trim",IFERROR(INDEX('SIZE GUIDE'!$E:$E,MATCH(1,('SIZE GUIDE'!$A:$A=$E27)*('SIZE GUIDE'!$B:$B=$F27)*('SIZE GUIDE'!$C:$C=$H27),0)),""),"")</f>
        <v/>
      </c>
      <c r="P27" s="203"/>
      <c r="Q27" s="204">
        <f t="shared" si="1"/>
        <v>74.5</v>
      </c>
      <c r="R27" s="198">
        <f t="shared" si="2"/>
        <v>53.5</v>
      </c>
      <c r="S27" s="198">
        <f t="shared" si="3"/>
        <v>40</v>
      </c>
      <c r="T27" s="205">
        <f t="shared" si="4"/>
        <v>1107.1527777777778</v>
      </c>
      <c r="U27" s="206">
        <f>SUMIFS(CODE_PRICE!F:F,CODE_PRICE!B:B,C27,CODE_PRICE!A:A,$A$8)</f>
        <v>0.1895</v>
      </c>
      <c r="V27" s="207">
        <f t="shared" si="0"/>
        <v>209.80545138888891</v>
      </c>
      <c r="W27" s="208" t="str">
        <f>IF(COUNTIF($C$15:C27,C27)=1,C27 &amp; " - " &amp; TEXT(SUMIF($C:$C,C27,$T:$T),"0.00"),"")</f>
        <v/>
      </c>
      <c r="X27" s="209" t="str">
        <f>IF(COUNTIF($C$15:C27,C27)=1,ROUND(SUMIF($C:$C,C27,$V:$V),2), "")</f>
        <v/>
      </c>
    </row>
    <row r="28" spans="1:34" s="210" customFormat="1" ht="31.5" customHeight="1" x14ac:dyDescent="0.2">
      <c r="A28" s="196">
        <f t="shared" si="5"/>
        <v>14</v>
      </c>
      <c r="B28" s="196"/>
      <c r="C28" s="196" t="s">
        <v>89</v>
      </c>
      <c r="D28" s="197"/>
      <c r="E28" s="197" t="s">
        <v>11</v>
      </c>
      <c r="F28" s="198" t="s">
        <v>123</v>
      </c>
      <c r="G28" s="199" t="str">
        <f>IF(COUNTIFS($C$15:C28,C28,$H$15:H28,H28)=1,
SUMIFS($I$15:$I$43,$C$15:$C$43,C28,$H$15:$H$43,H28)&amp;H28&amp;" "&amp;C28,
"")</f>
        <v/>
      </c>
      <c r="H28" s="197" t="s">
        <v>14</v>
      </c>
      <c r="I28" s="200">
        <v>1</v>
      </c>
      <c r="J28" s="249"/>
      <c r="K28" s="201" cm="1">
        <f t="array" ref="K28">IF(E28="untrim",_xlfn.XLOOKUP(1,(TRIM('SIZE GUIDE'!$A$3:$A$2015)=TRIM(E28))*(TRIM('SIZE GUIDE'!$B$3:$B$2015)=TRIM(F28))*(TRIM('SIZE GUIDE'!$C$3:$C$2015)=TRIM(H28)),'SIZE GUIDE'!$D$3:$D$2015),"")</f>
        <v>76</v>
      </c>
      <c r="L28" s="265" cm="1">
        <f t="array" ref="L28">IF(E28="untrim",IFERROR(INDEX('SIZE GUIDE'!$E:$E,MATCH(1,('SIZE GUIDE'!$A:$A=$E28)*('SIZE GUIDE'!$B:$B=$F28)*('SIZE GUIDE'!$C:$C=$H28),0)),""),"")</f>
        <v>55</v>
      </c>
      <c r="M28" s="202">
        <v>39</v>
      </c>
      <c r="N28" s="203" t="str" cm="1">
        <f t="array" ref="N28">IF(E28="trim",_xlfn.XLOOKUP(1,(TRIM('SIZE GUIDE'!$A$3:$A$2015)=TRIM(E28))*(TRIM('SIZE GUIDE'!$B$3:$B$2015)=TRIM(F28))*(TRIM('SIZE GUIDE'!$C$3:$C$2015)=TRIM(H28)),'SIZE GUIDE'!$D$3:$D$2015),"")</f>
        <v/>
      </c>
      <c r="O28" s="203" t="str" cm="1">
        <f t="array" ref="O28">IF(E28="trim",IFERROR(INDEX('SIZE GUIDE'!$E:$E,MATCH(1,('SIZE GUIDE'!$A:$A=$E28)*('SIZE GUIDE'!$B:$B=$F28)*('SIZE GUIDE'!$C:$C=$H28),0)),""),"")</f>
        <v/>
      </c>
      <c r="P28" s="203"/>
      <c r="Q28" s="204">
        <f t="shared" si="1"/>
        <v>74.5</v>
      </c>
      <c r="R28" s="198">
        <f t="shared" si="2"/>
        <v>53.5</v>
      </c>
      <c r="S28" s="198">
        <f t="shared" si="3"/>
        <v>38.5</v>
      </c>
      <c r="T28" s="205">
        <f t="shared" si="4"/>
        <v>1065.6345486111111</v>
      </c>
      <c r="U28" s="206">
        <f>SUMIFS(CODE_PRICE!F:F,CODE_PRICE!B:B,C28,CODE_PRICE!A:A,$A$8)</f>
        <v>0.1895</v>
      </c>
      <c r="V28" s="207">
        <f t="shared" si="0"/>
        <v>201.93774696180554</v>
      </c>
      <c r="W28" s="208" t="str">
        <f>IF(COUNTIF($C$15:C28,C28)=1,C28 &amp; " - " &amp; TEXT(SUMIF($C:$C,C28,$T:$T),"0.00"),"")</f>
        <v/>
      </c>
      <c r="X28" s="209" t="str">
        <f>IF(COUNTIF($C$15:C28,C28)=1,ROUND(SUMIF($C:$C,C28,$V:$V),2), "")</f>
        <v/>
      </c>
    </row>
    <row r="29" spans="1:34" s="210" customFormat="1" ht="31.5" customHeight="1" x14ac:dyDescent="0.2">
      <c r="A29" s="196">
        <f t="shared" si="5"/>
        <v>15</v>
      </c>
      <c r="B29" s="196"/>
      <c r="C29" s="196" t="s">
        <v>89</v>
      </c>
      <c r="D29" s="197"/>
      <c r="E29" s="197" t="s">
        <v>11</v>
      </c>
      <c r="F29" s="198" t="s">
        <v>123</v>
      </c>
      <c r="G29" s="199" t="str">
        <f>IF(COUNTIFS($C$15:C29,C29,$H$15:H29,H29)=1,
SUMIFS($I$15:$I$43,$C$15:$C$43,C29,$H$15:$H$43,H29)&amp;H29&amp;" "&amp;C29,
"")</f>
        <v/>
      </c>
      <c r="H29" s="197" t="s">
        <v>14</v>
      </c>
      <c r="I29" s="200">
        <v>1</v>
      </c>
      <c r="J29" s="249"/>
      <c r="K29" s="201" cm="1">
        <f t="array" ref="K29">IF(E29="untrim",_xlfn.XLOOKUP(1,(TRIM('SIZE GUIDE'!$A$3:$A$2015)=TRIM(E29))*(TRIM('SIZE GUIDE'!$B$3:$B$2015)=TRIM(F29))*(TRIM('SIZE GUIDE'!$C$3:$C$2015)=TRIM(H29)),'SIZE GUIDE'!$D$3:$D$2015),"")</f>
        <v>76</v>
      </c>
      <c r="L29" s="265" cm="1">
        <f t="array" ref="L29">IF(E29="untrim",IFERROR(INDEX('SIZE GUIDE'!$E:$E,MATCH(1,('SIZE GUIDE'!$A:$A=$E29)*('SIZE GUIDE'!$B:$B=$F29)*('SIZE GUIDE'!$C:$C=$H29),0)),""),"")</f>
        <v>55</v>
      </c>
      <c r="M29" s="202">
        <v>38</v>
      </c>
      <c r="N29" s="203" t="str" cm="1">
        <f t="array" ref="N29">IF(E29="trim",_xlfn.XLOOKUP(1,(TRIM('SIZE GUIDE'!$A$3:$A$2015)=TRIM(E29))*(TRIM('SIZE GUIDE'!$B$3:$B$2015)=TRIM(F29))*(TRIM('SIZE GUIDE'!$C$3:$C$2015)=TRIM(H29)),'SIZE GUIDE'!$D$3:$D$2015),"")</f>
        <v/>
      </c>
      <c r="O29" s="203" t="str" cm="1">
        <f t="array" ref="O29">IF(E29="trim",IFERROR(INDEX('SIZE GUIDE'!$E:$E,MATCH(1,('SIZE GUIDE'!$A:$A=$E29)*('SIZE GUIDE'!$B:$B=$F29)*('SIZE GUIDE'!$C:$C=$H29),0)),""),"")</f>
        <v/>
      </c>
      <c r="P29" s="203"/>
      <c r="Q29" s="204">
        <f t="shared" si="1"/>
        <v>74.5</v>
      </c>
      <c r="R29" s="198">
        <f t="shared" si="2"/>
        <v>53.5</v>
      </c>
      <c r="S29" s="198">
        <f t="shared" si="3"/>
        <v>37.5</v>
      </c>
      <c r="T29" s="205">
        <f t="shared" si="4"/>
        <v>1037.9557291666667</v>
      </c>
      <c r="U29" s="206">
        <f>SUMIFS(CODE_PRICE!F:F,CODE_PRICE!B:B,C29,CODE_PRICE!A:A,$A$8)</f>
        <v>0.1895</v>
      </c>
      <c r="V29" s="207">
        <f t="shared" si="0"/>
        <v>196.69261067708334</v>
      </c>
      <c r="W29" s="208" t="str">
        <f>IF(COUNTIF($C$15:C29,C29)=1,C29 &amp; " - " &amp; TEXT(SUMIF($C:$C,C29,$T:$T),"0.00"),"")</f>
        <v/>
      </c>
      <c r="X29" s="209"/>
    </row>
    <row r="30" spans="1:34" s="210" customFormat="1" ht="31.5" customHeight="1" x14ac:dyDescent="0.2">
      <c r="A30" s="196">
        <f t="shared" si="5"/>
        <v>16</v>
      </c>
      <c r="B30" s="196"/>
      <c r="C30" s="196" t="s">
        <v>89</v>
      </c>
      <c r="D30" s="197"/>
      <c r="E30" s="197" t="s">
        <v>11</v>
      </c>
      <c r="F30" s="198" t="s">
        <v>123</v>
      </c>
      <c r="G30" s="199" t="str">
        <f>IF(COUNTIFS($C$15:C30,C30,$H$15:H30,H30)=1,
SUMIFS($I$15:$I$43,$C$15:$C$43,C30,$H$15:$H$43,H30)&amp;H30&amp;" "&amp;C30,
"")</f>
        <v/>
      </c>
      <c r="H30" s="197" t="s">
        <v>14</v>
      </c>
      <c r="I30" s="200">
        <v>1</v>
      </c>
      <c r="J30" s="285"/>
      <c r="K30" s="201" cm="1">
        <f t="array" ref="K30">IF(E30="untrim",_xlfn.XLOOKUP(1,(TRIM('SIZE GUIDE'!$A$3:$A$2015)=TRIM(E30))*(TRIM('SIZE GUIDE'!$B$3:$B$2015)=TRIM(F30))*(TRIM('SIZE GUIDE'!$C$3:$C$2015)=TRIM(H30)),'SIZE GUIDE'!$D$3:$D$2015),"")</f>
        <v>76</v>
      </c>
      <c r="L30" s="265" cm="1">
        <f t="array" ref="L30">IF(E30="untrim",IFERROR(INDEX('SIZE GUIDE'!$E:$E,MATCH(1,('SIZE GUIDE'!$A:$A=$E30)*('SIZE GUIDE'!$B:$B=$F30)*('SIZE GUIDE'!$C:$C=$H30),0)),""),"")</f>
        <v>55</v>
      </c>
      <c r="M30" s="202">
        <v>40</v>
      </c>
      <c r="N30" s="203" t="str" cm="1">
        <f t="array" ref="N30">IF(E30="trim",_xlfn.XLOOKUP(1,(TRIM('SIZE GUIDE'!$A$3:$A$2015)=TRIM(E30))*(TRIM('SIZE GUIDE'!$B$3:$B$2015)=TRIM(F30))*(TRIM('SIZE GUIDE'!$C$3:$C$2015)=TRIM(H30)),'SIZE GUIDE'!$D$3:$D$2015),"")</f>
        <v/>
      </c>
      <c r="O30" s="203" t="str" cm="1">
        <f t="array" ref="O30">IF(E30="trim",IFERROR(INDEX('SIZE GUIDE'!$E:$E,MATCH(1,('SIZE GUIDE'!$A:$A=$E30)*('SIZE GUIDE'!$B:$B=$F30)*('SIZE GUIDE'!$C:$C=$H30),0)),""),"")</f>
        <v/>
      </c>
      <c r="P30" s="203"/>
      <c r="Q30" s="204">
        <f t="shared" si="1"/>
        <v>74.5</v>
      </c>
      <c r="R30" s="198">
        <f t="shared" si="2"/>
        <v>53.5</v>
      </c>
      <c r="S30" s="198">
        <f t="shared" si="3"/>
        <v>39.5</v>
      </c>
      <c r="T30" s="205">
        <f t="shared" si="4"/>
        <v>1093.3133680555557</v>
      </c>
      <c r="U30" s="206">
        <f>SUMIFS(CODE_PRICE!F:F,CODE_PRICE!B:B,C30,CODE_PRICE!A:A,$A$8)</f>
        <v>0.1895</v>
      </c>
      <c r="V30" s="207">
        <f t="shared" si="0"/>
        <v>207.18288324652781</v>
      </c>
      <c r="W30" s="208" t="str">
        <f>IF(COUNTIF($C$15:C30,C30)=1,C30 &amp; " - " &amp; TEXT(SUMIF($C:$C,C30,$T:$T),"0.00"),"")</f>
        <v/>
      </c>
      <c r="X30" s="209"/>
    </row>
    <row r="31" spans="1:34" s="210" customFormat="1" ht="31.5" customHeight="1" x14ac:dyDescent="0.2">
      <c r="A31" s="196">
        <f t="shared" si="5"/>
        <v>17</v>
      </c>
      <c r="B31" s="196"/>
      <c r="C31" s="196" t="s">
        <v>89</v>
      </c>
      <c r="D31" s="197"/>
      <c r="E31" s="197" t="s">
        <v>11</v>
      </c>
      <c r="F31" s="198" t="s">
        <v>123</v>
      </c>
      <c r="G31" s="199" t="str">
        <f>IF(COUNTIFS($C$15:C31,C31,$H$15:H31,H31)=1,
SUMIFS($I$15:$I$43,$C$15:$C$43,C31,$H$15:$H$43,H31)&amp;H31&amp;" "&amp;C31,
"")</f>
        <v>6T CFN30100W</v>
      </c>
      <c r="H31" s="197" t="s">
        <v>12</v>
      </c>
      <c r="I31" s="200">
        <v>1</v>
      </c>
      <c r="J31" s="249"/>
      <c r="K31" s="201" cm="1">
        <f t="array" ref="K31">IF(E31="untrim",_xlfn.XLOOKUP(1,(TRIM('SIZE GUIDE'!$A$3:$A$2015)=TRIM(E31))*(TRIM('SIZE GUIDE'!$B$3:$B$2015)=TRIM(F31))*(TRIM('SIZE GUIDE'!$C$3:$C$2015)=TRIM(H31)),'SIZE GUIDE'!$D$3:$D$2015),"")</f>
        <v>76</v>
      </c>
      <c r="L31" s="265" cm="1">
        <f t="array" ref="L31">IF(E31="untrim",IFERROR(INDEX('SIZE GUIDE'!$E:$E,MATCH(1,('SIZE GUIDE'!$A:$A=$E31)*('SIZE GUIDE'!$B:$B=$F31)*('SIZE GUIDE'!$C:$C=$H31),0)),""),"")</f>
        <v>39</v>
      </c>
      <c r="M31" s="202">
        <v>40.5</v>
      </c>
      <c r="N31" s="203" t="str" cm="1">
        <f t="array" ref="N31">IF(E31="trim",_xlfn.XLOOKUP(1,(TRIM('SIZE GUIDE'!$A$3:$A$2015)=TRIM(E31))*(TRIM('SIZE GUIDE'!$B$3:$B$2015)=TRIM(F31))*(TRIM('SIZE GUIDE'!$C$3:$C$2015)=TRIM(H31)),'SIZE GUIDE'!$D$3:$D$2015),"")</f>
        <v/>
      </c>
      <c r="O31" s="203" t="str" cm="1">
        <f t="array" ref="O31">IF(E31="trim",IFERROR(INDEX('SIZE GUIDE'!$E:$E,MATCH(1,('SIZE GUIDE'!$A:$A=$E31)*('SIZE GUIDE'!$B:$B=$F31)*('SIZE GUIDE'!$C:$C=$H31),0)),""),"")</f>
        <v/>
      </c>
      <c r="P31" s="203"/>
      <c r="Q31" s="204">
        <f t="shared" si="1"/>
        <v>74.5</v>
      </c>
      <c r="R31" s="198">
        <f t="shared" si="2"/>
        <v>37.5</v>
      </c>
      <c r="S31" s="198">
        <f t="shared" si="3"/>
        <v>40</v>
      </c>
      <c r="T31" s="205">
        <f t="shared" si="4"/>
        <v>776.04166666666663</v>
      </c>
      <c r="U31" s="206">
        <f>SUMIFS(CODE_PRICE!F:F,CODE_PRICE!B:B,C31,CODE_PRICE!A:A,$A$8)</f>
        <v>0.1895</v>
      </c>
      <c r="V31" s="207">
        <f t="shared" si="0"/>
        <v>147.05989583333331</v>
      </c>
      <c r="W31" s="208" t="str">
        <f>IF(COUNTIF($C$15:C31,C31)=1,C31 &amp; " - " &amp; TEXT(SUMIF($C:$C,C31,$T:$T),"0.00"),"")</f>
        <v/>
      </c>
      <c r="X31" s="209"/>
    </row>
    <row r="32" spans="1:34" s="210" customFormat="1" ht="31.5" customHeight="1" x14ac:dyDescent="0.2">
      <c r="A32" s="196">
        <f t="shared" si="5"/>
        <v>18</v>
      </c>
      <c r="B32" s="196"/>
      <c r="C32" s="196" t="s">
        <v>89</v>
      </c>
      <c r="D32" s="197"/>
      <c r="E32" s="197" t="s">
        <v>11</v>
      </c>
      <c r="F32" s="198" t="s">
        <v>123</v>
      </c>
      <c r="G32" s="199" t="str">
        <f>IF(COUNTIFS($C$15:C32,C32,$H$15:H32,H32)=1,
SUMIFS($I$15:$I$43,$C$15:$C$43,C32,$H$15:$H$43,H32)&amp;H32&amp;" "&amp;C32,
"")</f>
        <v/>
      </c>
      <c r="H32" s="197" t="s">
        <v>12</v>
      </c>
      <c r="I32" s="200">
        <v>1</v>
      </c>
      <c r="J32" s="249"/>
      <c r="K32" s="201" cm="1">
        <f t="array" ref="K32">IF(E32="untrim",_xlfn.XLOOKUP(1,(TRIM('SIZE GUIDE'!$A$3:$A$2015)=TRIM(E32))*(TRIM('SIZE GUIDE'!$B$3:$B$2015)=TRIM(F32))*(TRIM('SIZE GUIDE'!$C$3:$C$2015)=TRIM(H32)),'SIZE GUIDE'!$D$3:$D$2015),"")</f>
        <v>76</v>
      </c>
      <c r="L32" s="265" cm="1">
        <f t="array" ref="L32">IF(E32="untrim",IFERROR(INDEX('SIZE GUIDE'!$E:$E,MATCH(1,('SIZE GUIDE'!$A:$A=$E32)*('SIZE GUIDE'!$B:$B=$F32)*('SIZE GUIDE'!$C:$C=$H32),0)),""),"")</f>
        <v>39</v>
      </c>
      <c r="M32" s="202">
        <v>40.5</v>
      </c>
      <c r="N32" s="203" t="str" cm="1">
        <f t="array" ref="N32">IF(E32="trim",_xlfn.XLOOKUP(1,(TRIM('SIZE GUIDE'!$A$3:$A$2015)=TRIM(E32))*(TRIM('SIZE GUIDE'!$B$3:$B$2015)=TRIM(F32))*(TRIM('SIZE GUIDE'!$C$3:$C$2015)=TRIM(H32)),'SIZE GUIDE'!$D$3:$D$2015),"")</f>
        <v/>
      </c>
      <c r="O32" s="203" t="str" cm="1">
        <f t="array" ref="O32">IF(E32="trim",IFERROR(INDEX('SIZE GUIDE'!$E:$E,MATCH(1,('SIZE GUIDE'!$A:$A=$E32)*('SIZE GUIDE'!$B:$B=$F32)*('SIZE GUIDE'!$C:$C=$H32),0)),""),"")</f>
        <v/>
      </c>
      <c r="P32" s="203"/>
      <c r="Q32" s="204">
        <f t="shared" si="1"/>
        <v>74.5</v>
      </c>
      <c r="R32" s="198">
        <f t="shared" si="2"/>
        <v>37.5</v>
      </c>
      <c r="S32" s="198">
        <f t="shared" si="3"/>
        <v>40</v>
      </c>
      <c r="T32" s="205">
        <f t="shared" si="4"/>
        <v>776.04166666666663</v>
      </c>
      <c r="U32" s="206">
        <f>SUMIFS(CODE_PRICE!F:F,CODE_PRICE!B:B,C32,CODE_PRICE!A:A,$A$8)</f>
        <v>0.1895</v>
      </c>
      <c r="V32" s="207">
        <f t="shared" si="0"/>
        <v>147.05989583333331</v>
      </c>
      <c r="W32" s="208" t="str">
        <f>IF(COUNTIF($C$15:C32,C32)=1,C32 &amp; " - " &amp; TEXT(SUMIF($C:$C,C32,$T:$T),"0.00"),"")</f>
        <v/>
      </c>
      <c r="X32" s="209"/>
    </row>
    <row r="33" spans="1:24" s="210" customFormat="1" ht="31.5" customHeight="1" x14ac:dyDescent="0.2">
      <c r="A33" s="196">
        <f t="shared" si="5"/>
        <v>19</v>
      </c>
      <c r="B33" s="196"/>
      <c r="C33" s="196" t="s">
        <v>89</v>
      </c>
      <c r="D33" s="197"/>
      <c r="E33" s="197" t="s">
        <v>11</v>
      </c>
      <c r="F33" s="198" t="s">
        <v>123</v>
      </c>
      <c r="G33" s="199"/>
      <c r="H33" s="197" t="s">
        <v>12</v>
      </c>
      <c r="I33" s="200">
        <v>1</v>
      </c>
      <c r="J33" s="249"/>
      <c r="K33" s="201" cm="1">
        <f t="array" ref="K33">IF(E33="untrim",_xlfn.XLOOKUP(1,(TRIM('SIZE GUIDE'!$A$3:$A$2015)=TRIM(E33))*(TRIM('SIZE GUIDE'!$B$3:$B$2015)=TRIM(F33))*(TRIM('SIZE GUIDE'!$C$3:$C$2015)=TRIM(H33)),'SIZE GUIDE'!$D$3:$D$2015),"")</f>
        <v>76</v>
      </c>
      <c r="L33" s="265" cm="1">
        <f t="array" ref="L33">IF(E33="untrim",IFERROR(INDEX('SIZE GUIDE'!$E:$E,MATCH(1,('SIZE GUIDE'!$A:$A=$E33)*('SIZE GUIDE'!$B:$B=$F33)*('SIZE GUIDE'!$C:$C=$H33),0)),""),"")</f>
        <v>39</v>
      </c>
      <c r="M33" s="202">
        <v>41.5</v>
      </c>
      <c r="N33" s="203" t="str" cm="1">
        <f t="array" ref="N33">IF(E33="trim",_xlfn.XLOOKUP(1,(TRIM('SIZE GUIDE'!$A$3:$A$2015)=TRIM(E33))*(TRIM('SIZE GUIDE'!$B$3:$B$2015)=TRIM(F33))*(TRIM('SIZE GUIDE'!$C$3:$C$2015)=TRIM(H33)),'SIZE GUIDE'!$D$3:$D$2015),"")</f>
        <v/>
      </c>
      <c r="O33" s="203" t="str" cm="1">
        <f t="array" ref="O33">IF(E33="trim",IFERROR(INDEX('SIZE GUIDE'!$E:$E,MATCH(1,('SIZE GUIDE'!$A:$A=$E33)*('SIZE GUIDE'!$B:$B=$F33)*('SIZE GUIDE'!$C:$C=$H33),0)),""),"")</f>
        <v/>
      </c>
      <c r="P33" s="203"/>
      <c r="Q33" s="204">
        <f>IF(E33="untrim",K33-1.5,N33)</f>
        <v>74.5</v>
      </c>
      <c r="R33" s="198">
        <f>IF(E33="untrim",L33-1.5,O33)</f>
        <v>37.5</v>
      </c>
      <c r="S33" s="198">
        <f t="shared" si="3"/>
        <v>41</v>
      </c>
      <c r="T33" s="205">
        <f>IFERROR(Q33*R33*S33/144*I33,"")</f>
        <v>795.44270833333337</v>
      </c>
      <c r="U33" s="206">
        <f>SUMIFS(CODE_PRICE!F:F,CODE_PRICE!B:B,C33,CODE_PRICE!A:A,$A$8)</f>
        <v>0.1895</v>
      </c>
      <c r="V33" s="207">
        <f>T33*U33</f>
        <v>150.73639322916668</v>
      </c>
      <c r="W33" s="208"/>
      <c r="X33" s="209"/>
    </row>
    <row r="34" spans="1:24" s="210" customFormat="1" ht="31.5" customHeight="1" x14ac:dyDescent="0.2">
      <c r="A34" s="196">
        <f t="shared" si="5"/>
        <v>20</v>
      </c>
      <c r="B34" s="196"/>
      <c r="C34" s="196" t="s">
        <v>89</v>
      </c>
      <c r="D34" s="197"/>
      <c r="E34" s="197" t="s">
        <v>11</v>
      </c>
      <c r="F34" s="198" t="s">
        <v>123</v>
      </c>
      <c r="G34" s="199"/>
      <c r="H34" s="197" t="s">
        <v>12</v>
      </c>
      <c r="I34" s="200">
        <v>1</v>
      </c>
      <c r="J34" s="249"/>
      <c r="K34" s="201" cm="1">
        <f t="array" ref="K34">IF(E34="untrim",_xlfn.XLOOKUP(1,(TRIM('SIZE GUIDE'!$A$3:$A$2015)=TRIM(E34))*(TRIM('SIZE GUIDE'!$B$3:$B$2015)=TRIM(F34))*(TRIM('SIZE GUIDE'!$C$3:$C$2015)=TRIM(H34)),'SIZE GUIDE'!$D$3:$D$2015),"")</f>
        <v>76</v>
      </c>
      <c r="L34" s="265" cm="1">
        <f t="array" ref="L34">IF(E34="untrim",IFERROR(INDEX('SIZE GUIDE'!$E:$E,MATCH(1,('SIZE GUIDE'!$A:$A=$E34)*('SIZE GUIDE'!$B:$B=$F34)*('SIZE GUIDE'!$C:$C=$H34),0)),""),"")</f>
        <v>39</v>
      </c>
      <c r="M34" s="202">
        <v>44</v>
      </c>
      <c r="N34" s="203" t="str" cm="1">
        <f t="array" ref="N34">IF(E34="trim",_xlfn.XLOOKUP(1,(TRIM('SIZE GUIDE'!$A$3:$A$2015)=TRIM(E34))*(TRIM('SIZE GUIDE'!$B$3:$B$2015)=TRIM(F34))*(TRIM('SIZE GUIDE'!$C$3:$C$2015)=TRIM(H34)),'SIZE GUIDE'!$D$3:$D$2015),"")</f>
        <v/>
      </c>
      <c r="O34" s="203" t="str" cm="1">
        <f t="array" ref="O34">IF(E34="trim",IFERROR(INDEX('SIZE GUIDE'!$E:$E,MATCH(1,('SIZE GUIDE'!$A:$A=$E34)*('SIZE GUIDE'!$B:$B=$F34)*('SIZE GUIDE'!$C:$C=$H34),0)),""),"")</f>
        <v/>
      </c>
      <c r="P34" s="203"/>
      <c r="Q34" s="204">
        <f>IF(E34="untrim",K34-1.5,N34)</f>
        <v>74.5</v>
      </c>
      <c r="R34" s="198">
        <f>IF(E34="untrim",L34-1.5,O34)</f>
        <v>37.5</v>
      </c>
      <c r="S34" s="198">
        <f t="shared" si="3"/>
        <v>43.5</v>
      </c>
      <c r="T34" s="205">
        <f>IFERROR(Q34*R34*S34/144*I34,"")</f>
        <v>843.9453125</v>
      </c>
      <c r="U34" s="206">
        <f>SUMIFS(CODE_PRICE!F:F,CODE_PRICE!B:B,C34,CODE_PRICE!A:A,$A$8)</f>
        <v>0.1895</v>
      </c>
      <c r="V34" s="207">
        <f>T34*U34</f>
        <v>159.92763671874999</v>
      </c>
      <c r="W34" s="208"/>
      <c r="X34" s="209"/>
    </row>
    <row r="35" spans="1:24" s="210" customFormat="1" ht="31.5" customHeight="1" x14ac:dyDescent="0.2">
      <c r="A35" s="196">
        <f t="shared" si="5"/>
        <v>21</v>
      </c>
      <c r="B35" s="196"/>
      <c r="C35" s="196" t="s">
        <v>89</v>
      </c>
      <c r="D35" s="197"/>
      <c r="E35" s="197" t="s">
        <v>11</v>
      </c>
      <c r="F35" s="198" t="s">
        <v>123</v>
      </c>
      <c r="G35" s="199"/>
      <c r="H35" s="197" t="s">
        <v>12</v>
      </c>
      <c r="I35" s="200">
        <v>1</v>
      </c>
      <c r="J35" s="249"/>
      <c r="K35" s="201" cm="1">
        <f t="array" ref="K35">IF(E35="untrim",_xlfn.XLOOKUP(1,(TRIM('SIZE GUIDE'!$A$3:$A$2015)=TRIM(E35))*(TRIM('SIZE GUIDE'!$B$3:$B$2015)=TRIM(F35))*(TRIM('SIZE GUIDE'!$C$3:$C$2015)=TRIM(H35)),'SIZE GUIDE'!$D$3:$D$2015),"")</f>
        <v>76</v>
      </c>
      <c r="L35" s="265" cm="1">
        <f t="array" ref="L35">IF(E35="untrim",IFERROR(INDEX('SIZE GUIDE'!$E:$E,MATCH(1,('SIZE GUIDE'!$A:$A=$E35)*('SIZE GUIDE'!$B:$B=$F35)*('SIZE GUIDE'!$C:$C=$H35),0)),""),"")</f>
        <v>39</v>
      </c>
      <c r="M35" s="202">
        <v>41.5</v>
      </c>
      <c r="N35" s="203" t="str" cm="1">
        <f t="array" ref="N35">IF(E35="trim",_xlfn.XLOOKUP(1,(TRIM('SIZE GUIDE'!$A$3:$A$2015)=TRIM(E35))*(TRIM('SIZE GUIDE'!$B$3:$B$2015)=TRIM(F35))*(TRIM('SIZE GUIDE'!$C$3:$C$2015)=TRIM(H35)),'SIZE GUIDE'!$D$3:$D$2015),"")</f>
        <v/>
      </c>
      <c r="O35" s="203" t="str" cm="1">
        <f t="array" ref="O35">IF(E35="trim",IFERROR(INDEX('SIZE GUIDE'!$E:$E,MATCH(1,('SIZE GUIDE'!$A:$A=$E35)*('SIZE GUIDE'!$B:$B=$F35)*('SIZE GUIDE'!$C:$C=$H35),0)),""),"")</f>
        <v/>
      </c>
      <c r="P35" s="203"/>
      <c r="Q35" s="204">
        <f>IF(E35="untrim",K35-1.5,N35)</f>
        <v>74.5</v>
      </c>
      <c r="R35" s="198">
        <f>IF(E35="untrim",L35-1.5,O35)</f>
        <v>37.5</v>
      </c>
      <c r="S35" s="198">
        <f t="shared" si="3"/>
        <v>41</v>
      </c>
      <c r="T35" s="205">
        <f>IFERROR(Q35*R35*S35/144*I35,"")</f>
        <v>795.44270833333337</v>
      </c>
      <c r="U35" s="206">
        <f>SUMIFS(CODE_PRICE!F:F,CODE_PRICE!B:B,C35,CODE_PRICE!A:A,$A$8)</f>
        <v>0.1895</v>
      </c>
      <c r="V35" s="207">
        <f>T35*U35</f>
        <v>150.73639322916668</v>
      </c>
      <c r="W35" s="208"/>
      <c r="X35" s="209"/>
    </row>
    <row r="36" spans="1:24" s="210" customFormat="1" ht="31.5" customHeight="1" x14ac:dyDescent="0.2">
      <c r="A36" s="196">
        <f t="shared" si="5"/>
        <v>22</v>
      </c>
      <c r="B36" s="196"/>
      <c r="C36" s="196" t="s">
        <v>89</v>
      </c>
      <c r="D36" s="197"/>
      <c r="E36" s="197" t="s">
        <v>11</v>
      </c>
      <c r="F36" s="198" t="s">
        <v>123</v>
      </c>
      <c r="G36" s="199"/>
      <c r="H36" s="197" t="s">
        <v>12</v>
      </c>
      <c r="I36" s="200">
        <v>1</v>
      </c>
      <c r="J36" s="249"/>
      <c r="K36" s="201" cm="1">
        <f t="array" ref="K36">IF(E36="untrim",_xlfn.XLOOKUP(1,(TRIM('SIZE GUIDE'!$A$3:$A$2015)=TRIM(E36))*(TRIM('SIZE GUIDE'!$B$3:$B$2015)=TRIM(F36))*(TRIM('SIZE GUIDE'!$C$3:$C$2015)=TRIM(H36)),'SIZE GUIDE'!$D$3:$D$2015),"")</f>
        <v>76</v>
      </c>
      <c r="L36" s="265" cm="1">
        <f t="array" ref="L36">IF(E36="untrim",IFERROR(INDEX('SIZE GUIDE'!$E:$E,MATCH(1,('SIZE GUIDE'!$A:$A=$E36)*('SIZE GUIDE'!$B:$B=$F36)*('SIZE GUIDE'!$C:$C=$H36),0)),""),"")</f>
        <v>39</v>
      </c>
      <c r="M36" s="202">
        <v>44</v>
      </c>
      <c r="N36" s="203" t="str" cm="1">
        <f t="array" ref="N36">IF(E36="trim",_xlfn.XLOOKUP(1,(TRIM('SIZE GUIDE'!$A$3:$A$2015)=TRIM(E36))*(TRIM('SIZE GUIDE'!$B$3:$B$2015)=TRIM(F36))*(TRIM('SIZE GUIDE'!$C$3:$C$2015)=TRIM(H36)),'SIZE GUIDE'!$D$3:$D$2015),"")</f>
        <v/>
      </c>
      <c r="O36" s="203" t="str" cm="1">
        <f t="array" ref="O36">IF(E36="trim",IFERROR(INDEX('SIZE GUIDE'!$E:$E,MATCH(1,('SIZE GUIDE'!$A:$A=$E36)*('SIZE GUIDE'!$B:$B=$F36)*('SIZE GUIDE'!$C:$C=$H36),0)),""),"")</f>
        <v/>
      </c>
      <c r="P36" s="203"/>
      <c r="Q36" s="204">
        <f>IF(E36="untrim",K36-1.5,N36)</f>
        <v>74.5</v>
      </c>
      <c r="R36" s="198">
        <f>IF(E36="untrim",L36-1.5,O36)</f>
        <v>37.5</v>
      </c>
      <c r="S36" s="198">
        <f t="shared" si="3"/>
        <v>43.5</v>
      </c>
      <c r="T36" s="205">
        <f>IFERROR(Q36*R36*S36/144*I36,"")</f>
        <v>843.9453125</v>
      </c>
      <c r="U36" s="206">
        <f>SUMIFS(CODE_PRICE!F:F,CODE_PRICE!B:B,C36,CODE_PRICE!A:A,$A$8)</f>
        <v>0.1895</v>
      </c>
      <c r="V36" s="207">
        <f>T36*U36</f>
        <v>159.92763671874999</v>
      </c>
      <c r="W36" s="208"/>
      <c r="X36" s="209"/>
    </row>
    <row r="37" spans="1:24" s="210" customFormat="1" ht="31.5" hidden="1" customHeight="1" x14ac:dyDescent="0.2">
      <c r="A37" s="196"/>
      <c r="B37" s="196"/>
      <c r="C37" s="196"/>
      <c r="D37" s="197"/>
      <c r="E37" s="197"/>
      <c r="F37" s="198"/>
      <c r="G37" s="199"/>
      <c r="H37" s="197"/>
      <c r="I37" s="200"/>
      <c r="J37" s="249"/>
      <c r="K37" s="201"/>
      <c r="L37" s="265"/>
      <c r="M37" s="202"/>
      <c r="N37" s="203"/>
      <c r="O37" s="203"/>
      <c r="P37" s="203"/>
      <c r="Q37" s="204"/>
      <c r="R37" s="198"/>
      <c r="S37" s="198"/>
      <c r="T37" s="205"/>
      <c r="U37" s="206"/>
      <c r="V37" s="207"/>
      <c r="W37" s="208"/>
      <c r="X37" s="209"/>
    </row>
    <row r="38" spans="1:24" s="210" customFormat="1" ht="31.5" hidden="1" customHeight="1" x14ac:dyDescent="0.2">
      <c r="A38" s="196"/>
      <c r="B38" s="196"/>
      <c r="C38" s="196"/>
      <c r="D38" s="197"/>
      <c r="E38" s="197"/>
      <c r="F38" s="198"/>
      <c r="G38" s="199"/>
      <c r="H38" s="197"/>
      <c r="I38" s="200"/>
      <c r="J38" s="249"/>
      <c r="K38" s="201"/>
      <c r="L38" s="265"/>
      <c r="M38" s="202"/>
      <c r="N38" s="203"/>
      <c r="O38" s="203"/>
      <c r="P38" s="203"/>
      <c r="Q38" s="204"/>
      <c r="R38" s="198"/>
      <c r="S38" s="198"/>
      <c r="T38" s="205"/>
      <c r="U38" s="206"/>
      <c r="V38" s="207"/>
      <c r="W38" s="208"/>
      <c r="X38" s="209"/>
    </row>
    <row r="39" spans="1:24" s="210" customFormat="1" ht="31.5" hidden="1" customHeight="1" x14ac:dyDescent="0.2">
      <c r="A39" s="196"/>
      <c r="B39" s="196"/>
      <c r="C39" s="196"/>
      <c r="D39" s="197"/>
      <c r="E39" s="197"/>
      <c r="F39" s="198"/>
      <c r="G39" s="199"/>
      <c r="H39" s="197"/>
      <c r="I39" s="200"/>
      <c r="J39" s="249"/>
      <c r="K39" s="201"/>
      <c r="L39" s="265"/>
      <c r="M39" s="202"/>
      <c r="N39" s="203"/>
      <c r="O39" s="203"/>
      <c r="P39" s="203"/>
      <c r="Q39" s="204"/>
      <c r="R39" s="198"/>
      <c r="S39" s="198"/>
      <c r="T39" s="205"/>
      <c r="U39" s="206"/>
      <c r="V39" s="207"/>
      <c r="W39" s="208"/>
      <c r="X39" s="209"/>
    </row>
    <row r="40" spans="1:24" s="210" customFormat="1" ht="31.5" hidden="1" customHeight="1" x14ac:dyDescent="0.2">
      <c r="A40" s="196"/>
      <c r="B40" s="196"/>
      <c r="C40" s="196"/>
      <c r="D40" s="197"/>
      <c r="E40" s="197"/>
      <c r="F40" s="198"/>
      <c r="G40" s="199"/>
      <c r="H40" s="197"/>
      <c r="I40" s="200"/>
      <c r="J40" s="249"/>
      <c r="K40" s="201"/>
      <c r="L40" s="265"/>
      <c r="M40" s="202"/>
      <c r="N40" s="203"/>
      <c r="O40" s="203"/>
      <c r="P40" s="203"/>
      <c r="Q40" s="204"/>
      <c r="R40" s="198"/>
      <c r="S40" s="198"/>
      <c r="T40" s="205"/>
      <c r="U40" s="206"/>
      <c r="V40" s="207"/>
      <c r="W40" s="208"/>
      <c r="X40" s="209"/>
    </row>
    <row r="41" spans="1:24" s="210" customFormat="1" ht="31.5" hidden="1" customHeight="1" x14ac:dyDescent="0.2">
      <c r="A41" s="196"/>
      <c r="B41" s="196"/>
      <c r="C41" s="196"/>
      <c r="D41" s="260"/>
      <c r="E41" s="197"/>
      <c r="F41" s="198"/>
      <c r="G41" s="199"/>
      <c r="H41" s="197"/>
      <c r="I41" s="200"/>
      <c r="J41" s="249"/>
      <c r="K41" s="201"/>
      <c r="L41" s="265"/>
      <c r="M41" s="202"/>
      <c r="N41" s="203"/>
      <c r="O41" s="203"/>
      <c r="P41" s="203"/>
      <c r="Q41" s="204"/>
      <c r="R41" s="198"/>
      <c r="S41" s="198"/>
      <c r="T41" s="205"/>
      <c r="U41" s="206"/>
      <c r="V41" s="207"/>
      <c r="W41" s="198"/>
      <c r="X41" s="238"/>
    </row>
    <row r="42" spans="1:24" s="210" customFormat="1" ht="31.5" hidden="1" customHeight="1" x14ac:dyDescent="0.2">
      <c r="A42" s="196"/>
      <c r="B42" s="196"/>
      <c r="C42" s="196"/>
      <c r="D42" s="260"/>
      <c r="E42" s="197"/>
      <c r="F42" s="198"/>
      <c r="G42" s="199"/>
      <c r="H42" s="197"/>
      <c r="I42" s="200"/>
      <c r="J42" s="249"/>
      <c r="K42" s="201"/>
      <c r="L42" s="265"/>
      <c r="M42" s="202"/>
      <c r="N42" s="203"/>
      <c r="O42" s="203"/>
      <c r="P42" s="203"/>
      <c r="Q42" s="204"/>
      <c r="R42" s="198"/>
      <c r="S42" s="198"/>
      <c r="T42" s="205"/>
      <c r="U42" s="206"/>
      <c r="V42" s="207"/>
      <c r="W42" s="198"/>
      <c r="X42" s="238"/>
    </row>
    <row r="43" spans="1:24" s="210" customFormat="1" ht="31.5" hidden="1" customHeight="1" x14ac:dyDescent="0.2">
      <c r="A43" s="196"/>
      <c r="B43" s="196"/>
      <c r="C43" s="196"/>
      <c r="D43" s="260"/>
      <c r="E43" s="197"/>
      <c r="F43" s="198"/>
      <c r="G43" s="199"/>
      <c r="H43" s="197"/>
      <c r="I43" s="200"/>
      <c r="J43" s="249"/>
      <c r="K43" s="201"/>
      <c r="L43" s="265"/>
      <c r="M43" s="202"/>
      <c r="N43" s="203"/>
      <c r="O43" s="203"/>
      <c r="P43" s="203"/>
      <c r="Q43" s="204"/>
      <c r="R43" s="198"/>
      <c r="S43" s="198"/>
      <c r="T43" s="205"/>
      <c r="U43" s="206"/>
      <c r="V43" s="207"/>
      <c r="W43" s="198"/>
      <c r="X43" s="238"/>
    </row>
    <row r="44" spans="1:24" s="284" customFormat="1" ht="31.5" hidden="1" customHeight="1" x14ac:dyDescent="0.2">
      <c r="A44" s="270"/>
      <c r="B44" s="270"/>
      <c r="C44" s="270"/>
      <c r="D44" s="271"/>
      <c r="E44" s="272"/>
      <c r="F44" s="273"/>
      <c r="G44" s="274"/>
      <c r="H44" s="197"/>
      <c r="I44" s="275"/>
      <c r="J44" s="276"/>
      <c r="K44" s="277"/>
      <c r="L44" s="278"/>
      <c r="M44" s="279"/>
      <c r="N44" s="277"/>
      <c r="O44" s="277"/>
      <c r="P44" s="277"/>
      <c r="Q44" s="277"/>
      <c r="R44" s="273"/>
      <c r="S44" s="273"/>
      <c r="T44" s="280"/>
      <c r="U44" s="281"/>
      <c r="V44" s="282"/>
      <c r="W44" s="273"/>
      <c r="X44" s="283"/>
    </row>
    <row r="45" spans="1:24" s="284" customFormat="1" ht="31.5" hidden="1" customHeight="1" x14ac:dyDescent="0.2">
      <c r="A45" s="270"/>
      <c r="B45" s="270"/>
      <c r="C45" s="270"/>
      <c r="D45" s="271"/>
      <c r="E45" s="272"/>
      <c r="F45" s="273"/>
      <c r="G45" s="274"/>
      <c r="H45" s="197"/>
      <c r="I45" s="275"/>
      <c r="J45" s="276"/>
      <c r="K45" s="277"/>
      <c r="L45" s="278"/>
      <c r="M45" s="279"/>
      <c r="N45" s="277"/>
      <c r="O45" s="277"/>
      <c r="P45" s="277"/>
      <c r="Q45" s="277"/>
      <c r="R45" s="273"/>
      <c r="S45" s="273"/>
      <c r="T45" s="280"/>
      <c r="U45" s="281"/>
      <c r="V45" s="282"/>
      <c r="W45" s="273"/>
      <c r="X45" s="283"/>
    </row>
    <row r="46" spans="1:24" s="210" customFormat="1" ht="31.5" customHeight="1" x14ac:dyDescent="0.2">
      <c r="A46" s="212"/>
      <c r="B46" s="212"/>
      <c r="C46" s="212"/>
      <c r="D46" s="212"/>
      <c r="E46" s="213"/>
      <c r="F46" s="212"/>
      <c r="G46" s="212"/>
      <c r="H46" s="214" t="s">
        <v>155</v>
      </c>
      <c r="I46" s="215">
        <f>SUM(I13:I43)</f>
        <v>22</v>
      </c>
      <c r="J46" s="248"/>
      <c r="K46" s="216"/>
      <c r="L46" s="264"/>
      <c r="M46" s="216"/>
      <c r="N46" s="217"/>
      <c r="O46" s="217"/>
      <c r="P46" s="217"/>
      <c r="Q46" s="213"/>
      <c r="R46" s="213"/>
      <c r="S46" s="213"/>
      <c r="T46" s="218">
        <f>SUM(T13:T45)</f>
        <v>27526.605902777777</v>
      </c>
      <c r="U46" s="219"/>
      <c r="V46" s="220">
        <f>SUM(V13:V45)</f>
        <v>5291.7492711805553</v>
      </c>
      <c r="W46" s="219"/>
      <c r="X46" s="220"/>
    </row>
    <row r="47" spans="1:24" s="210" customFormat="1" ht="31.5" customHeight="1" x14ac:dyDescent="0.2">
      <c r="A47" s="196"/>
      <c r="B47" s="196"/>
      <c r="C47" s="196"/>
      <c r="D47" s="197"/>
      <c r="E47" s="197"/>
      <c r="F47" s="198"/>
      <c r="G47" s="199"/>
      <c r="H47" s="221" t="s">
        <v>156</v>
      </c>
      <c r="I47" s="222"/>
      <c r="J47" s="250"/>
      <c r="K47" s="204"/>
      <c r="L47" s="266"/>
      <c r="M47" s="223"/>
      <c r="N47" s="204"/>
      <c r="O47" s="204"/>
      <c r="P47" s="204"/>
      <c r="Q47" s="224"/>
      <c r="R47" s="224"/>
      <c r="S47" s="224"/>
      <c r="T47" s="205"/>
      <c r="U47" s="224"/>
      <c r="V47" s="207"/>
      <c r="W47" s="224"/>
      <c r="X47" s="207"/>
    </row>
    <row r="48" spans="1:24" s="210" customFormat="1" ht="31.5" customHeight="1" x14ac:dyDescent="0.2">
      <c r="A48" s="212"/>
      <c r="B48" s="212"/>
      <c r="C48" s="212"/>
      <c r="D48" s="213"/>
      <c r="E48" s="213"/>
      <c r="F48" s="213"/>
      <c r="G48" s="213"/>
      <c r="H48" s="214" t="s">
        <v>162</v>
      </c>
      <c r="I48" s="215">
        <f>SUM(I15:I43)</f>
        <v>22</v>
      </c>
      <c r="J48" s="248"/>
      <c r="K48" s="216"/>
      <c r="L48" s="264"/>
      <c r="M48" s="216"/>
      <c r="N48" s="217"/>
      <c r="O48" s="217"/>
      <c r="P48" s="217"/>
      <c r="Q48" s="213"/>
      <c r="R48" s="213"/>
      <c r="S48" s="213"/>
      <c r="T48" s="218">
        <f>SUM(T15:T45)</f>
        <v>27526.605902777777</v>
      </c>
      <c r="U48" s="219"/>
      <c r="V48" s="220">
        <f>+V46+V47</f>
        <v>5291.7492711805553</v>
      </c>
      <c r="W48" s="219"/>
      <c r="X48" s="220"/>
    </row>
    <row r="49" spans="1:24" s="228" customFormat="1" ht="15" customHeight="1" x14ac:dyDescent="0.25">
      <c r="A49" s="225"/>
      <c r="B49" s="225"/>
      <c r="C49" s="225"/>
      <c r="D49" s="225"/>
      <c r="E49" s="225"/>
      <c r="F49" s="226"/>
      <c r="G49" s="225"/>
      <c r="H49" s="227"/>
      <c r="I49" s="227"/>
      <c r="J49" s="251"/>
      <c r="L49" s="267"/>
      <c r="V49" s="229"/>
      <c r="X49" s="230"/>
    </row>
    <row r="50" spans="1:24" s="228" customFormat="1" ht="15" customHeight="1" x14ac:dyDescent="0.25">
      <c r="A50" s="225" t="s">
        <v>218</v>
      </c>
      <c r="B50" s="225"/>
      <c r="C50" s="225"/>
      <c r="D50" s="225"/>
      <c r="E50" s="225"/>
      <c r="F50" s="226"/>
      <c r="G50" s="225"/>
      <c r="H50" s="227"/>
      <c r="I50" s="227"/>
      <c r="J50" s="251"/>
      <c r="L50" s="267"/>
      <c r="V50" s="229"/>
      <c r="X50" s="230"/>
    </row>
    <row r="51" spans="1:24" s="228" customFormat="1" ht="15" customHeight="1" x14ac:dyDescent="0.25">
      <c r="A51" s="225"/>
      <c r="B51" s="225"/>
      <c r="C51" s="225"/>
      <c r="D51" s="225"/>
      <c r="E51" s="225"/>
      <c r="F51" s="226"/>
      <c r="G51" s="225"/>
      <c r="H51" s="227"/>
      <c r="I51" s="227"/>
      <c r="J51" s="251"/>
      <c r="L51" s="267"/>
      <c r="V51" s="229"/>
      <c r="X51" s="230"/>
    </row>
    <row r="52" spans="1:24" s="228" customFormat="1" ht="15" customHeight="1" x14ac:dyDescent="0.25">
      <c r="A52" s="225" t="s">
        <v>219</v>
      </c>
      <c r="B52" s="225"/>
      <c r="C52" s="225"/>
      <c r="D52" s="225"/>
      <c r="E52" s="225"/>
      <c r="F52" s="226"/>
      <c r="G52" s="225"/>
      <c r="H52" s="227"/>
      <c r="I52" s="227"/>
      <c r="J52" s="251"/>
      <c r="L52" s="267"/>
      <c r="V52" s="229"/>
      <c r="X52" s="230"/>
    </row>
    <row r="53" spans="1:24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252"/>
      <c r="K53" s="35"/>
      <c r="L53" s="268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4" ht="15" customHeight="1" x14ac:dyDescent="0.25">
      <c r="A54" s="48"/>
      <c r="B54" s="48"/>
      <c r="C54" s="48"/>
      <c r="D54" s="48"/>
      <c r="E54" s="48"/>
      <c r="F54" s="84"/>
      <c r="G54" s="48"/>
      <c r="H54" s="85"/>
      <c r="I54" s="85"/>
      <c r="J54" s="252"/>
      <c r="K54" s="35"/>
      <c r="L54" s="268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4" ht="15" customHeight="1" x14ac:dyDescent="0.25">
      <c r="A55" s="86"/>
      <c r="B55" s="318"/>
      <c r="C55" s="318"/>
      <c r="D55" s="318"/>
      <c r="E55" s="318"/>
      <c r="F55" s="318"/>
      <c r="G55" s="318"/>
      <c r="H55" s="318"/>
      <c r="I55" s="318"/>
      <c r="J55" s="318"/>
      <c r="K55" s="35"/>
      <c r="L55" s="268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4" ht="15" customHeight="1" x14ac:dyDescent="0.25">
      <c r="A56" s="86"/>
      <c r="B56" s="319"/>
      <c r="C56" s="319"/>
      <c r="D56" s="319"/>
      <c r="E56" s="319"/>
      <c r="F56" s="319"/>
      <c r="G56" s="319"/>
      <c r="H56" s="319"/>
      <c r="I56" s="319"/>
      <c r="J56" s="319"/>
      <c r="K56" s="35"/>
      <c r="L56" s="268"/>
      <c r="M56" s="35"/>
      <c r="N56" s="35"/>
      <c r="O56" s="35"/>
      <c r="P56" s="35"/>
      <c r="Q56" s="35"/>
      <c r="R56" s="35"/>
      <c r="S56" s="35"/>
      <c r="T56" s="35"/>
      <c r="U56" s="35"/>
      <c r="V56" s="89"/>
    </row>
  </sheetData>
  <mergeCells count="5">
    <mergeCell ref="A7:E7"/>
    <mergeCell ref="F7:G7"/>
    <mergeCell ref="R9:S9"/>
    <mergeCell ref="B55:J55"/>
    <mergeCell ref="B56:J56"/>
  </mergeCells>
  <pageMargins left="0" right="0" top="1" bottom="0" header="0.511811023622047" footer="0.511811023622047"/>
  <pageSetup paperSize="9" scale="44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colBreaks count="2" manualBreakCount="2">
    <brk id="4" max="1048575" man="1"/>
    <brk id="6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BA90840C-85E1-40C4-860E-A21A6CD58169}">
          <x14:formula1>
            <xm:f>'SIZE GUIDE'!$A$3:$A$38</xm:f>
          </x14:formula1>
          <xm:sqref>E15:E48</xm:sqref>
        </x14:dataValidation>
        <x14:dataValidation type="list" allowBlank="1" xr:uid="{C70C640D-E252-4021-BFC2-2489EBE8337F}">
          <x14:formula1>
            <xm:f>LISTS!$B$2:$B$8</xm:f>
          </x14:formula1>
          <x14:formula2>
            <xm:f>0</xm:f>
          </x14:formula2>
          <xm:sqref>H15:H48</xm:sqref>
        </x14:dataValidation>
        <x14:dataValidation type="list" errorStyle="information" allowBlank="1" showInputMessage="1" xr:uid="{7A65CC76-FC4F-40AE-A441-57B8D0750A17}">
          <x14:formula1>
            <xm:f>CODE_MASTER_AS!$A$3:$A$14</xm:f>
          </x14:formula1>
          <xm:sqref>C47:C48 F46:G46 C15:C45</xm:sqref>
        </x14:dataValidation>
        <x14:dataValidation type="list" allowBlank="1" showInputMessage="1" showErrorMessage="1" xr:uid="{C478E357-6CAA-4CA4-9E66-ACA4DF5D3787}">
          <x14:formula1>
            <xm:f>'SIZE GUIDE'!$B:$B</xm:f>
          </x14:formula1>
          <xm:sqref>G46 F15:F48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76760-032E-4400-B213-33C3E482DDF7}">
  <sheetPr codeName="Sheet9">
    <pageSetUpPr fitToPage="1"/>
  </sheetPr>
  <dimension ref="A1:Y60"/>
  <sheetViews>
    <sheetView showGridLines="0" view="pageBreakPreview" topLeftCell="A4" zoomScale="89" zoomScaleNormal="68" zoomScaleSheetLayoutView="89" workbookViewId="0">
      <selection activeCell="A10" sqref="A10:A11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15.1640625" style="16" hidden="1" customWidth="1"/>
    <col min="5" max="5" width="16.83203125" style="16" customWidth="1"/>
    <col min="6" max="6" width="11.83203125" style="16" hidden="1" customWidth="1"/>
    <col min="7" max="7" width="21.5" style="16" customWidth="1"/>
    <col min="8" max="8" width="10.6640625" style="16" customWidth="1"/>
    <col min="9" max="9" width="14" style="16" customWidth="1"/>
    <col min="10" max="13" width="10.6640625" style="16" customWidth="1"/>
    <col min="14" max="16" width="10.6640625" style="16" hidden="1" customWidth="1"/>
    <col min="17" max="19" width="10.6640625" style="16" customWidth="1"/>
    <col min="20" max="21" width="14.6640625" style="16" customWidth="1"/>
    <col min="22" max="22" width="14.6640625" style="98" customWidth="1"/>
    <col min="23" max="23" width="39.83203125" style="16" customWidth="1"/>
    <col min="24" max="24" width="18.33203125" style="23" customWidth="1"/>
    <col min="25" max="28" width="8.6640625" style="16" customWidth="1"/>
    <col min="29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9"/>
      <c r="K1" s="29"/>
      <c r="L1" s="29"/>
      <c r="M1" s="29"/>
      <c r="N1" s="27"/>
      <c r="O1" s="27"/>
      <c r="P1" s="121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30"/>
      <c r="K2" s="31"/>
      <c r="L2" s="29"/>
      <c r="M2" s="32" t="s">
        <v>161</v>
      </c>
      <c r="N2" s="27"/>
      <c r="O2" s="27"/>
      <c r="P2" s="28" t="s">
        <v>160</v>
      </c>
      <c r="R2" s="20"/>
      <c r="S2" s="21"/>
      <c r="U2" s="13"/>
      <c r="V2" s="20" t="s">
        <v>151</v>
      </c>
      <c r="W2" s="20"/>
      <c r="X2" s="22"/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37"/>
      <c r="K3" s="37"/>
      <c r="L3" s="37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37"/>
      <c r="K4" s="37"/>
      <c r="L4" s="37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37"/>
      <c r="K5" s="37"/>
      <c r="L5" s="37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37"/>
      <c r="K6" s="37"/>
      <c r="L6" s="37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5"/>
      <c r="I7" s="35"/>
      <c r="J7" s="37"/>
      <c r="K7" s="37"/>
      <c r="L7" s="37"/>
      <c r="M7" s="37"/>
      <c r="N7" s="38"/>
      <c r="O7" s="38"/>
      <c r="P7" s="38"/>
      <c r="Q7" s="43" t="s">
        <v>147</v>
      </c>
      <c r="R7" s="43"/>
      <c r="S7" s="43"/>
      <c r="T7" s="43"/>
      <c r="U7" s="43"/>
      <c r="V7" s="43" t="s">
        <v>148</v>
      </c>
      <c r="W7" s="43"/>
      <c r="X7" s="43"/>
    </row>
    <row r="8" spans="1:24" ht="15" customHeight="1" x14ac:dyDescent="0.25">
      <c r="A8" s="44" t="s">
        <v>207</v>
      </c>
      <c r="B8" s="45"/>
      <c r="C8" s="45"/>
      <c r="D8" s="46"/>
      <c r="E8" s="46"/>
      <c r="F8" s="36"/>
      <c r="G8" s="46"/>
      <c r="H8" s="35"/>
      <c r="I8" s="35"/>
      <c r="J8" s="37"/>
      <c r="K8" s="37"/>
      <c r="L8" s="37"/>
      <c r="M8" s="37"/>
      <c r="N8" s="38"/>
      <c r="O8" s="38"/>
      <c r="P8" s="38"/>
      <c r="Q8" s="105" t="s">
        <v>258</v>
      </c>
      <c r="R8" s="87"/>
      <c r="S8" s="106"/>
      <c r="T8" s="46"/>
      <c r="U8" s="107"/>
      <c r="V8" s="108">
        <v>46191</v>
      </c>
      <c r="W8" s="13"/>
      <c r="X8" s="22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37"/>
      <c r="K9" s="37"/>
      <c r="L9" s="37"/>
      <c r="M9" s="37"/>
      <c r="N9" s="38"/>
      <c r="O9" s="38"/>
      <c r="P9" s="38"/>
      <c r="Q9" s="86"/>
      <c r="R9" s="320"/>
      <c r="S9" s="320"/>
      <c r="T9" s="46"/>
      <c r="U9" s="107"/>
      <c r="V9" s="33"/>
      <c r="W9" s="13"/>
      <c r="X9" s="22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37"/>
      <c r="K10" s="37"/>
      <c r="L10" s="37"/>
      <c r="M10" s="37"/>
      <c r="N10" s="38"/>
      <c r="O10" s="38"/>
      <c r="P10" s="38"/>
      <c r="Q10" s="42" t="s">
        <v>149</v>
      </c>
      <c r="R10" s="43"/>
      <c r="S10" s="43"/>
      <c r="T10" s="43"/>
      <c r="U10" s="43"/>
      <c r="V10" s="43" t="s">
        <v>150</v>
      </c>
      <c r="W10" s="43"/>
      <c r="X10" s="43"/>
    </row>
    <row r="11" spans="1:24" ht="15" customHeight="1" x14ac:dyDescent="0.25">
      <c r="A11" s="188" t="s">
        <v>253</v>
      </c>
      <c r="B11" s="34"/>
      <c r="C11" s="35"/>
      <c r="D11" s="35"/>
      <c r="E11" s="46"/>
      <c r="F11" s="46"/>
      <c r="G11" s="46"/>
      <c r="H11" s="35"/>
      <c r="I11" s="35"/>
      <c r="J11" s="37"/>
      <c r="K11" s="37"/>
      <c r="L11" s="37"/>
      <c r="M11" s="37"/>
      <c r="N11" s="38"/>
      <c r="O11" s="38"/>
      <c r="P11" s="38"/>
      <c r="Q11" s="105" t="s">
        <v>257</v>
      </c>
      <c r="R11" s="86"/>
      <c r="S11" s="86"/>
      <c r="T11" s="46"/>
      <c r="U11" s="107"/>
      <c r="V11" s="86"/>
      <c r="W11" s="13"/>
      <c r="X11" s="22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37"/>
      <c r="K12" s="37"/>
      <c r="L12" s="37"/>
      <c r="M12" s="37"/>
      <c r="N12" s="38"/>
      <c r="O12" s="38"/>
      <c r="P12" s="38"/>
      <c r="Q12" s="48"/>
      <c r="R12" s="48"/>
      <c r="S12" s="48"/>
      <c r="T12" s="48"/>
      <c r="U12" s="47"/>
      <c r="V12" s="49"/>
      <c r="W12" s="13"/>
      <c r="X12" s="22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5"/>
      <c r="K13" s="50"/>
      <c r="L13" s="50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17" customFormat="1" ht="41.25" customHeight="1" x14ac:dyDescent="0.2">
      <c r="A14" s="53" t="s">
        <v>158</v>
      </c>
      <c r="B14" s="53" t="s">
        <v>0</v>
      </c>
      <c r="C14" s="53" t="s">
        <v>1</v>
      </c>
      <c r="D14" s="54" t="s">
        <v>135</v>
      </c>
      <c r="E14" s="54" t="s">
        <v>157</v>
      </c>
      <c r="F14" s="54" t="s">
        <v>3</v>
      </c>
      <c r="G14" s="54" t="s">
        <v>152</v>
      </c>
      <c r="H14" s="54" t="s">
        <v>105</v>
      </c>
      <c r="I14" s="54" t="s">
        <v>5</v>
      </c>
      <c r="J14" s="55" t="s">
        <v>64</v>
      </c>
      <c r="K14" s="55" t="s">
        <v>136</v>
      </c>
      <c r="L14" s="55" t="s">
        <v>24</v>
      </c>
      <c r="M14" s="55" t="s">
        <v>108</v>
      </c>
      <c r="N14" s="56" t="s">
        <v>136</v>
      </c>
      <c r="O14" s="56" t="s">
        <v>24</v>
      </c>
      <c r="P14" s="122" t="s">
        <v>108</v>
      </c>
      <c r="Q14" s="54" t="s">
        <v>136</v>
      </c>
      <c r="R14" s="54" t="s">
        <v>24</v>
      </c>
      <c r="S14" s="54" t="s">
        <v>108</v>
      </c>
      <c r="T14" s="90" t="s">
        <v>159</v>
      </c>
      <c r="U14" s="91" t="s">
        <v>6</v>
      </c>
      <c r="V14" s="92" t="s">
        <v>7</v>
      </c>
      <c r="W14" s="53" t="s">
        <v>140</v>
      </c>
      <c r="X14" s="26" t="s">
        <v>141</v>
      </c>
    </row>
    <row r="15" spans="1:24" s="17" customFormat="1" ht="36" customHeight="1" x14ac:dyDescent="0.2">
      <c r="A15" s="57">
        <v>1</v>
      </c>
      <c r="B15" s="57" t="str" cm="1">
        <f t="array" ref="B15">_xlfn.LET(_xlpm.r,_xlfn.XLOOKUP(1,
(TRIM(CODE_PRICE!$A$4:$A$2003)=TRIM($C$4))*
(TRIM(CODE_PRICE!$B$4:$B$2003)=TRIM(C15)),
CODE_PRICE!$C$4:$C$2003,
""),
IF(OR(_xlpm.r="",_xlpm.r=0),"",_xlpm.r))</f>
        <v/>
      </c>
      <c r="C15" s="57" t="s">
        <v>89</v>
      </c>
      <c r="D15" s="58" t="str">
        <f>_xlfn.XLOOKUP(B15,CODE_PRICE!C:C,CODE_PRICE!D:D,"")</f>
        <v/>
      </c>
      <c r="E15" s="58" t="s">
        <v>11</v>
      </c>
      <c r="F15" s="59" t="s">
        <v>213</v>
      </c>
      <c r="G15" s="60" t="str">
        <f>IF(COUNTIFS($C$15:C15,C15,$H$15:H15,H15)=1,
SUMIFS($I$15:$I$49,$C$15:$C$49,C15,$H$15:$H$49,H15)&amp;H15&amp;" "&amp;C15,
"")</f>
        <v>12S CFN30100W</v>
      </c>
      <c r="H15" s="58" t="s">
        <v>22</v>
      </c>
      <c r="I15" s="61">
        <v>1</v>
      </c>
      <c r="J15" s="158"/>
      <c r="K15" s="158" cm="1">
        <f t="array" ref="K15">IF(E15="untrim",_xlfn.XLOOKUP(1,(TRIM('SIZE GUIDE'!$A$3:$A$2015)=TRIM(E15))*(TRIM('SIZE GUIDE'!$B$3:$B$2015)=TRIM(F15))*(TRIM('SIZE GUIDE'!$C$3:$C$2015)=TRIM(H15)),'SIZE GUIDE'!$D$3:$D$2015),"")</f>
        <v>108</v>
      </c>
      <c r="L15" s="168" cm="1">
        <f t="array" ref="L15">IF(E15="untrim",IFERROR(INDEX('SIZE GUIDE'!$E:$E,MATCH(1,('SIZE GUIDE'!$A:$A=$E15)*('SIZE GUIDE'!$B:$B=$F15)*('SIZE GUIDE'!$C:$C=$H15),0)),""),"")</f>
        <v>81</v>
      </c>
      <c r="M15" s="158">
        <v>37</v>
      </c>
      <c r="N15" s="65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65" t="str" cm="1">
        <f t="array" ref="O15">IF(E15="trim",IFERROR(INDEX('SIZE GUIDE'!$E:$E,MATCH(1,('SIZE GUIDE'!$A:$A=$E15)*('SIZE GUIDE'!$B:$B=$F15)*('SIZE GUIDE'!$C:$C=$H15),0)),""),"")</f>
        <v/>
      </c>
      <c r="P15" s="65"/>
      <c r="Q15" s="59">
        <f>K15</f>
        <v>108</v>
      </c>
      <c r="R15" s="130">
        <f>L15</f>
        <v>81</v>
      </c>
      <c r="S15" s="59">
        <f>IF(E15="untrim",M15-0.5,P15-0.5)</f>
        <v>36.5</v>
      </c>
      <c r="T15" s="93">
        <f t="shared" ref="T15:T24" si="0">IFERROR(Q15*R15*S15/144*I15,"")</f>
        <v>2217.375</v>
      </c>
      <c r="U15" s="94">
        <v>0.21179999999999999</v>
      </c>
      <c r="V15" s="95">
        <f>T15*U15</f>
        <v>469.64002499999998</v>
      </c>
      <c r="W15" s="102" t="str">
        <f>IF(COUNTIF($C$15:C15,C15)=1,C15 &amp; " - " &amp; TEXT(SUMIF($C:$C,C15,$T:$T),"0.00"),"")</f>
        <v>CFN30100W - 25272.00</v>
      </c>
      <c r="X15" s="103">
        <f>IF(COUNTIF($C$15:C15,C15)=1,ROUND(SUMIF($C:$C,C15,$V:$V),2), "")</f>
        <v>5352.61</v>
      </c>
    </row>
    <row r="16" spans="1:24" s="17" customFormat="1" ht="36" customHeight="1" x14ac:dyDescent="0.2">
      <c r="A16" s="57">
        <f>A15+1</f>
        <v>2</v>
      </c>
      <c r="B16" s="57" t="str" cm="1">
        <f t="array" ref="B16">_xlfn.LET(_xlpm.r,_xlfn.XLOOKUP(1,
(TRIM(CODE_PRICE!$A$4:$A$2003)=TRIM($C$4))*
(TRIM(CODE_PRICE!$B$4:$B$2003)=TRIM(C16)),
CODE_PRICE!$C$4:$C$2003,
""),
IF(OR(_xlpm.r="",_xlpm.r=0),"",_xlpm.r))</f>
        <v/>
      </c>
      <c r="C16" s="57" t="s">
        <v>89</v>
      </c>
      <c r="D16" s="58" t="str">
        <f>_xlfn.XLOOKUP(B16,CODE_PRICE!C:C,CODE_PRICE!D:D,"")</f>
        <v/>
      </c>
      <c r="E16" s="58" t="s">
        <v>11</v>
      </c>
      <c r="F16" s="59" t="s">
        <v>213</v>
      </c>
      <c r="G16" s="60" t="str">
        <f>IF(COUNTIFS($C$15:C16,C16,$H$15:H16,H16)=1,
SUMIFS($I$15:$I$49,$C$15:$C$49,C16,$H$15:$H$49,H16)&amp;H16&amp;" "&amp;C16,
"")</f>
        <v/>
      </c>
      <c r="H16" s="58" t="s">
        <v>22</v>
      </c>
      <c r="I16" s="61">
        <v>1</v>
      </c>
      <c r="J16" s="158"/>
      <c r="K16" s="158" cm="1">
        <f t="array" ref="K16">IF(E16="untrim",_xlfn.XLOOKUP(1,(TRIM('SIZE GUIDE'!$A$3:$A$2015)=TRIM(E16))*(TRIM('SIZE GUIDE'!$B$3:$B$2015)=TRIM(F16))*(TRIM('SIZE GUIDE'!$C$3:$C$2015)=TRIM(H16)),'SIZE GUIDE'!$D$3:$D$2015),"")</f>
        <v>108</v>
      </c>
      <c r="L16" s="168" cm="1">
        <f t="array" ref="L16">IF(E16="untrim",IFERROR(INDEX('SIZE GUIDE'!$E:$E,MATCH(1,('SIZE GUIDE'!$A:$A=$E16)*('SIZE GUIDE'!$B:$B=$F16)*('SIZE GUIDE'!$C:$C=$H16),0)),""),"")</f>
        <v>81</v>
      </c>
      <c r="M16" s="158">
        <v>38</v>
      </c>
      <c r="N16" s="65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65" t="str" cm="1">
        <f t="array" ref="O16">IF(E16="trim",IFERROR(INDEX('SIZE GUIDE'!$E:$E,MATCH(1,('SIZE GUIDE'!$A:$A=$E16)*('SIZE GUIDE'!$B:$B=$F16)*('SIZE GUIDE'!$C:$C=$H16),0)),""),"")</f>
        <v/>
      </c>
      <c r="P16" s="65"/>
      <c r="Q16" s="59">
        <f t="shared" ref="Q16:R24" si="1">K16</f>
        <v>108</v>
      </c>
      <c r="R16" s="130">
        <f t="shared" si="1"/>
        <v>81</v>
      </c>
      <c r="S16" s="59">
        <f>IF(E16="untrim",M16-0.5,P16-0.5)</f>
        <v>37.5</v>
      </c>
      <c r="T16" s="93">
        <f t="shared" si="0"/>
        <v>2278.125</v>
      </c>
      <c r="U16" s="94">
        <v>0.21179999999999999</v>
      </c>
      <c r="V16" s="95">
        <f t="shared" ref="V16:V24" si="2">T16*U16</f>
        <v>482.50687499999998</v>
      </c>
      <c r="W16" s="102" t="str">
        <f>IF(COUNTIF($C$15:C16,C16)=1,C16 &amp; " - " &amp; TEXT(SUMIF($C:$C,C16,$T:$T),"0.00"),"")</f>
        <v/>
      </c>
      <c r="X16" s="103" t="str">
        <f>IF(COUNTIF($C$15:C16,C16)=1,ROUND(SUMIF($C:$C,C16,$V:$V),2), "")</f>
        <v/>
      </c>
    </row>
    <row r="17" spans="1:24" s="17" customFormat="1" ht="36" customHeight="1" x14ac:dyDescent="0.2">
      <c r="A17" s="57">
        <f t="shared" ref="A17:A26" si="3">A16+1</f>
        <v>3</v>
      </c>
      <c r="B17" s="57" t="str" cm="1">
        <f t="array" ref="B17">_xlfn.LET(_xlpm.r,_xlfn.XLOOKUP(1,
(TRIM(CODE_PRICE!$A$4:$A$2003)=TRIM($C$4))*
(TRIM(CODE_PRICE!$B$4:$B$2003)=TRIM(C17)),
CODE_PRICE!$C$4:$C$2003,
""),
IF(OR(_xlpm.r="",_xlpm.r=0),"",_xlpm.r))</f>
        <v/>
      </c>
      <c r="C17" s="57" t="s">
        <v>89</v>
      </c>
      <c r="D17" s="58" t="str">
        <f>_xlfn.XLOOKUP(B17,CODE_PRICE!C:C,CODE_PRICE!D:D,"")</f>
        <v/>
      </c>
      <c r="E17" s="58" t="s">
        <v>11</v>
      </c>
      <c r="F17" s="59" t="s">
        <v>213</v>
      </c>
      <c r="G17" s="60" t="str">
        <f>IF(COUNTIFS($C$15:C17,C17,$H$15:H17,H17)=1,
SUMIFS($I$15:$I$49,$C$15:$C$49,C17,$H$15:$H$49,H17)&amp;H17&amp;" "&amp;C17,
"")</f>
        <v/>
      </c>
      <c r="H17" s="58" t="s">
        <v>22</v>
      </c>
      <c r="I17" s="61">
        <v>1</v>
      </c>
      <c r="J17" s="158"/>
      <c r="K17" s="158" cm="1">
        <f t="array" ref="K17">IF(E17="untrim",_xlfn.XLOOKUP(1,(TRIM('SIZE GUIDE'!$A$3:$A$2015)=TRIM(E17))*(TRIM('SIZE GUIDE'!$B$3:$B$2015)=TRIM(F17))*(TRIM('SIZE GUIDE'!$C$3:$C$2015)=TRIM(H17)),'SIZE GUIDE'!$D$3:$D$2015),"")</f>
        <v>108</v>
      </c>
      <c r="L17" s="168" cm="1">
        <f t="array" ref="L17">IF(E17="untrim",IFERROR(INDEX('SIZE GUIDE'!$E:$E,MATCH(1,('SIZE GUIDE'!$A:$A=$E17)*('SIZE GUIDE'!$B:$B=$F17)*('SIZE GUIDE'!$C:$C=$H17),0)),""),"")</f>
        <v>81</v>
      </c>
      <c r="M17" s="158">
        <v>35</v>
      </c>
      <c r="N17" s="65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65" t="str" cm="1">
        <f t="array" ref="O17">IF(E17="trim",IFERROR(INDEX('SIZE GUIDE'!$E:$E,MATCH(1,('SIZE GUIDE'!$A:$A=$E17)*('SIZE GUIDE'!$B:$B=$F17)*('SIZE GUIDE'!$C:$C=$H17),0)),""),"")</f>
        <v/>
      </c>
      <c r="P17" s="65"/>
      <c r="Q17" s="59">
        <f t="shared" si="1"/>
        <v>108</v>
      </c>
      <c r="R17" s="130">
        <f t="shared" si="1"/>
        <v>81</v>
      </c>
      <c r="S17" s="59">
        <f>IF(E17="untrim",M17-0.5,P17-0.5)</f>
        <v>34.5</v>
      </c>
      <c r="T17" s="93">
        <f t="shared" si="0"/>
        <v>2095.875</v>
      </c>
      <c r="U17" s="94">
        <v>0.21179999999999999</v>
      </c>
      <c r="V17" s="95">
        <f t="shared" si="2"/>
        <v>443.90632499999998</v>
      </c>
      <c r="W17" s="102" t="str">
        <f>IF(COUNTIF($C$15:C17,C17)=1,C17 &amp; " - " &amp; TEXT(SUMIF($C:$C,C17,$T:$T),"0.00"),"")</f>
        <v/>
      </c>
      <c r="X17" s="103" t="str">
        <f>IF(COUNTIF($C$15:C17,C17)=1,ROUND(SUMIF($C:$C,C17,$V:$V),2), "")</f>
        <v/>
      </c>
    </row>
    <row r="18" spans="1:24" s="17" customFormat="1" ht="36" customHeight="1" x14ac:dyDescent="0.2">
      <c r="A18" s="57">
        <f t="shared" si="3"/>
        <v>4</v>
      </c>
      <c r="B18" s="57" t="str" cm="1">
        <f t="array" ref="B18">_xlfn.LET(_xlpm.r,_xlfn.XLOOKUP(1,
(TRIM(CODE_PRICE!$A$4:$A$2003)=TRIM($C$4))*
(TRIM(CODE_PRICE!$B$4:$B$2003)=TRIM(C18)),
CODE_PRICE!$C$4:$C$2003,
""),
IF(OR(_xlpm.r="",_xlpm.r=0),"",_xlpm.r))</f>
        <v/>
      </c>
      <c r="C18" s="57" t="s">
        <v>89</v>
      </c>
      <c r="D18" s="58" t="str">
        <f>_xlfn.XLOOKUP(B18,CODE_PRICE!C:C,CODE_PRICE!D:D,"")</f>
        <v/>
      </c>
      <c r="E18" s="58" t="s">
        <v>11</v>
      </c>
      <c r="F18" s="59" t="s">
        <v>213</v>
      </c>
      <c r="G18" s="60" t="str">
        <f>IF(COUNTIFS($C$15:C18,C18,$H$15:H18,H18)=1,
SUMIFS($I$15:$I$49,$C$15:$C$49,C18,$H$15:$H$49,H18)&amp;H18&amp;" "&amp;C18,
"")</f>
        <v/>
      </c>
      <c r="H18" s="58" t="s">
        <v>22</v>
      </c>
      <c r="I18" s="61">
        <v>1</v>
      </c>
      <c r="J18" s="158"/>
      <c r="K18" s="158" cm="1">
        <f t="array" ref="K18">IF(E18="untrim",_xlfn.XLOOKUP(1,(TRIM('SIZE GUIDE'!$A$3:$A$2015)=TRIM(E18))*(TRIM('SIZE GUIDE'!$B$3:$B$2015)=TRIM(F18))*(TRIM('SIZE GUIDE'!$C$3:$C$2015)=TRIM(H18)),'SIZE GUIDE'!$D$3:$D$2015),"")</f>
        <v>108</v>
      </c>
      <c r="L18" s="168" cm="1">
        <f t="array" ref="L18">IF(E18="untrim",IFERROR(INDEX('SIZE GUIDE'!$E:$E,MATCH(1,('SIZE GUIDE'!$A:$A=$E18)*('SIZE GUIDE'!$B:$B=$F18)*('SIZE GUIDE'!$C:$C=$H18),0)),""),"")</f>
        <v>81</v>
      </c>
      <c r="M18" s="158">
        <v>31</v>
      </c>
      <c r="N18" s="65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65" t="str" cm="1">
        <f t="array" ref="O18">IF(E18="trim",IFERROR(INDEX('SIZE GUIDE'!$E:$E,MATCH(1,('SIZE GUIDE'!$A:$A=$E18)*('SIZE GUIDE'!$B:$B=$F18)*('SIZE GUIDE'!$C:$C=$H18),0)),""),"")</f>
        <v/>
      </c>
      <c r="P18" s="65"/>
      <c r="Q18" s="59">
        <f t="shared" si="1"/>
        <v>108</v>
      </c>
      <c r="R18" s="130">
        <f t="shared" si="1"/>
        <v>81</v>
      </c>
      <c r="S18" s="59">
        <f t="shared" ref="S18:S24" si="4">IF(E18="untrim",M18-0.5,P18-0.5)</f>
        <v>30.5</v>
      </c>
      <c r="T18" s="93">
        <f t="shared" si="0"/>
        <v>1852.875</v>
      </c>
      <c r="U18" s="94">
        <v>0.21179999999999999</v>
      </c>
      <c r="V18" s="95">
        <f t="shared" si="2"/>
        <v>392.43892499999998</v>
      </c>
      <c r="W18" s="102" t="str">
        <f>IF(COUNTIF($C$15:C18,C18)=1,C18 &amp; " - " &amp; TEXT(SUMIF($C:$C,C18,$T:$T),"0.00"),"")</f>
        <v/>
      </c>
      <c r="X18" s="103" t="str">
        <f>IF(COUNTIF($C$15:C18,C18)=1,ROUND(SUMIF($C:$C,C18,$V:$V),2), "")</f>
        <v/>
      </c>
    </row>
    <row r="19" spans="1:24" s="17" customFormat="1" ht="36" customHeight="1" x14ac:dyDescent="0.2">
      <c r="A19" s="57">
        <f t="shared" si="3"/>
        <v>5</v>
      </c>
      <c r="B19" s="57" t="str" cm="1">
        <f t="array" ref="B19">_xlfn.LET(_xlpm.r,_xlfn.XLOOKUP(1,
(TRIM(CODE_PRICE!$A$4:$A$2003)=TRIM($C$4))*
(TRIM(CODE_PRICE!$B$4:$B$2003)=TRIM(C19)),
CODE_PRICE!$C$4:$C$2003,
""),
IF(OR(_xlpm.r="",_xlpm.r=0),"",_xlpm.r))</f>
        <v/>
      </c>
      <c r="C19" s="57" t="s">
        <v>89</v>
      </c>
      <c r="D19" s="58" t="str">
        <f>_xlfn.XLOOKUP(B19,CODE_PRICE!C:C,CODE_PRICE!D:D,"")</f>
        <v/>
      </c>
      <c r="E19" s="58" t="s">
        <v>11</v>
      </c>
      <c r="F19" s="59" t="s">
        <v>213</v>
      </c>
      <c r="G19" s="60" t="str">
        <f>IF(COUNTIFS($C$15:C19,C19,$H$15:H19,H19)=1,
SUMIFS($I$15:$I$49,$C$15:$C$49,C19,$H$15:$H$49,H19)&amp;H19&amp;" "&amp;C19,
"")</f>
        <v/>
      </c>
      <c r="H19" s="58" t="s">
        <v>22</v>
      </c>
      <c r="I19" s="61">
        <v>1</v>
      </c>
      <c r="J19" s="158"/>
      <c r="K19" s="158" cm="1">
        <f t="array" ref="K19">IF(E19="untrim",_xlfn.XLOOKUP(1,(TRIM('SIZE GUIDE'!$A$3:$A$2015)=TRIM(E19))*(TRIM('SIZE GUIDE'!$B$3:$B$2015)=TRIM(F19))*(TRIM('SIZE GUIDE'!$C$3:$C$2015)=TRIM(H19)),'SIZE GUIDE'!$D$3:$D$2015),"")</f>
        <v>108</v>
      </c>
      <c r="L19" s="168" cm="1">
        <f t="array" ref="L19">IF(E19="untrim",IFERROR(INDEX('SIZE GUIDE'!$E:$E,MATCH(1,('SIZE GUIDE'!$A:$A=$E19)*('SIZE GUIDE'!$B:$B=$F19)*('SIZE GUIDE'!$C:$C=$H19),0)),""),"")</f>
        <v>81</v>
      </c>
      <c r="M19" s="158">
        <v>34</v>
      </c>
      <c r="N19" s="65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65" t="str" cm="1">
        <f t="array" ref="O19">IF(E19="trim",IFERROR(INDEX('SIZE GUIDE'!$E:$E,MATCH(1,('SIZE GUIDE'!$A:$A=$E19)*('SIZE GUIDE'!$B:$B=$F19)*('SIZE GUIDE'!$C:$C=$H19),0)),""),"")</f>
        <v/>
      </c>
      <c r="P19" s="65"/>
      <c r="Q19" s="59">
        <f t="shared" si="1"/>
        <v>108</v>
      </c>
      <c r="R19" s="130">
        <f t="shared" si="1"/>
        <v>81</v>
      </c>
      <c r="S19" s="59">
        <f t="shared" si="4"/>
        <v>33.5</v>
      </c>
      <c r="T19" s="93">
        <f t="shared" si="0"/>
        <v>2035.125</v>
      </c>
      <c r="U19" s="94">
        <v>0.21179999999999999</v>
      </c>
      <c r="V19" s="95">
        <f t="shared" si="2"/>
        <v>431.03947499999998</v>
      </c>
      <c r="W19" s="102" t="str">
        <f>IF(COUNTIF($C$15:C19,C19)=1,C19 &amp; " - " &amp; TEXT(SUMIF($C:$C,C19,$T:$T),"0.00"),"")</f>
        <v/>
      </c>
      <c r="X19" s="103" t="str">
        <f>IF(COUNTIF($C$15:C19,C19)=1,ROUND(SUMIF($C:$C,C19,$V:$V),2), "")</f>
        <v/>
      </c>
    </row>
    <row r="20" spans="1:24" s="17" customFormat="1" ht="36" customHeight="1" x14ac:dyDescent="0.2">
      <c r="A20" s="57">
        <f t="shared" si="3"/>
        <v>6</v>
      </c>
      <c r="B20" s="57" t="str" cm="1">
        <f t="array" ref="B20">_xlfn.LET(_xlpm.r,_xlfn.XLOOKUP(1,
(TRIM(CODE_PRICE!$A$4:$A$2003)=TRIM($C$4))*
(TRIM(CODE_PRICE!$B$4:$B$2003)=TRIM(C20)),
CODE_PRICE!$C$4:$C$2003,
""),
IF(OR(_xlpm.r="",_xlpm.r=0),"",_xlpm.r))</f>
        <v/>
      </c>
      <c r="C20" s="57" t="s">
        <v>89</v>
      </c>
      <c r="D20" s="58" t="str">
        <f>_xlfn.XLOOKUP(B20,CODE_PRICE!C:C,CODE_PRICE!D:D,"")</f>
        <v/>
      </c>
      <c r="E20" s="58" t="s">
        <v>11</v>
      </c>
      <c r="F20" s="59" t="s">
        <v>213</v>
      </c>
      <c r="G20" s="60" t="str">
        <f>IF(COUNTIFS($C$15:C20,C20,$H$15:H20,H20)=1,
SUMIFS($I$15:$I$49,$C$15:$C$49,C20,$H$15:$H$49,H20)&amp;H20&amp;" "&amp;C20,
"")</f>
        <v/>
      </c>
      <c r="H20" s="58" t="s">
        <v>22</v>
      </c>
      <c r="I20" s="61">
        <v>1</v>
      </c>
      <c r="J20" s="158"/>
      <c r="K20" s="158" cm="1">
        <f t="array" ref="K20">IF(E20="untrim",_xlfn.XLOOKUP(1,(TRIM('SIZE GUIDE'!$A$3:$A$2015)=TRIM(E20))*(TRIM('SIZE GUIDE'!$B$3:$B$2015)=TRIM(F20))*(TRIM('SIZE GUIDE'!$C$3:$C$2015)=TRIM(H20)),'SIZE GUIDE'!$D$3:$D$2015),"")</f>
        <v>108</v>
      </c>
      <c r="L20" s="168" cm="1">
        <f t="array" ref="L20">IF(E20="untrim",IFERROR(INDEX('SIZE GUIDE'!$E:$E,MATCH(1,('SIZE GUIDE'!$A:$A=$E20)*('SIZE GUIDE'!$B:$B=$F20)*('SIZE GUIDE'!$C:$C=$H20),0)),""),"")</f>
        <v>81</v>
      </c>
      <c r="M20" s="158">
        <v>32</v>
      </c>
      <c r="N20" s="65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65" t="str" cm="1">
        <f t="array" ref="O20">IF(E20="trim",IFERROR(INDEX('SIZE GUIDE'!$E:$E,MATCH(1,('SIZE GUIDE'!$A:$A=$E20)*('SIZE GUIDE'!$B:$B=$F20)*('SIZE GUIDE'!$C:$C=$H20),0)),""),"")</f>
        <v/>
      </c>
      <c r="P20" s="65"/>
      <c r="Q20" s="59">
        <f t="shared" si="1"/>
        <v>108</v>
      </c>
      <c r="R20" s="130">
        <f t="shared" si="1"/>
        <v>81</v>
      </c>
      <c r="S20" s="59">
        <f t="shared" si="4"/>
        <v>31.5</v>
      </c>
      <c r="T20" s="93">
        <f t="shared" si="0"/>
        <v>1913.625</v>
      </c>
      <c r="U20" s="94">
        <v>0.21179999999999999</v>
      </c>
      <c r="V20" s="95">
        <f t="shared" si="2"/>
        <v>405.30577499999998</v>
      </c>
      <c r="W20" s="102" t="str">
        <f>IF(COUNTIF($C$15:C20,C20)=1,C20 &amp; " - " &amp; TEXT(SUMIF($C:$C,C20,$T:$T),"0.00"),"")</f>
        <v/>
      </c>
      <c r="X20" s="103" t="str">
        <f>IF(COUNTIF($C$15:C20,C20)=1,ROUND(SUMIF($C:$C,C20,$V:$V),2), "")</f>
        <v/>
      </c>
    </row>
    <row r="21" spans="1:24" s="17" customFormat="1" ht="36" customHeight="1" x14ac:dyDescent="0.2">
      <c r="A21" s="57">
        <f t="shared" si="3"/>
        <v>7</v>
      </c>
      <c r="B21" s="57" t="str" cm="1">
        <f t="array" ref="B21">_xlfn.LET(_xlpm.r,_xlfn.XLOOKUP(1,
(TRIM(CODE_PRICE!$A$4:$A$2003)=TRIM($C$4))*
(TRIM(CODE_PRICE!$B$4:$B$2003)=TRIM(C21)),
CODE_PRICE!$C$4:$C$2003,
""),
IF(OR(_xlpm.r="",_xlpm.r=0),"",_xlpm.r))</f>
        <v/>
      </c>
      <c r="C21" s="57" t="s">
        <v>89</v>
      </c>
      <c r="D21" s="58" t="str">
        <f>_xlfn.XLOOKUP(B21,CODE_PRICE!C:C,CODE_PRICE!D:D,"")</f>
        <v/>
      </c>
      <c r="E21" s="58" t="s">
        <v>11</v>
      </c>
      <c r="F21" s="59" t="s">
        <v>213</v>
      </c>
      <c r="G21" s="60" t="str">
        <f>IF(COUNTIFS($C$15:C21,C21,$H$15:H21,H21)=1,
SUMIFS($I$15:$I$49,$C$15:$C$49,C21,$H$15:$H$49,H21)&amp;H21&amp;" "&amp;C21,
"")</f>
        <v/>
      </c>
      <c r="H21" s="58" t="s">
        <v>22</v>
      </c>
      <c r="I21" s="61">
        <v>1</v>
      </c>
      <c r="J21" s="158"/>
      <c r="K21" s="158" cm="1">
        <f t="array" ref="K21">IF(E21="untrim",_xlfn.XLOOKUP(1,(TRIM('SIZE GUIDE'!$A$3:$A$2015)=TRIM(E21))*(TRIM('SIZE GUIDE'!$B$3:$B$2015)=TRIM(F21))*(TRIM('SIZE GUIDE'!$C$3:$C$2015)=TRIM(H21)),'SIZE GUIDE'!$D$3:$D$2015),"")</f>
        <v>108</v>
      </c>
      <c r="L21" s="168" cm="1">
        <f t="array" ref="L21">IF(E21="untrim",IFERROR(INDEX('SIZE GUIDE'!$E:$E,MATCH(1,('SIZE GUIDE'!$A:$A=$E21)*('SIZE GUIDE'!$B:$B=$F21)*('SIZE GUIDE'!$C:$C=$H21),0)),""),"")</f>
        <v>81</v>
      </c>
      <c r="M21" s="158">
        <v>33</v>
      </c>
      <c r="N21" s="65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65" t="str" cm="1">
        <f t="array" ref="O21">IF(E21="trim",IFERROR(INDEX('SIZE GUIDE'!$E:$E,MATCH(1,('SIZE GUIDE'!$A:$A=$E21)*('SIZE GUIDE'!$B:$B=$F21)*('SIZE GUIDE'!$C:$C=$H21),0)),""),"")</f>
        <v/>
      </c>
      <c r="P21" s="65"/>
      <c r="Q21" s="59">
        <f t="shared" si="1"/>
        <v>108</v>
      </c>
      <c r="R21" s="130">
        <f t="shared" si="1"/>
        <v>81</v>
      </c>
      <c r="S21" s="59">
        <f t="shared" si="4"/>
        <v>32.5</v>
      </c>
      <c r="T21" s="93">
        <f t="shared" si="0"/>
        <v>1974.375</v>
      </c>
      <c r="U21" s="94">
        <v>0.21179999999999999</v>
      </c>
      <c r="V21" s="95">
        <f t="shared" si="2"/>
        <v>418.17262499999998</v>
      </c>
      <c r="W21" s="102" t="str">
        <f>IF(COUNTIF($C$15:C21,C21)=1,C21 &amp; " - " &amp; TEXT(SUMIF($C:$C,C21,$T:$T),"0.00"),"")</f>
        <v/>
      </c>
      <c r="X21" s="103" t="str">
        <f>IF(COUNTIF($C$15:C21,C21)=1,ROUND(SUMIF($C:$C,C21,$V:$V),2), "")</f>
        <v/>
      </c>
    </row>
    <row r="22" spans="1:24" s="17" customFormat="1" ht="36" customHeight="1" x14ac:dyDescent="0.2">
      <c r="A22" s="57">
        <f t="shared" si="3"/>
        <v>8</v>
      </c>
      <c r="B22" s="57" t="str" cm="1">
        <f t="array" ref="B22">_xlfn.LET(_xlpm.r,_xlfn.XLOOKUP(1,
(TRIM(CODE_PRICE!$A$4:$A$2003)=TRIM($C$4))*
(TRIM(CODE_PRICE!$B$4:$B$2003)=TRIM(C22)),
CODE_PRICE!$C$4:$C$2003,
""),
IF(OR(_xlpm.r="",_xlpm.r=0),"",_xlpm.r))</f>
        <v/>
      </c>
      <c r="C22" s="57" t="s">
        <v>89</v>
      </c>
      <c r="D22" s="58" t="str">
        <f>_xlfn.XLOOKUP(B22,CODE_PRICE!C:C,CODE_PRICE!D:D,"")</f>
        <v/>
      </c>
      <c r="E22" s="58" t="s">
        <v>11</v>
      </c>
      <c r="F22" s="59" t="s">
        <v>213</v>
      </c>
      <c r="G22" s="60" t="str">
        <f>IF(COUNTIFS($C$15:C22,C22,$H$15:H22,H22)=1,
SUMIFS($I$15:$I$49,$C$15:$C$49,C22,$H$15:$H$49,H22)&amp;H22&amp;" "&amp;C22,
"")</f>
        <v/>
      </c>
      <c r="H22" s="58" t="s">
        <v>22</v>
      </c>
      <c r="I22" s="61">
        <v>1</v>
      </c>
      <c r="J22" s="158"/>
      <c r="K22" s="158" cm="1">
        <f t="array" ref="K22">IF(E22="untrim",_xlfn.XLOOKUP(1,(TRIM('SIZE GUIDE'!$A$3:$A$2015)=TRIM(E22))*(TRIM('SIZE GUIDE'!$B$3:$B$2015)=TRIM(F22))*(TRIM('SIZE GUIDE'!$C$3:$C$2015)=TRIM(H22)),'SIZE GUIDE'!$D$3:$D$2015),"")</f>
        <v>108</v>
      </c>
      <c r="L22" s="168" cm="1">
        <f t="array" ref="L22">IF(E22="untrim",IFERROR(INDEX('SIZE GUIDE'!$E:$E,MATCH(1,('SIZE GUIDE'!$A:$A=$E22)*('SIZE GUIDE'!$B:$B=$F22)*('SIZE GUIDE'!$C:$C=$H22),0)),""),"")</f>
        <v>81</v>
      </c>
      <c r="M22" s="158">
        <v>25</v>
      </c>
      <c r="N22" s="65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65" t="str" cm="1">
        <f t="array" ref="O22">IF(E22="trim",IFERROR(INDEX('SIZE GUIDE'!$E:$E,MATCH(1,('SIZE GUIDE'!$A:$A=$E22)*('SIZE GUIDE'!$B:$B=$F22)*('SIZE GUIDE'!$C:$C=$H22),0)),""),"")</f>
        <v/>
      </c>
      <c r="P22" s="65"/>
      <c r="Q22" s="59">
        <f t="shared" si="1"/>
        <v>108</v>
      </c>
      <c r="R22" s="130">
        <f t="shared" si="1"/>
        <v>81</v>
      </c>
      <c r="S22" s="59">
        <f t="shared" si="4"/>
        <v>24.5</v>
      </c>
      <c r="T22" s="93">
        <f t="shared" si="0"/>
        <v>1488.375</v>
      </c>
      <c r="U22" s="94">
        <v>0.21179999999999999</v>
      </c>
      <c r="V22" s="95">
        <f t="shared" si="2"/>
        <v>315.23782499999999</v>
      </c>
      <c r="W22" s="102" t="str">
        <f>IF(COUNTIF($C$15:C22,C22)=1,C22 &amp; " - " &amp; TEXT(SUMIF($C:$C,C22,$T:$T),"0.00"),"")</f>
        <v/>
      </c>
      <c r="X22" s="103" t="str">
        <f>IF(COUNTIF($C$15:C22,C22)=1,ROUND(SUMIF($C:$C,C22,$V:$V),2), "")</f>
        <v/>
      </c>
    </row>
    <row r="23" spans="1:24" s="17" customFormat="1" ht="36" customHeight="1" x14ac:dyDescent="0.2">
      <c r="A23" s="57">
        <f t="shared" si="3"/>
        <v>9</v>
      </c>
      <c r="B23" s="57" t="str" cm="1">
        <f t="array" ref="B23">_xlfn.LET(_xlpm.r,_xlfn.XLOOKUP(1,
(TRIM(CODE_PRICE!$A$4:$A$2003)=TRIM($C$4))*
(TRIM(CODE_PRICE!$B$4:$B$2003)=TRIM(C23)),
CODE_PRICE!$C$4:$C$2003,
""),
IF(OR(_xlpm.r="",_xlpm.r=0),"",_xlpm.r))</f>
        <v/>
      </c>
      <c r="C23" s="57" t="s">
        <v>89</v>
      </c>
      <c r="D23" s="58" t="str">
        <f>_xlfn.XLOOKUP(B23,CODE_PRICE!C:C,CODE_PRICE!D:D,"")</f>
        <v/>
      </c>
      <c r="E23" s="58" t="s">
        <v>11</v>
      </c>
      <c r="F23" s="59" t="s">
        <v>213</v>
      </c>
      <c r="G23" s="60" t="str">
        <f>IF(COUNTIFS($C$15:C23,C23,$H$15:H23,H23)=1,
SUMIFS($I$15:$I$49,$C$15:$C$49,C23,$H$15:$H$49,H23)&amp;H23&amp;" "&amp;C23,
"")</f>
        <v/>
      </c>
      <c r="H23" s="58" t="s">
        <v>22</v>
      </c>
      <c r="I23" s="61">
        <v>1</v>
      </c>
      <c r="J23" s="158"/>
      <c r="K23" s="158" cm="1">
        <f t="array" ref="K23">IF(E23="untrim",_xlfn.XLOOKUP(1,(TRIM('SIZE GUIDE'!$A$3:$A$2015)=TRIM(E23))*(TRIM('SIZE GUIDE'!$B$3:$B$2015)=TRIM(F23))*(TRIM('SIZE GUIDE'!$C$3:$C$2015)=TRIM(H23)),'SIZE GUIDE'!$D$3:$D$2015),"")</f>
        <v>108</v>
      </c>
      <c r="L23" s="168" cm="1">
        <f t="array" ref="L23">IF(E23="untrim",IFERROR(INDEX('SIZE GUIDE'!$E:$E,MATCH(1,('SIZE GUIDE'!$A:$A=$E23)*('SIZE GUIDE'!$B:$B=$F23)*('SIZE GUIDE'!$C:$C=$H23),0)),""),"")</f>
        <v>81</v>
      </c>
      <c r="M23" s="158">
        <v>39</v>
      </c>
      <c r="N23" s="65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65" t="str" cm="1">
        <f t="array" ref="O23">IF(E23="trim",IFERROR(INDEX('SIZE GUIDE'!$E:$E,MATCH(1,('SIZE GUIDE'!$A:$A=$E23)*('SIZE GUIDE'!$B:$B=$F23)*('SIZE GUIDE'!$C:$C=$H23),0)),""),"")</f>
        <v/>
      </c>
      <c r="P23" s="65"/>
      <c r="Q23" s="59">
        <f t="shared" si="1"/>
        <v>108</v>
      </c>
      <c r="R23" s="130">
        <f t="shared" si="1"/>
        <v>81</v>
      </c>
      <c r="S23" s="59">
        <f t="shared" si="4"/>
        <v>38.5</v>
      </c>
      <c r="T23" s="93">
        <f t="shared" si="0"/>
        <v>2338.875</v>
      </c>
      <c r="U23" s="94">
        <v>0.21179999999999999</v>
      </c>
      <c r="V23" s="95">
        <f t="shared" si="2"/>
        <v>495.37372499999998</v>
      </c>
      <c r="W23" s="102" t="str">
        <f>IF(COUNTIF($C$15:C23,C23)=1,C23 &amp; " - " &amp; TEXT(SUMIF($C:$C,C23,$T:$T),"0.00"),"")</f>
        <v/>
      </c>
      <c r="X23" s="103" t="str">
        <f>IF(COUNTIF($C$15:C23,C23)=1,ROUND(SUMIF($C:$C,C23,$V:$V),2), "")</f>
        <v/>
      </c>
    </row>
    <row r="24" spans="1:24" s="17" customFormat="1" ht="36" customHeight="1" x14ac:dyDescent="0.2">
      <c r="A24" s="57">
        <f t="shared" si="3"/>
        <v>10</v>
      </c>
      <c r="B24" s="57" t="str" cm="1">
        <f t="array" ref="B24">_xlfn.LET(_xlpm.r,_xlfn.XLOOKUP(1,
(TRIM(CODE_PRICE!$A$4:$A$2003)=TRIM($C$4))*
(TRIM(CODE_PRICE!$B$4:$B$2003)=TRIM(C24)),
CODE_PRICE!$C$4:$C$2003,
""),
IF(OR(_xlpm.r="",_xlpm.r=0),"",_xlpm.r))</f>
        <v/>
      </c>
      <c r="C24" s="57" t="s">
        <v>89</v>
      </c>
      <c r="D24" s="58" t="str">
        <f>_xlfn.XLOOKUP(B24,CODE_PRICE!C:C,CODE_PRICE!D:D,"")</f>
        <v/>
      </c>
      <c r="E24" s="58" t="s">
        <v>11</v>
      </c>
      <c r="F24" s="59" t="s">
        <v>213</v>
      </c>
      <c r="G24" s="60" t="str">
        <f>IF(COUNTIFS($C$15:C24,C24,$H$15:H24,H24)=1,
SUMIFS($I$15:$I$49,$C$15:$C$49,C24,$H$15:$H$49,H24)&amp;H24&amp;" "&amp;C24,
"")</f>
        <v/>
      </c>
      <c r="H24" s="58" t="s">
        <v>22</v>
      </c>
      <c r="I24" s="61">
        <v>1</v>
      </c>
      <c r="J24" s="158"/>
      <c r="K24" s="158" cm="1">
        <f t="array" ref="K24">IF(E24="untrim",_xlfn.XLOOKUP(1,(TRIM('SIZE GUIDE'!$A$3:$A$2015)=TRIM(E24))*(TRIM('SIZE GUIDE'!$B$3:$B$2015)=TRIM(F24))*(TRIM('SIZE GUIDE'!$C$3:$C$2015)=TRIM(H24)),'SIZE GUIDE'!$D$3:$D$2015),"")</f>
        <v>108</v>
      </c>
      <c r="L24" s="168" cm="1">
        <f t="array" ref="L24">IF(E24="untrim",IFERROR(INDEX('SIZE GUIDE'!$E:$E,MATCH(1,('SIZE GUIDE'!$A:$A=$E24)*('SIZE GUIDE'!$B:$B=$F24)*('SIZE GUIDE'!$C:$C=$H24),0)),""),"")</f>
        <v>81</v>
      </c>
      <c r="M24" s="158">
        <v>38</v>
      </c>
      <c r="N24" s="65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65" t="str" cm="1">
        <f t="array" ref="O24">IF(E24="trim",IFERROR(INDEX('SIZE GUIDE'!$E:$E,MATCH(1,('SIZE GUIDE'!$A:$A=$E24)*('SIZE GUIDE'!$B:$B=$F24)*('SIZE GUIDE'!$C:$C=$H24),0)),""),"")</f>
        <v/>
      </c>
      <c r="P24" s="65"/>
      <c r="Q24" s="59">
        <f t="shared" si="1"/>
        <v>108</v>
      </c>
      <c r="R24" s="130">
        <f t="shared" si="1"/>
        <v>81</v>
      </c>
      <c r="S24" s="59">
        <f t="shared" si="4"/>
        <v>37.5</v>
      </c>
      <c r="T24" s="93">
        <f t="shared" si="0"/>
        <v>2278.125</v>
      </c>
      <c r="U24" s="94">
        <v>0.21179999999999999</v>
      </c>
      <c r="V24" s="95">
        <f t="shared" si="2"/>
        <v>482.50687499999998</v>
      </c>
      <c r="W24" s="102" t="str">
        <f>IF(COUNTIF($C$15:C24,C24)=1,C24 &amp; " - " &amp; TEXT(SUMIF($C:$C,C24,$T:$T),"0.00"),"")</f>
        <v/>
      </c>
      <c r="X24" s="103" t="str">
        <f>IF(COUNTIF($C$15:C24,C24)=1,ROUND(SUMIF($C:$C,C24,$V:$V),2), "")</f>
        <v/>
      </c>
    </row>
    <row r="25" spans="1:24" s="17" customFormat="1" ht="36" customHeight="1" x14ac:dyDescent="0.2">
      <c r="A25" s="57">
        <f t="shared" si="3"/>
        <v>11</v>
      </c>
      <c r="B25" s="57" t="str" cm="1">
        <f t="array" ref="B25">_xlfn.LET(_xlpm.r,_xlfn.XLOOKUP(1,
(TRIM(CODE_PRICE!$A$4:$A$2003)=TRIM($C$4))*
(TRIM(CODE_PRICE!$B$4:$B$2003)=TRIM(C25)),
CODE_PRICE!$C$4:$C$2003,
""),
IF(OR(_xlpm.r="",_xlpm.r=0),"",_xlpm.r))</f>
        <v/>
      </c>
      <c r="C25" s="57" t="s">
        <v>89</v>
      </c>
      <c r="D25" s="58" t="str">
        <f>_xlfn.XLOOKUP(B25,CODE_PRICE!C:C,CODE_PRICE!D:D,"")</f>
        <v/>
      </c>
      <c r="E25" s="58" t="s">
        <v>11</v>
      </c>
      <c r="F25" s="59" t="s">
        <v>213</v>
      </c>
      <c r="G25" s="60" t="str">
        <f>IF(COUNTIFS($C$15:C25,C25,$H$15:H25,H25)=1,
SUMIFS($I$15:$I$49,$C$15:$C$49,C25,$H$15:$H$49,H25)&amp;H25&amp;" "&amp;C25,
"")</f>
        <v/>
      </c>
      <c r="H25" s="58" t="s">
        <v>22</v>
      </c>
      <c r="I25" s="61">
        <v>1</v>
      </c>
      <c r="J25" s="158"/>
      <c r="K25" s="158" cm="1">
        <f t="array" ref="K25">IF(E25="untrim",_xlfn.XLOOKUP(1,(TRIM('SIZE GUIDE'!$A$3:$A$2015)=TRIM(E25))*(TRIM('SIZE GUIDE'!$B$3:$B$2015)=TRIM(F25))*(TRIM('SIZE GUIDE'!$C$3:$C$2015)=TRIM(H25)),'SIZE GUIDE'!$D$3:$D$2015),"")</f>
        <v>108</v>
      </c>
      <c r="L25" s="168" cm="1">
        <f t="array" ref="L25">IF(E25="untrim",IFERROR(INDEX('SIZE GUIDE'!$E:$E,MATCH(1,('SIZE GUIDE'!$A:$A=$E25)*('SIZE GUIDE'!$B:$B=$F25)*('SIZE GUIDE'!$C:$C=$H25),0)),""),"")</f>
        <v>81</v>
      </c>
      <c r="M25" s="158">
        <v>43</v>
      </c>
      <c r="N25" s="65" t="str" cm="1">
        <f t="array" ref="N25">IF(E25="trim",_xlfn.XLOOKUP(1,(TRIM('SIZE GUIDE'!$A$3:$A$2015)=TRIM(E25))*(TRIM('SIZE GUIDE'!$B$3:$B$2015)=TRIM(F25))*(TRIM('SIZE GUIDE'!$C$3:$C$2015)=TRIM(H25)),'SIZE GUIDE'!$D$3:$D$2015),"")</f>
        <v/>
      </c>
      <c r="O25" s="65" t="str" cm="1">
        <f t="array" ref="O25">IF(E25="trim",IFERROR(INDEX('SIZE GUIDE'!$E:$E,MATCH(1,('SIZE GUIDE'!$A:$A=$E25)*('SIZE GUIDE'!$B:$B=$F25)*('SIZE GUIDE'!$C:$C=$H25),0)),""),"")</f>
        <v/>
      </c>
      <c r="P25" s="65"/>
      <c r="Q25" s="59">
        <f>K25</f>
        <v>108</v>
      </c>
      <c r="R25" s="130">
        <f>L25</f>
        <v>81</v>
      </c>
      <c r="S25" s="59">
        <f>IF(E25="untrim",M25-0.5,P25-0.5)</f>
        <v>42.5</v>
      </c>
      <c r="T25" s="93">
        <f>IFERROR(Q25*R25*S25/144*I25,"")</f>
        <v>2581.875</v>
      </c>
      <c r="U25" s="94">
        <v>0.21179999999999999</v>
      </c>
      <c r="V25" s="95">
        <f>T25*U25</f>
        <v>546.84112499999992</v>
      </c>
      <c r="W25" s="102"/>
      <c r="X25" s="103"/>
    </row>
    <row r="26" spans="1:24" s="17" customFormat="1" ht="36" customHeight="1" x14ac:dyDescent="0.2">
      <c r="A26" s="57">
        <f t="shared" si="3"/>
        <v>12</v>
      </c>
      <c r="B26" s="57" t="str" cm="1">
        <f t="array" ref="B26">_xlfn.LET(_xlpm.r,_xlfn.XLOOKUP(1,
(TRIM(CODE_PRICE!$A$4:$A$2003)=TRIM($C$4))*
(TRIM(CODE_PRICE!$B$4:$B$2003)=TRIM(C26)),
CODE_PRICE!$C$4:$C$2003,
""),
IF(OR(_xlpm.r="",_xlpm.r=0),"",_xlpm.r))</f>
        <v/>
      </c>
      <c r="C26" s="57" t="s">
        <v>89</v>
      </c>
      <c r="D26" s="58" t="str">
        <f>_xlfn.XLOOKUP(B26,CODE_PRICE!C:C,CODE_PRICE!D:D,"")</f>
        <v/>
      </c>
      <c r="E26" s="58" t="s">
        <v>11</v>
      </c>
      <c r="F26" s="59" t="s">
        <v>213</v>
      </c>
      <c r="G26" s="60" t="str">
        <f>IF(COUNTIFS($C$15:C26,C26,$H$15:H26,H26)=1,
SUMIFS($I$15:$I$49,$C$15:$C$49,C26,$H$15:$H$49,H26)&amp;H26&amp;" "&amp;C26,
"")</f>
        <v/>
      </c>
      <c r="H26" s="58" t="s">
        <v>22</v>
      </c>
      <c r="I26" s="61">
        <v>1</v>
      </c>
      <c r="J26" s="158"/>
      <c r="K26" s="158" cm="1">
        <f t="array" ref="K26">IF(E26="untrim",_xlfn.XLOOKUP(1,(TRIM('SIZE GUIDE'!$A$3:$A$2015)=TRIM(E26))*(TRIM('SIZE GUIDE'!$B$3:$B$2015)=TRIM(F26))*(TRIM('SIZE GUIDE'!$C$3:$C$2015)=TRIM(H26)),'SIZE GUIDE'!$D$3:$D$2015),"")</f>
        <v>108</v>
      </c>
      <c r="L26" s="168" cm="1">
        <f t="array" ref="L26">IF(E26="untrim",IFERROR(INDEX('SIZE GUIDE'!$E:$E,MATCH(1,('SIZE GUIDE'!$A:$A=$E26)*('SIZE GUIDE'!$B:$B=$F26)*('SIZE GUIDE'!$C:$C=$H26),0)),""),"")</f>
        <v>81</v>
      </c>
      <c r="M26" s="158">
        <v>37</v>
      </c>
      <c r="N26" s="65" t="str" cm="1">
        <f t="array" ref="N26">IF(E26="trim",_xlfn.XLOOKUP(1,(TRIM('SIZE GUIDE'!$A$3:$A$2015)=TRIM(E26))*(TRIM('SIZE GUIDE'!$B$3:$B$2015)=TRIM(F26))*(TRIM('SIZE GUIDE'!$C$3:$C$2015)=TRIM(H26)),'SIZE GUIDE'!$D$3:$D$2015),"")</f>
        <v/>
      </c>
      <c r="O26" s="65" t="str" cm="1">
        <f t="array" ref="O26">IF(E26="trim",IFERROR(INDEX('SIZE GUIDE'!$E:$E,MATCH(1,('SIZE GUIDE'!$A:$A=$E26)*('SIZE GUIDE'!$B:$B=$F26)*('SIZE GUIDE'!$C:$C=$H26),0)),""),"")</f>
        <v/>
      </c>
      <c r="P26" s="65"/>
      <c r="Q26" s="59">
        <f>K26</f>
        <v>108</v>
      </c>
      <c r="R26" s="130">
        <f>L26</f>
        <v>81</v>
      </c>
      <c r="S26" s="59">
        <f>IF(E26="untrim",M26-0.5,P26-0.5)</f>
        <v>36.5</v>
      </c>
      <c r="T26" s="93">
        <f>IFERROR(Q26*R26*S26/144*I26,"")</f>
        <v>2217.375</v>
      </c>
      <c r="U26" s="94">
        <v>0.21179999999999999</v>
      </c>
      <c r="V26" s="95">
        <f>T26*U26</f>
        <v>469.64002499999998</v>
      </c>
      <c r="W26" s="102"/>
      <c r="X26" s="103"/>
    </row>
    <row r="27" spans="1:24" s="17" customFormat="1" ht="36" hidden="1" customHeight="1" x14ac:dyDescent="0.2">
      <c r="A27" s="57"/>
      <c r="B27" s="57"/>
      <c r="C27" s="57"/>
      <c r="D27" s="58"/>
      <c r="E27" s="58"/>
      <c r="F27" s="59"/>
      <c r="G27" s="60"/>
      <c r="H27" s="58"/>
      <c r="I27" s="61"/>
      <c r="J27" s="63"/>
      <c r="K27" s="63"/>
      <c r="L27" s="64"/>
      <c r="M27" s="63"/>
      <c r="N27" s="65"/>
      <c r="O27" s="65"/>
      <c r="P27" s="65"/>
      <c r="Q27" s="66"/>
      <c r="R27" s="59"/>
      <c r="S27" s="59"/>
      <c r="T27" s="93"/>
      <c r="U27" s="94"/>
      <c r="V27" s="95"/>
      <c r="W27" s="102"/>
      <c r="X27" s="103"/>
    </row>
    <row r="28" spans="1:24" s="17" customFormat="1" ht="36" hidden="1" customHeight="1" x14ac:dyDescent="0.2">
      <c r="A28" s="57"/>
      <c r="B28" s="57"/>
      <c r="C28" s="57"/>
      <c r="D28" s="58"/>
      <c r="E28" s="58"/>
      <c r="F28" s="59"/>
      <c r="G28" s="60"/>
      <c r="H28" s="58"/>
      <c r="I28" s="61"/>
      <c r="J28" s="63"/>
      <c r="K28" s="63"/>
      <c r="L28" s="64"/>
      <c r="M28" s="63"/>
      <c r="N28" s="65"/>
      <c r="O28" s="65"/>
      <c r="P28" s="65"/>
      <c r="Q28" s="66"/>
      <c r="R28" s="59"/>
      <c r="S28" s="59"/>
      <c r="T28" s="93"/>
      <c r="U28" s="94"/>
      <c r="V28" s="95"/>
      <c r="W28" s="102"/>
      <c r="X28" s="103"/>
    </row>
    <row r="29" spans="1:24" s="17" customFormat="1" ht="36" hidden="1" customHeight="1" x14ac:dyDescent="0.2">
      <c r="A29" s="57"/>
      <c r="B29" s="57"/>
      <c r="C29" s="57"/>
      <c r="D29" s="58"/>
      <c r="E29" s="58"/>
      <c r="F29" s="59"/>
      <c r="G29" s="60"/>
      <c r="H29" s="58"/>
      <c r="I29" s="61"/>
      <c r="J29" s="63"/>
      <c r="K29" s="63"/>
      <c r="L29" s="64"/>
      <c r="M29" s="63"/>
      <c r="N29" s="65"/>
      <c r="O29" s="65"/>
      <c r="P29" s="65"/>
      <c r="Q29" s="66"/>
      <c r="R29" s="59"/>
      <c r="S29" s="59"/>
      <c r="T29" s="93"/>
      <c r="U29" s="99"/>
      <c r="V29" s="95"/>
      <c r="W29" s="102"/>
      <c r="X29" s="103"/>
    </row>
    <row r="30" spans="1:24" s="17" customFormat="1" ht="36" hidden="1" customHeight="1" x14ac:dyDescent="0.2">
      <c r="A30" s="57"/>
      <c r="B30" s="57"/>
      <c r="C30" s="57"/>
      <c r="D30" s="58"/>
      <c r="E30" s="58"/>
      <c r="F30" s="59"/>
      <c r="G30" s="60"/>
      <c r="H30" s="58"/>
      <c r="I30" s="61"/>
      <c r="J30" s="63"/>
      <c r="K30" s="63"/>
      <c r="L30" s="64"/>
      <c r="M30" s="63"/>
      <c r="N30" s="65"/>
      <c r="O30" s="65"/>
      <c r="P30" s="65"/>
      <c r="Q30" s="66"/>
      <c r="R30" s="59"/>
      <c r="S30" s="59"/>
      <c r="T30" s="93"/>
      <c r="U30" s="99"/>
      <c r="V30" s="95"/>
      <c r="W30" s="102"/>
      <c r="X30" s="103"/>
    </row>
    <row r="31" spans="1:24" s="17" customFormat="1" ht="36" hidden="1" customHeight="1" x14ac:dyDescent="0.2">
      <c r="A31" s="57"/>
      <c r="B31" s="57"/>
      <c r="C31" s="57"/>
      <c r="D31" s="58"/>
      <c r="E31" s="58"/>
      <c r="F31" s="59"/>
      <c r="G31" s="60"/>
      <c r="H31" s="58"/>
      <c r="I31" s="61"/>
      <c r="J31" s="63"/>
      <c r="K31" s="63"/>
      <c r="L31" s="64"/>
      <c r="M31" s="63"/>
      <c r="N31" s="65"/>
      <c r="O31" s="65"/>
      <c r="P31" s="65"/>
      <c r="Q31" s="66"/>
      <c r="R31" s="59"/>
      <c r="S31" s="59"/>
      <c r="T31" s="93"/>
      <c r="U31" s="99"/>
      <c r="V31" s="95"/>
      <c r="W31" s="102"/>
      <c r="X31" s="103"/>
    </row>
    <row r="32" spans="1:24" s="17" customFormat="1" ht="36" hidden="1" customHeight="1" x14ac:dyDescent="0.2">
      <c r="A32" s="57"/>
      <c r="B32" s="57"/>
      <c r="C32" s="57"/>
      <c r="D32" s="58"/>
      <c r="E32" s="58"/>
      <c r="F32" s="59"/>
      <c r="G32" s="60"/>
      <c r="H32" s="58"/>
      <c r="I32" s="61"/>
      <c r="J32" s="63"/>
      <c r="K32" s="63"/>
      <c r="L32" s="64"/>
      <c r="M32" s="63"/>
      <c r="N32" s="65"/>
      <c r="O32" s="65"/>
      <c r="P32" s="65"/>
      <c r="Q32" s="66"/>
      <c r="R32" s="59"/>
      <c r="S32" s="59"/>
      <c r="T32" s="93"/>
      <c r="U32" s="99"/>
      <c r="V32" s="95"/>
      <c r="W32" s="102"/>
      <c r="X32" s="103"/>
    </row>
    <row r="33" spans="1:24" s="17" customFormat="1" ht="36" hidden="1" customHeight="1" x14ac:dyDescent="0.2">
      <c r="A33" s="57"/>
      <c r="B33" s="57"/>
      <c r="C33" s="57"/>
      <c r="D33" s="58"/>
      <c r="E33" s="58"/>
      <c r="F33" s="59"/>
      <c r="G33" s="60"/>
      <c r="H33" s="58"/>
      <c r="I33" s="61"/>
      <c r="J33" s="63"/>
      <c r="K33" s="63"/>
      <c r="L33" s="64"/>
      <c r="M33" s="63"/>
      <c r="N33" s="65"/>
      <c r="O33" s="65"/>
      <c r="P33" s="65"/>
      <c r="Q33" s="66"/>
      <c r="R33" s="59"/>
      <c r="S33" s="59"/>
      <c r="T33" s="93"/>
      <c r="U33" s="99"/>
      <c r="V33" s="95"/>
      <c r="W33" s="102"/>
      <c r="X33" s="103" t="str">
        <f>IF(COUNTIF($C$15:C33,C33)=1,ROUND(SUMIF($C:$C,C33,$V:$V),2), "")</f>
        <v/>
      </c>
    </row>
    <row r="34" spans="1:24" s="17" customFormat="1" ht="36" hidden="1" customHeight="1" x14ac:dyDescent="0.2">
      <c r="A34" s="57"/>
      <c r="B34" s="57"/>
      <c r="C34" s="57"/>
      <c r="D34" s="58"/>
      <c r="E34" s="58"/>
      <c r="F34" s="59"/>
      <c r="G34" s="60"/>
      <c r="H34" s="58"/>
      <c r="I34" s="61"/>
      <c r="J34" s="63"/>
      <c r="K34" s="63"/>
      <c r="L34" s="64"/>
      <c r="M34" s="63"/>
      <c r="N34" s="65"/>
      <c r="O34" s="65"/>
      <c r="P34" s="65"/>
      <c r="Q34" s="66"/>
      <c r="R34" s="59"/>
      <c r="S34" s="59"/>
      <c r="T34" s="93"/>
      <c r="U34" s="99"/>
      <c r="V34" s="95"/>
      <c r="W34" s="102"/>
      <c r="X34" s="103" t="str">
        <f>IF(COUNTIF($C$15:C34,C34)=1,ROUND(SUMIF($C:$C,C34,$V:$V),2), "")</f>
        <v/>
      </c>
    </row>
    <row r="35" spans="1:24" s="17" customFormat="1" ht="36" hidden="1" customHeight="1" x14ac:dyDescent="0.2">
      <c r="A35" s="57"/>
      <c r="B35" s="57"/>
      <c r="C35" s="57"/>
      <c r="D35" s="58"/>
      <c r="E35" s="58"/>
      <c r="F35" s="59"/>
      <c r="G35" s="60"/>
      <c r="H35" s="58"/>
      <c r="I35" s="61"/>
      <c r="J35" s="63"/>
      <c r="K35" s="63"/>
      <c r="L35" s="64"/>
      <c r="M35" s="63"/>
      <c r="N35" s="65"/>
      <c r="O35" s="65"/>
      <c r="P35" s="65"/>
      <c r="Q35" s="66"/>
      <c r="R35" s="59"/>
      <c r="S35" s="59"/>
      <c r="T35" s="93"/>
      <c r="U35" s="99"/>
      <c r="V35" s="95"/>
      <c r="W35" s="102"/>
      <c r="X35" s="103" t="str">
        <f>IF(COUNTIF($C$15:C35,C35)=1,ROUND(SUMIF($C:$C,C35,$V:$V),2), "")</f>
        <v/>
      </c>
    </row>
    <row r="36" spans="1:24" s="17" customFormat="1" ht="36" hidden="1" customHeight="1" x14ac:dyDescent="0.2">
      <c r="A36" s="57"/>
      <c r="B36" s="57"/>
      <c r="C36" s="57"/>
      <c r="D36" s="58"/>
      <c r="E36" s="58"/>
      <c r="F36" s="59"/>
      <c r="G36" s="60"/>
      <c r="H36" s="58"/>
      <c r="I36" s="61"/>
      <c r="J36" s="63"/>
      <c r="K36" s="63"/>
      <c r="L36" s="64"/>
      <c r="M36" s="63"/>
      <c r="N36" s="65"/>
      <c r="O36" s="65"/>
      <c r="P36" s="65"/>
      <c r="Q36" s="66"/>
      <c r="R36" s="59"/>
      <c r="S36" s="59"/>
      <c r="T36" s="93"/>
      <c r="U36" s="99"/>
      <c r="V36" s="95"/>
      <c r="W36" s="102"/>
      <c r="X36" s="103" t="str">
        <f>IF(COUNTIF($C$15:C36,C36)=1,ROUND(SUMIF($C:$C,C36,$V:$V),2), "")</f>
        <v/>
      </c>
    </row>
    <row r="37" spans="1:24" s="17" customFormat="1" ht="41.25" hidden="1" customHeight="1" x14ac:dyDescent="0.2">
      <c r="A37" s="57"/>
      <c r="B37" s="57"/>
      <c r="C37" s="57"/>
      <c r="D37" s="58"/>
      <c r="E37" s="58"/>
      <c r="F37" s="59"/>
      <c r="G37" s="60"/>
      <c r="H37" s="58"/>
      <c r="I37" s="61"/>
      <c r="J37" s="63"/>
      <c r="K37" s="63"/>
      <c r="L37" s="64"/>
      <c r="M37" s="63"/>
      <c r="N37" s="65"/>
      <c r="O37" s="65"/>
      <c r="P37" s="65"/>
      <c r="Q37" s="66"/>
      <c r="R37" s="59"/>
      <c r="S37" s="59"/>
      <c r="T37" s="93"/>
      <c r="U37" s="94"/>
      <c r="V37" s="95"/>
      <c r="W37" s="18"/>
      <c r="X37" s="24" t="str">
        <f>IF(COUNTIF($C$15:C37,C37)=1,ROUND(SUMIF($C:$C,C37,$V:$V),2), "")</f>
        <v/>
      </c>
    </row>
    <row r="38" spans="1:24" s="17" customFormat="1" ht="41.25" hidden="1" customHeight="1" x14ac:dyDescent="0.2">
      <c r="A38" s="57"/>
      <c r="B38" s="57"/>
      <c r="C38" s="57"/>
      <c r="D38" s="58"/>
      <c r="E38" s="58"/>
      <c r="F38" s="59"/>
      <c r="G38" s="60"/>
      <c r="H38" s="58"/>
      <c r="I38" s="61"/>
      <c r="J38" s="63"/>
      <c r="K38" s="63"/>
      <c r="L38" s="64"/>
      <c r="M38" s="63"/>
      <c r="N38" s="65"/>
      <c r="O38" s="65"/>
      <c r="P38" s="65"/>
      <c r="Q38" s="66"/>
      <c r="R38" s="59"/>
      <c r="S38" s="59"/>
      <c r="T38" s="93"/>
      <c r="U38" s="94"/>
      <c r="V38" s="95"/>
      <c r="W38" s="18"/>
      <c r="X38" s="24" t="str">
        <f>IF(COUNTIF($C$15:C38,C38)=1,ROUND(SUMIF($C:$C,C38,$V:$V),2), "")</f>
        <v/>
      </c>
    </row>
    <row r="39" spans="1:24" s="17" customFormat="1" ht="41.25" hidden="1" customHeight="1" x14ac:dyDescent="0.2">
      <c r="A39" s="57"/>
      <c r="B39" s="57"/>
      <c r="C39" s="57"/>
      <c r="D39" s="58"/>
      <c r="E39" s="58"/>
      <c r="F39" s="59"/>
      <c r="G39" s="60"/>
      <c r="H39" s="58"/>
      <c r="I39" s="61"/>
      <c r="J39" s="63"/>
      <c r="K39" s="63"/>
      <c r="L39" s="64"/>
      <c r="M39" s="63"/>
      <c r="N39" s="65"/>
      <c r="O39" s="65"/>
      <c r="P39" s="65"/>
      <c r="Q39" s="66"/>
      <c r="R39" s="59"/>
      <c r="S39" s="59"/>
      <c r="T39" s="93"/>
      <c r="U39" s="94"/>
      <c r="V39" s="95"/>
      <c r="W39" s="18"/>
      <c r="X39" s="24" t="str">
        <f>IF(COUNTIF($C$15:C39,C39)=1,ROUND(SUMIF($C:$C,C39,$V:$V),2), "")</f>
        <v/>
      </c>
    </row>
    <row r="40" spans="1:24" s="17" customFormat="1" ht="41.25" hidden="1" customHeight="1" x14ac:dyDescent="0.2">
      <c r="A40" s="57"/>
      <c r="B40" s="57"/>
      <c r="C40" s="57"/>
      <c r="D40" s="58"/>
      <c r="E40" s="58"/>
      <c r="F40" s="59"/>
      <c r="G40" s="60"/>
      <c r="H40" s="58"/>
      <c r="I40" s="61"/>
      <c r="J40" s="63"/>
      <c r="K40" s="63"/>
      <c r="L40" s="64"/>
      <c r="M40" s="63"/>
      <c r="N40" s="65"/>
      <c r="O40" s="65"/>
      <c r="P40" s="65"/>
      <c r="Q40" s="66"/>
      <c r="R40" s="59"/>
      <c r="S40" s="59"/>
      <c r="T40" s="93"/>
      <c r="U40" s="94"/>
      <c r="V40" s="95"/>
      <c r="W40" s="18"/>
      <c r="X40" s="24" t="str">
        <f>IF(COUNTIF($C$15:C40,C40)=1,ROUND(SUMIF($C:$C,C40,$V:$V),2), "")</f>
        <v/>
      </c>
    </row>
    <row r="41" spans="1:24" s="17" customFormat="1" ht="41.25" hidden="1" customHeight="1" x14ac:dyDescent="0.2">
      <c r="A41" s="57"/>
      <c r="B41" s="57"/>
      <c r="C41" s="57"/>
      <c r="D41" s="58"/>
      <c r="E41" s="58"/>
      <c r="F41" s="59"/>
      <c r="G41" s="60"/>
      <c r="H41" s="58"/>
      <c r="I41" s="61"/>
      <c r="J41" s="63"/>
      <c r="K41" s="63"/>
      <c r="L41" s="64"/>
      <c r="M41" s="63"/>
      <c r="N41" s="65" t="str" cm="1">
        <f t="array" ref="N41">IF(E41="trim",_xlfn.XLOOKUP(1,(TRIM('SIZE GUIDE'!$A$3:$A$2015)=TRIM(E41))*(TRIM('SIZE GUIDE'!$B$3:$B$2015)=TRIM(F41))*(TRIM('SIZE GUIDE'!$C$3:$C$2015)=TRIM(H41)),'SIZE GUIDE'!$D$3:$D$2015),"")</f>
        <v/>
      </c>
      <c r="O41" s="65" t="str" cm="1">
        <f t="array" ref="O41">IF(E41="trim",IFERROR(INDEX('SIZE GUIDE'!$E:$E,MATCH(1,('SIZE GUIDE'!$A:$A=$E41)*('SIZE GUIDE'!$B:$B=$F41)*('SIZE GUIDE'!$C:$C=$H41),0)),""),"")</f>
        <v/>
      </c>
      <c r="P41" s="65"/>
      <c r="Q41" s="66" t="str">
        <f>IF(E41="untrim",K41-1,N41)</f>
        <v/>
      </c>
      <c r="R41" s="59" t="str">
        <f>IF(E41="untrim",L41-1,O41)</f>
        <v/>
      </c>
      <c r="S41" s="59"/>
      <c r="T41" s="93" t="str">
        <f t="shared" ref="T41:T49" si="5">IFERROR(Q41*R41*S41/144*I41,"")</f>
        <v/>
      </c>
      <c r="U41" s="94"/>
      <c r="V41" s="95"/>
      <c r="W41" s="18"/>
      <c r="X41" s="24" t="str">
        <f>IF(COUNTIF($C$15:C41,C41)=1,ROUND(SUMIF($C:$C,C41,$V:$V),2), "")</f>
        <v/>
      </c>
    </row>
    <row r="42" spans="1:24" s="17" customFormat="1" ht="41.25" hidden="1" customHeight="1" x14ac:dyDescent="0.2">
      <c r="A42" s="57"/>
      <c r="B42" s="57"/>
      <c r="C42" s="57"/>
      <c r="D42" s="58"/>
      <c r="E42" s="58"/>
      <c r="F42" s="59"/>
      <c r="G42" s="60"/>
      <c r="H42" s="58"/>
      <c r="I42" s="61"/>
      <c r="J42" s="63"/>
      <c r="K42" s="63" t="str" cm="1">
        <f t="array" ref="K42">IF(E42="untrim",_xlfn.XLOOKUP(1,(TRIM('SIZE GUIDE'!$A$3:$A$2015)=TRIM(E42))*(TRIM('SIZE GUIDE'!$B$3:$B$2015)=TRIM(F42))*(TRIM('SIZE GUIDE'!$C$3:$C$2015)=TRIM(H42)),'SIZE GUIDE'!$D$3:$D$2015),"")</f>
        <v/>
      </c>
      <c r="L42" s="64"/>
      <c r="M42" s="63"/>
      <c r="N42" s="65" t="str" cm="1">
        <f t="array" ref="N42">IF(E42="trim",_xlfn.XLOOKUP(1,(TRIM('SIZE GUIDE'!$A$3:$A$2015)=TRIM(E42))*(TRIM('SIZE GUIDE'!$B$3:$B$2015)=TRIM(F42))*(TRIM('SIZE GUIDE'!$C$3:$C$2015)=TRIM(H42)),'SIZE GUIDE'!$D$3:$D$2015),"")</f>
        <v/>
      </c>
      <c r="O42" s="65" t="str" cm="1">
        <f t="array" ref="O42">IF(E42="trim",IFERROR(INDEX('SIZE GUIDE'!$E:$E,MATCH(1,('SIZE GUIDE'!$A:$A=$E42)*('SIZE GUIDE'!$B:$B=$F42)*('SIZE GUIDE'!$C:$C=$H42),0)),""),"")</f>
        <v/>
      </c>
      <c r="P42" s="65"/>
      <c r="Q42" s="66" t="str">
        <f t="shared" ref="Q42:Q49" si="6">IF(E42="untrim",K42-1.5,N42)</f>
        <v/>
      </c>
      <c r="R42" s="59"/>
      <c r="S42" s="59"/>
      <c r="T42" s="93" t="str">
        <f t="shared" si="5"/>
        <v/>
      </c>
      <c r="U42" s="94"/>
      <c r="V42" s="95"/>
      <c r="W42" s="18"/>
      <c r="X42" s="24" t="str">
        <f>IF(COUNTIF($C$15:C42,C42)=1,ROUND(SUMIF($C:$C,C42,$V:$V),2), "")</f>
        <v/>
      </c>
    </row>
    <row r="43" spans="1:24" s="17" customFormat="1" ht="41.25" hidden="1" customHeight="1" x14ac:dyDescent="0.2">
      <c r="A43" s="57"/>
      <c r="B43" s="57"/>
      <c r="C43" s="57"/>
      <c r="D43" s="58"/>
      <c r="E43" s="58"/>
      <c r="F43" s="59"/>
      <c r="G43" s="60"/>
      <c r="H43" s="58"/>
      <c r="I43" s="61"/>
      <c r="J43" s="63"/>
      <c r="K43" s="63" t="str" cm="1">
        <f t="array" ref="K43">IF(E43="untrim",_xlfn.XLOOKUP(1,(TRIM('SIZE GUIDE'!$A$3:$A$2015)=TRIM(E43))*(TRIM('SIZE GUIDE'!$B$3:$B$2015)=TRIM(F43))*(TRIM('SIZE GUIDE'!$C$3:$C$2015)=TRIM(H43)),'SIZE GUIDE'!$D$3:$D$2015),"")</f>
        <v/>
      </c>
      <c r="L43" s="64"/>
      <c r="M43" s="63"/>
      <c r="N43" s="65" t="str" cm="1">
        <f t="array" ref="N43">IF(E43="trim",_xlfn.XLOOKUP(1,(TRIM('SIZE GUIDE'!$A$3:$A$2015)=TRIM(E43))*(TRIM('SIZE GUIDE'!$B$3:$B$2015)=TRIM(F43))*(TRIM('SIZE GUIDE'!$C$3:$C$2015)=TRIM(H43)),'SIZE GUIDE'!$D$3:$D$2015),"")</f>
        <v/>
      </c>
      <c r="O43" s="65" t="str" cm="1">
        <f t="array" ref="O43">IF(E43="trim",IFERROR(INDEX('SIZE GUIDE'!$E:$E,MATCH(1,('SIZE GUIDE'!$A:$A=$E43)*('SIZE GUIDE'!$B:$B=$F43)*('SIZE GUIDE'!$C:$C=$H43),0)),""),"")</f>
        <v/>
      </c>
      <c r="P43" s="65"/>
      <c r="Q43" s="66" t="str">
        <f t="shared" si="6"/>
        <v/>
      </c>
      <c r="R43" s="59"/>
      <c r="S43" s="59"/>
      <c r="T43" s="93" t="str">
        <f t="shared" si="5"/>
        <v/>
      </c>
      <c r="U43" s="94"/>
      <c r="V43" s="95"/>
      <c r="W43" s="18"/>
      <c r="X43" s="24" t="str">
        <f>IF(COUNTIF($C$15:C43,C43)=1,ROUND(SUMIF($C:$C,C43,$V:$V),2), "")</f>
        <v/>
      </c>
    </row>
    <row r="44" spans="1:24" s="17" customFormat="1" ht="41.25" hidden="1" customHeight="1" x14ac:dyDescent="0.2">
      <c r="A44" s="57"/>
      <c r="B44" s="57"/>
      <c r="C44" s="57"/>
      <c r="D44" s="58"/>
      <c r="E44" s="58"/>
      <c r="F44" s="59"/>
      <c r="G44" s="60"/>
      <c r="H44" s="58"/>
      <c r="I44" s="61"/>
      <c r="J44" s="63"/>
      <c r="K44" s="63" t="str" cm="1">
        <f t="array" ref="K44">IF(E44="untrim",_xlfn.XLOOKUP(1,(TRIM('SIZE GUIDE'!$A$3:$A$2015)=TRIM(E44))*(TRIM('SIZE GUIDE'!$B$3:$B$2015)=TRIM(F44))*(TRIM('SIZE GUIDE'!$C$3:$C$2015)=TRIM(H44)),'SIZE GUIDE'!$D$3:$D$2015),"")</f>
        <v/>
      </c>
      <c r="L44" s="64"/>
      <c r="M44" s="63"/>
      <c r="N44" s="65" t="str" cm="1">
        <f t="array" ref="N44">IF(E44="trim",_xlfn.XLOOKUP(1,(TRIM('SIZE GUIDE'!$A$3:$A$2015)=TRIM(E44))*(TRIM('SIZE GUIDE'!$B$3:$B$2015)=TRIM(F44))*(TRIM('SIZE GUIDE'!$C$3:$C$2015)=TRIM(H44)),'SIZE GUIDE'!$D$3:$D$2015),"")</f>
        <v/>
      </c>
      <c r="O44" s="65" t="str" cm="1">
        <f t="array" ref="O44">IF(E44="trim",IFERROR(INDEX('SIZE GUIDE'!$E:$E,MATCH(1,('SIZE GUIDE'!$A:$A=$E44)*('SIZE GUIDE'!$B:$B=$F44)*('SIZE GUIDE'!$C:$C=$H44),0)),""),"")</f>
        <v/>
      </c>
      <c r="P44" s="65"/>
      <c r="Q44" s="66" t="str">
        <f t="shared" si="6"/>
        <v/>
      </c>
      <c r="R44" s="59"/>
      <c r="S44" s="59"/>
      <c r="T44" s="93" t="str">
        <f t="shared" si="5"/>
        <v/>
      </c>
      <c r="U44" s="94"/>
      <c r="V44" s="95"/>
      <c r="W44" s="18"/>
      <c r="X44" s="24" t="str">
        <f>IF(COUNTIF($C$15:C44,C44)=1,ROUND(SUMIF($C:$C,C44,$V:$V),2), "")</f>
        <v/>
      </c>
    </row>
    <row r="45" spans="1:24" s="17" customFormat="1" ht="41.25" hidden="1" customHeight="1" x14ac:dyDescent="0.2">
      <c r="A45" s="57"/>
      <c r="B45" s="57"/>
      <c r="C45" s="57"/>
      <c r="D45" s="58"/>
      <c r="E45" s="58"/>
      <c r="F45" s="59"/>
      <c r="G45" s="60"/>
      <c r="H45" s="58"/>
      <c r="I45" s="61"/>
      <c r="J45" s="63"/>
      <c r="K45" s="63" t="str" cm="1">
        <f t="array" ref="K45">IF(E45="untrim",_xlfn.XLOOKUP(1,(TRIM('SIZE GUIDE'!$A$3:$A$2015)=TRIM(E45))*(TRIM('SIZE GUIDE'!$B$3:$B$2015)=TRIM(F45))*(TRIM('SIZE GUIDE'!$C$3:$C$2015)=TRIM(H45)),'SIZE GUIDE'!$D$3:$D$2015),"")</f>
        <v/>
      </c>
      <c r="L45" s="64"/>
      <c r="M45" s="63"/>
      <c r="N45" s="65" t="str" cm="1">
        <f t="array" ref="N45">IF(E45="trim",_xlfn.XLOOKUP(1,(TRIM('SIZE GUIDE'!$A$3:$A$2015)=TRIM(E45))*(TRIM('SIZE GUIDE'!$B$3:$B$2015)=TRIM(F45))*(TRIM('SIZE GUIDE'!$C$3:$C$2015)=TRIM(H45)),'SIZE GUIDE'!$D$3:$D$2015),"")</f>
        <v/>
      </c>
      <c r="O45" s="65" t="str" cm="1">
        <f t="array" ref="O45">IF(E45="trim",IFERROR(INDEX('SIZE GUIDE'!$E:$E,MATCH(1,('SIZE GUIDE'!$A:$A=$E45)*('SIZE GUIDE'!$B:$B=$F45)*('SIZE GUIDE'!$C:$C=$H45),0)),""),"")</f>
        <v/>
      </c>
      <c r="P45" s="65"/>
      <c r="Q45" s="66" t="str">
        <f t="shared" si="6"/>
        <v/>
      </c>
      <c r="R45" s="59"/>
      <c r="S45" s="59"/>
      <c r="T45" s="93" t="str">
        <f t="shared" si="5"/>
        <v/>
      </c>
      <c r="U45" s="94"/>
      <c r="V45" s="95"/>
      <c r="W45" s="18"/>
      <c r="X45" s="24" t="str">
        <f>IF(COUNTIF($C$15:C45,C45)=1,ROUND(SUMIF($C:$C,C45,$V:$V),2), "")</f>
        <v/>
      </c>
    </row>
    <row r="46" spans="1:24" s="17" customFormat="1" ht="41.25" hidden="1" customHeight="1" x14ac:dyDescent="0.2">
      <c r="A46" s="57"/>
      <c r="B46" s="57"/>
      <c r="C46" s="57"/>
      <c r="D46" s="58"/>
      <c r="E46" s="58"/>
      <c r="F46" s="59"/>
      <c r="G46" s="60"/>
      <c r="H46" s="58"/>
      <c r="I46" s="61"/>
      <c r="J46" s="63"/>
      <c r="K46" s="63" t="str" cm="1">
        <f t="array" ref="K46">IF(E46="untrim",_xlfn.XLOOKUP(1,(TRIM('SIZE GUIDE'!$A$3:$A$2015)=TRIM(E46))*(TRIM('SIZE GUIDE'!$B$3:$B$2015)=TRIM(F46))*(TRIM('SIZE GUIDE'!$C$3:$C$2015)=TRIM(H46)),'SIZE GUIDE'!$D$3:$D$2015),"")</f>
        <v/>
      </c>
      <c r="L46" s="64"/>
      <c r="M46" s="63"/>
      <c r="N46" s="65" t="str" cm="1">
        <f t="array" ref="N46">IF(E46="trim",_xlfn.XLOOKUP(1,(TRIM('SIZE GUIDE'!$A$3:$A$2015)=TRIM(E46))*(TRIM('SIZE GUIDE'!$B$3:$B$2015)=TRIM(F46))*(TRIM('SIZE GUIDE'!$C$3:$C$2015)=TRIM(H46)),'SIZE GUIDE'!$D$3:$D$2015),"")</f>
        <v/>
      </c>
      <c r="O46" s="65" t="str" cm="1">
        <f t="array" ref="O46">IF(E46="trim",IFERROR(INDEX('SIZE GUIDE'!$E:$E,MATCH(1,('SIZE GUIDE'!$A:$A=$E46)*('SIZE GUIDE'!$B:$B=$F46)*('SIZE GUIDE'!$C:$C=$H46),0)),""),"")</f>
        <v/>
      </c>
      <c r="P46" s="65"/>
      <c r="Q46" s="66" t="str">
        <f t="shared" si="6"/>
        <v/>
      </c>
      <c r="R46" s="59"/>
      <c r="S46" s="59"/>
      <c r="T46" s="93" t="str">
        <f t="shared" si="5"/>
        <v/>
      </c>
      <c r="U46" s="94"/>
      <c r="V46" s="95"/>
      <c r="W46" s="18"/>
      <c r="X46" s="24" t="str">
        <f>IF(COUNTIF($C$15:C46,C46)=1,ROUND(SUMIF($C:$C,C46,$V:$V),2), "")</f>
        <v/>
      </c>
    </row>
    <row r="47" spans="1:24" s="17" customFormat="1" ht="41.25" hidden="1" customHeight="1" x14ac:dyDescent="0.2">
      <c r="A47" s="57"/>
      <c r="B47" s="57"/>
      <c r="C47" s="57"/>
      <c r="D47" s="58"/>
      <c r="E47" s="58"/>
      <c r="F47" s="59"/>
      <c r="G47" s="60"/>
      <c r="H47" s="58"/>
      <c r="I47" s="61"/>
      <c r="J47" s="63"/>
      <c r="K47" s="63" t="str" cm="1">
        <f t="array" ref="K47">IF(E47="untrim",_xlfn.XLOOKUP(1,(TRIM('SIZE GUIDE'!$A$3:$A$2015)=TRIM(E47))*(TRIM('SIZE GUIDE'!$B$3:$B$2015)=TRIM(F47))*(TRIM('SIZE GUIDE'!$C$3:$C$2015)=TRIM(H47)),'SIZE GUIDE'!$D$3:$D$2015),"")</f>
        <v/>
      </c>
      <c r="L47" s="64"/>
      <c r="M47" s="63"/>
      <c r="N47" s="65" t="str" cm="1">
        <f t="array" ref="N47">IF(E47="trim",_xlfn.XLOOKUP(1,(TRIM('SIZE GUIDE'!$A$3:$A$2015)=TRIM(E47))*(TRIM('SIZE GUIDE'!$B$3:$B$2015)=TRIM(F47))*(TRIM('SIZE GUIDE'!$C$3:$C$2015)=TRIM(H47)),'SIZE GUIDE'!$D$3:$D$2015),"")</f>
        <v/>
      </c>
      <c r="O47" s="65" t="str" cm="1">
        <f t="array" ref="O47">IF(E47="trim",IFERROR(INDEX('SIZE GUIDE'!$E:$E,MATCH(1,('SIZE GUIDE'!$A:$A=$E47)*('SIZE GUIDE'!$B:$B=$F47)*('SIZE GUIDE'!$C:$C=$H47),0)),""),"")</f>
        <v/>
      </c>
      <c r="P47" s="65"/>
      <c r="Q47" s="66" t="str">
        <f t="shared" si="6"/>
        <v/>
      </c>
      <c r="R47" s="59"/>
      <c r="S47" s="59"/>
      <c r="T47" s="93" t="str">
        <f t="shared" si="5"/>
        <v/>
      </c>
      <c r="U47" s="94"/>
      <c r="V47" s="95"/>
      <c r="W47" s="18"/>
      <c r="X47" s="24" t="str">
        <f>IF(COUNTIF($C$15:C47,C47)=1,ROUND(SUMIF($C:$C,C47,$V:$V),2), "")</f>
        <v/>
      </c>
    </row>
    <row r="48" spans="1:24" s="17" customFormat="1" ht="41.25" hidden="1" customHeight="1" x14ac:dyDescent="0.2">
      <c r="A48" s="57"/>
      <c r="B48" s="57"/>
      <c r="C48" s="57"/>
      <c r="D48" s="58"/>
      <c r="E48" s="58"/>
      <c r="F48" s="59"/>
      <c r="G48" s="60"/>
      <c r="H48" s="58"/>
      <c r="I48" s="61"/>
      <c r="J48" s="63"/>
      <c r="K48" s="63" t="str" cm="1">
        <f t="array" ref="K48">IF(E48="untrim",_xlfn.XLOOKUP(1,(TRIM('SIZE GUIDE'!$A$3:$A$2015)=TRIM(E48))*(TRIM('SIZE GUIDE'!$B$3:$B$2015)=TRIM(F48))*(TRIM('SIZE GUIDE'!$C$3:$C$2015)=TRIM(H48)),'SIZE GUIDE'!$D$3:$D$2015),"")</f>
        <v/>
      </c>
      <c r="L48" s="64"/>
      <c r="M48" s="63"/>
      <c r="N48" s="65" t="str" cm="1">
        <f t="array" ref="N48">IF(E48="trim",_xlfn.XLOOKUP(1,(TRIM('SIZE GUIDE'!$A$3:$A$2015)=TRIM(E48))*(TRIM('SIZE GUIDE'!$B$3:$B$2015)=TRIM(F48))*(TRIM('SIZE GUIDE'!$C$3:$C$2015)=TRIM(H48)),'SIZE GUIDE'!$D$3:$D$2015),"")</f>
        <v/>
      </c>
      <c r="O48" s="65" t="str" cm="1">
        <f t="array" ref="O48">IF(E48="trim",IFERROR(INDEX('SIZE GUIDE'!$E:$E,MATCH(1,('SIZE GUIDE'!$A:$A=$E48)*('SIZE GUIDE'!$B:$B=$F48)*('SIZE GUIDE'!$C:$C=$H48),0)),""),"")</f>
        <v/>
      </c>
      <c r="P48" s="65"/>
      <c r="Q48" s="66" t="str">
        <f t="shared" si="6"/>
        <v/>
      </c>
      <c r="R48" s="59"/>
      <c r="S48" s="59"/>
      <c r="T48" s="93" t="str">
        <f t="shared" si="5"/>
        <v/>
      </c>
      <c r="U48" s="94"/>
      <c r="V48" s="95"/>
      <c r="W48" s="18"/>
      <c r="X48" s="24" t="str">
        <f>IF(COUNTIF($C$15:C48,C48)=1,ROUND(SUMIF($C:$C,C48,$V:$V),2), "")</f>
        <v/>
      </c>
    </row>
    <row r="49" spans="1:25" s="17" customFormat="1" ht="41.25" hidden="1" customHeight="1" x14ac:dyDescent="0.2">
      <c r="A49" s="57"/>
      <c r="B49" s="57"/>
      <c r="C49" s="57"/>
      <c r="D49" s="58"/>
      <c r="E49" s="58"/>
      <c r="F49" s="59"/>
      <c r="G49" s="60"/>
      <c r="H49" s="58"/>
      <c r="I49" s="61"/>
      <c r="J49" s="63"/>
      <c r="K49" s="63" t="str" cm="1">
        <f t="array" ref="K49">IF(E49="untrim",_xlfn.XLOOKUP(1,(TRIM('SIZE GUIDE'!$A$3:$A$2015)=TRIM(E49))*(TRIM('SIZE GUIDE'!$B$3:$B$2015)=TRIM(F49))*(TRIM('SIZE GUIDE'!$C$3:$C$2015)=TRIM(H49)),'SIZE GUIDE'!$D$3:$D$2015),"")</f>
        <v/>
      </c>
      <c r="L49" s="64"/>
      <c r="M49" s="63"/>
      <c r="N49" s="65" t="str" cm="1">
        <f t="array" ref="N49">IF(E49="trim",_xlfn.XLOOKUP(1,(TRIM('SIZE GUIDE'!$A$3:$A$2015)=TRIM(E49))*(TRIM('SIZE GUIDE'!$B$3:$B$2015)=TRIM(F49))*(TRIM('SIZE GUIDE'!$C$3:$C$2015)=TRIM(H49)),'SIZE GUIDE'!$D$3:$D$2015),"")</f>
        <v/>
      </c>
      <c r="O49" s="65" t="str" cm="1">
        <f t="array" ref="O49">IF(E49="trim",IFERROR(INDEX('SIZE GUIDE'!$E:$E,MATCH(1,('SIZE GUIDE'!$A:$A=$E49)*('SIZE GUIDE'!$B:$B=$F49)*('SIZE GUIDE'!$C:$C=$H49),0)),""),"")</f>
        <v/>
      </c>
      <c r="P49" s="65"/>
      <c r="Q49" s="66" t="str">
        <f t="shared" si="6"/>
        <v/>
      </c>
      <c r="R49" s="59"/>
      <c r="S49" s="59"/>
      <c r="T49" s="93" t="str">
        <f t="shared" si="5"/>
        <v/>
      </c>
      <c r="U49" s="94"/>
      <c r="V49" s="95"/>
      <c r="W49" s="18"/>
      <c r="X49" s="24" t="str">
        <f>IF(COUNTIF($C$15:C49,C49)=1,ROUND(SUMIF($C:$C,C49,$V:$V),2), "")</f>
        <v/>
      </c>
    </row>
    <row r="50" spans="1:25" s="17" customFormat="1" ht="41.25" customHeight="1" thickBot="1" x14ac:dyDescent="0.25">
      <c r="A50" s="53"/>
      <c r="B50" s="53"/>
      <c r="C50" s="53"/>
      <c r="D50" s="53"/>
      <c r="E50" s="67"/>
      <c r="F50" s="68"/>
      <c r="G50" s="68"/>
      <c r="H50" s="69" t="s">
        <v>155</v>
      </c>
      <c r="I50" s="70">
        <f>SUM(I15:I49)</f>
        <v>12</v>
      </c>
      <c r="J50" s="55"/>
      <c r="K50" s="55"/>
      <c r="L50" s="55"/>
      <c r="M50" s="55"/>
      <c r="N50" s="56"/>
      <c r="O50" s="56"/>
      <c r="P50" s="122"/>
      <c r="Q50" s="67"/>
      <c r="R50" s="67"/>
      <c r="S50" s="67"/>
      <c r="T50" s="96">
        <f>SUM(T15:T49)</f>
        <v>25272</v>
      </c>
      <c r="U50" s="97"/>
      <c r="V50" s="92">
        <f>SUM(V15:V49)</f>
        <v>5352.6095999999989</v>
      </c>
      <c r="W50" s="109">
        <f>T50</f>
        <v>25272</v>
      </c>
      <c r="X50" s="104">
        <f>SUM(X15:X49)</f>
        <v>5352.61</v>
      </c>
    </row>
    <row r="51" spans="1:25" s="17" customFormat="1" ht="41.25" customHeight="1" x14ac:dyDescent="0.2">
      <c r="A51" s="57"/>
      <c r="B51" s="71"/>
      <c r="C51" s="71"/>
      <c r="D51" s="72"/>
      <c r="E51" s="72"/>
      <c r="F51" s="73"/>
      <c r="G51" s="74"/>
      <c r="H51" s="75" t="s">
        <v>156</v>
      </c>
      <c r="I51" s="76"/>
      <c r="J51" s="77"/>
      <c r="K51" s="78"/>
      <c r="L51" s="79"/>
      <c r="M51" s="78"/>
      <c r="N51" s="78"/>
      <c r="O51" s="78"/>
      <c r="P51" s="78"/>
      <c r="Q51" s="80"/>
      <c r="R51" s="80"/>
      <c r="S51" s="80"/>
      <c r="T51" s="81"/>
      <c r="U51" s="82"/>
      <c r="V51" s="83"/>
      <c r="W51" s="19"/>
      <c r="X51" s="25"/>
    </row>
    <row r="52" spans="1:25" s="17" customFormat="1" ht="41.25" customHeight="1" thickBot="1" x14ac:dyDescent="0.25">
      <c r="A52" s="53"/>
      <c r="B52" s="53"/>
      <c r="C52" s="68"/>
      <c r="D52" s="67"/>
      <c r="E52" s="67"/>
      <c r="F52" s="67"/>
      <c r="G52" s="67"/>
      <c r="H52" s="69" t="s">
        <v>162</v>
      </c>
      <c r="I52" s="70">
        <f>I50</f>
        <v>12</v>
      </c>
      <c r="J52" s="55"/>
      <c r="K52" s="55"/>
      <c r="L52" s="55"/>
      <c r="M52" s="55"/>
      <c r="N52" s="56"/>
      <c r="O52" s="56"/>
      <c r="P52" s="122"/>
      <c r="Q52" s="67"/>
      <c r="R52" s="67"/>
      <c r="S52" s="67"/>
      <c r="T52" s="96">
        <f>T50</f>
        <v>25272</v>
      </c>
      <c r="U52" s="97"/>
      <c r="V52" s="92">
        <f>+V50+V51</f>
        <v>5352.6095999999989</v>
      </c>
      <c r="W52" s="109">
        <f>W50</f>
        <v>25272</v>
      </c>
      <c r="X52" s="104">
        <f>X50</f>
        <v>5352.61</v>
      </c>
    </row>
    <row r="53" spans="1:25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8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5" ht="15" customHeight="1" x14ac:dyDescent="0.25">
      <c r="A54" s="48" t="s">
        <v>153</v>
      </c>
      <c r="B54" s="48"/>
      <c r="C54" s="48"/>
      <c r="D54" s="48"/>
      <c r="E54" s="48"/>
      <c r="F54" s="84"/>
      <c r="G54" s="48"/>
      <c r="H54" s="85"/>
      <c r="I54" s="85"/>
      <c r="J54" s="8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5" ht="15" customHeight="1" x14ac:dyDescent="0.25">
      <c r="A55" s="48"/>
      <c r="B55" s="48"/>
      <c r="C55" s="48"/>
      <c r="D55" s="48"/>
      <c r="E55" s="48"/>
      <c r="F55" s="84"/>
      <c r="G55" s="48"/>
      <c r="H55" s="85"/>
      <c r="I55" s="85"/>
      <c r="J55" s="8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5" ht="15" customHeight="1" x14ac:dyDescent="0.25">
      <c r="A56" s="48" t="s">
        <v>154</v>
      </c>
      <c r="B56" s="48"/>
      <c r="C56" s="48"/>
      <c r="D56" s="48"/>
      <c r="E56" s="48"/>
      <c r="F56" s="84"/>
      <c r="G56" s="48"/>
      <c r="H56" s="85"/>
      <c r="I56" s="85"/>
      <c r="J56" s="8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89"/>
    </row>
    <row r="57" spans="1:25" ht="15" customHeight="1" x14ac:dyDescent="0.25">
      <c r="A57" s="48"/>
      <c r="B57" s="48"/>
      <c r="C57" s="48"/>
      <c r="D57" s="48"/>
      <c r="E57" s="48"/>
      <c r="F57" s="84"/>
      <c r="G57" s="48"/>
      <c r="H57" s="85"/>
      <c r="I57" s="85"/>
      <c r="J57" s="8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89"/>
    </row>
    <row r="58" spans="1:25" ht="15" customHeight="1" x14ac:dyDescent="0.25">
      <c r="A58" s="48"/>
      <c r="B58" s="48"/>
      <c r="C58" s="48"/>
      <c r="D58" s="48"/>
      <c r="E58" s="48"/>
      <c r="F58" s="84"/>
      <c r="G58" s="48"/>
      <c r="H58" s="85"/>
      <c r="I58" s="85"/>
      <c r="J58" s="8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89"/>
    </row>
    <row r="59" spans="1:25" ht="15" customHeight="1" x14ac:dyDescent="0.25">
      <c r="A59" s="86"/>
      <c r="B59" s="318"/>
      <c r="C59" s="318"/>
      <c r="D59" s="318"/>
      <c r="E59" s="318"/>
      <c r="F59" s="318"/>
      <c r="G59" s="318"/>
      <c r="H59" s="318"/>
      <c r="I59" s="318"/>
      <c r="J59" s="318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89"/>
    </row>
    <row r="60" spans="1:25" ht="15" customHeight="1" x14ac:dyDescent="0.25">
      <c r="A60" s="86"/>
      <c r="B60" s="319"/>
      <c r="C60" s="319"/>
      <c r="D60" s="319"/>
      <c r="E60" s="319"/>
      <c r="F60" s="319"/>
      <c r="G60" s="319"/>
      <c r="H60" s="319"/>
      <c r="I60" s="319"/>
      <c r="J60" s="319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89"/>
      <c r="X60" s="16"/>
      <c r="Y60" s="23"/>
    </row>
  </sheetData>
  <mergeCells count="5">
    <mergeCell ref="A7:E7"/>
    <mergeCell ref="F7:G7"/>
    <mergeCell ref="R9:S9"/>
    <mergeCell ref="B59:J59"/>
    <mergeCell ref="B60:J60"/>
  </mergeCells>
  <pageMargins left="0" right="0" top="1" bottom="0" header="0.511811023622047" footer="0.511811023622047"/>
  <pageSetup paperSize="9" scale="45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xr:uid="{566B0515-E37B-4B1C-8CFA-6D152FF9D0CD}">
          <x14:formula1>
            <xm:f>CODE_MASTER_AS!$A$3:$A$14</xm:f>
          </x14:formula1>
          <xm:sqref>F50:G50 C51:C52 C15:C49</xm:sqref>
        </x14:dataValidation>
        <x14:dataValidation type="list" allowBlank="1" xr:uid="{7E975AA6-7AF2-42B2-8D4D-C04CFC837A08}">
          <x14:formula1>
            <xm:f>'SIZE GUIDE'!$A$3:$A$38</xm:f>
          </x14:formula1>
          <xm:sqref>E15:E52</xm:sqref>
        </x14:dataValidation>
        <x14:dataValidation type="list" allowBlank="1" xr:uid="{5F333471-FA0A-430B-A354-6CF58B670022}">
          <x14:formula1>
            <xm:f>LISTS!$B$2:$B$8</xm:f>
          </x14:formula1>
          <x14:formula2>
            <xm:f>0</xm:f>
          </x14:formula2>
          <xm:sqref>H15:H52</xm:sqref>
        </x14:dataValidation>
        <x14:dataValidation type="list" allowBlank="1" showInputMessage="1" showErrorMessage="1" xr:uid="{FDDCD2D9-2BEA-4C30-8080-93B9BE1501C7}">
          <x14:formula1>
            <xm:f>'SIZE GUIDE'!$B:$B</xm:f>
          </x14:formula1>
          <xm:sqref>G50 F15:F52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20573-6159-49C8-96DE-6E64A8A8F6CF}">
  <sheetPr codeName="Sheet10">
    <pageSetUpPr fitToPage="1"/>
  </sheetPr>
  <dimension ref="A1:AH57"/>
  <sheetViews>
    <sheetView showGridLines="0" view="pageBreakPreview" topLeftCell="A18" zoomScale="75" zoomScaleNormal="68" zoomScaleSheetLayoutView="75" workbookViewId="0">
      <selection activeCell="W28" sqref="W28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15.1640625" style="16" hidden="1" customWidth="1"/>
    <col min="5" max="5" width="12.1640625" style="16" customWidth="1"/>
    <col min="6" max="6" width="20.1640625" style="16" hidden="1" customWidth="1"/>
    <col min="7" max="7" width="23.5" style="16" bestFit="1" customWidth="1"/>
    <col min="8" max="9" width="10.6640625" style="16" customWidth="1"/>
    <col min="10" max="16" width="10.6640625" style="16" hidden="1" customWidth="1"/>
    <col min="17" max="19" width="10.6640625" style="16" customWidth="1"/>
    <col min="20" max="20" width="13.33203125" style="16" customWidth="1"/>
    <col min="21" max="21" width="14.1640625" style="16" customWidth="1"/>
    <col min="22" max="22" width="16.6640625" style="98" customWidth="1"/>
    <col min="23" max="23" width="33.5" style="16" customWidth="1"/>
    <col min="24" max="24" width="18.5" style="174" customWidth="1"/>
    <col min="25" max="16384" width="8.6640625" style="16"/>
  </cols>
  <sheetData>
    <row r="1" spans="1:3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9"/>
      <c r="K1" s="29"/>
      <c r="L1" s="29"/>
      <c r="M1" s="29"/>
      <c r="N1" s="27"/>
      <c r="O1" s="27"/>
      <c r="P1" s="27"/>
      <c r="Q1" s="13"/>
      <c r="R1" s="13"/>
      <c r="S1" s="13"/>
      <c r="T1" s="13"/>
      <c r="U1" s="13"/>
      <c r="V1" s="22"/>
      <c r="W1" s="13"/>
      <c r="X1" s="22"/>
    </row>
    <row r="2" spans="1:34" s="14" customFormat="1" ht="33.75" customHeight="1" x14ac:dyDescent="0.2">
      <c r="A2" s="13"/>
      <c r="B2" s="13"/>
      <c r="C2" s="13"/>
      <c r="D2" s="13"/>
      <c r="E2" s="13"/>
      <c r="F2" s="13"/>
      <c r="J2" s="30"/>
      <c r="K2" s="31"/>
      <c r="L2" s="29"/>
      <c r="M2" s="32" t="s">
        <v>161</v>
      </c>
      <c r="N2" s="27"/>
      <c r="O2" s="27"/>
      <c r="P2" s="28" t="s">
        <v>160</v>
      </c>
      <c r="R2" s="20"/>
      <c r="S2" s="21"/>
      <c r="U2" s="13"/>
      <c r="W2" s="20"/>
      <c r="X2" s="20" t="s">
        <v>151</v>
      </c>
    </row>
    <row r="3" spans="1:3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37"/>
      <c r="K3" s="37"/>
      <c r="L3" s="37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3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37"/>
      <c r="K4" s="37"/>
      <c r="L4" s="37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3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37"/>
      <c r="K5" s="37"/>
      <c r="L5" s="37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3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37"/>
      <c r="K6" s="37"/>
      <c r="L6" s="37"/>
      <c r="M6" s="37"/>
      <c r="N6" s="38"/>
      <c r="O6" s="38"/>
      <c r="P6" s="38"/>
      <c r="Q6" s="39"/>
      <c r="R6" s="39"/>
      <c r="S6" s="39"/>
      <c r="T6" s="35"/>
      <c r="U6" s="36"/>
      <c r="V6" s="39"/>
      <c r="W6" s="13" t="s">
        <v>263</v>
      </c>
      <c r="X6" s="22"/>
    </row>
    <row r="7" spans="1:34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5"/>
      <c r="I7" s="35"/>
      <c r="J7" s="37"/>
      <c r="K7" s="37"/>
      <c r="L7" s="37"/>
      <c r="M7" s="37"/>
      <c r="N7" s="38"/>
      <c r="O7" s="38"/>
      <c r="P7" s="38"/>
      <c r="Q7" s="43" t="s">
        <v>147</v>
      </c>
      <c r="R7" s="43"/>
      <c r="S7" s="43"/>
      <c r="T7" s="43"/>
      <c r="U7" s="43"/>
      <c r="V7" s="43" t="s">
        <v>148</v>
      </c>
      <c r="W7" s="43"/>
      <c r="X7" s="43"/>
    </row>
    <row r="8" spans="1:34" ht="15" customHeight="1" x14ac:dyDescent="0.25">
      <c r="A8" s="44" t="s">
        <v>125</v>
      </c>
      <c r="B8" s="45"/>
      <c r="C8" s="45"/>
      <c r="D8" s="46"/>
      <c r="E8" s="46"/>
      <c r="F8" s="36"/>
      <c r="G8" s="46"/>
      <c r="H8" s="35"/>
      <c r="I8" s="35"/>
      <c r="J8" s="37"/>
      <c r="K8" s="37"/>
      <c r="L8" s="37"/>
      <c r="M8" s="37"/>
      <c r="N8" s="38"/>
      <c r="O8" s="38"/>
      <c r="P8" s="38"/>
      <c r="Q8" s="167" t="s">
        <v>262</v>
      </c>
      <c r="R8" s="87"/>
      <c r="S8" s="106"/>
      <c r="T8" s="46"/>
      <c r="U8" s="107"/>
      <c r="V8" s="108">
        <v>46196</v>
      </c>
      <c r="W8" s="13"/>
      <c r="X8" s="22"/>
    </row>
    <row r="9" spans="1:3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37"/>
      <c r="K9" s="37"/>
      <c r="L9" s="37"/>
      <c r="M9" s="37"/>
      <c r="N9" s="38"/>
      <c r="O9" s="38"/>
      <c r="P9" s="38"/>
      <c r="Q9" s="48"/>
      <c r="R9" s="321"/>
      <c r="S9" s="321"/>
      <c r="T9" s="35"/>
      <c r="U9" s="47"/>
      <c r="V9" s="88"/>
      <c r="W9" s="13"/>
      <c r="X9" s="22"/>
    </row>
    <row r="10" spans="1:3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37"/>
      <c r="K10" s="37"/>
      <c r="L10" s="37"/>
      <c r="M10" s="37"/>
      <c r="N10" s="38"/>
      <c r="O10" s="38"/>
      <c r="P10" s="38"/>
      <c r="Q10" s="42" t="s">
        <v>149</v>
      </c>
      <c r="R10" s="43"/>
      <c r="S10" s="43"/>
      <c r="T10" s="43"/>
      <c r="U10" s="43"/>
      <c r="V10" s="43" t="s">
        <v>150</v>
      </c>
      <c r="W10" s="43"/>
      <c r="X10" s="43"/>
    </row>
    <row r="11" spans="1:34" ht="15" customHeight="1" x14ac:dyDescent="0.25">
      <c r="A11" s="188" t="s">
        <v>261</v>
      </c>
      <c r="B11" s="34"/>
      <c r="C11" s="35"/>
      <c r="D11" s="35"/>
      <c r="E11" s="46"/>
      <c r="F11" s="46"/>
      <c r="G11" s="46"/>
      <c r="H11" s="35"/>
      <c r="I11" s="35"/>
      <c r="J11" s="37"/>
      <c r="K11" s="37"/>
      <c r="L11" s="37"/>
      <c r="M11" s="37"/>
      <c r="N11" s="38"/>
      <c r="O11" s="38"/>
      <c r="P11" s="38"/>
      <c r="Q11" s="167" t="s">
        <v>260</v>
      </c>
      <c r="R11" s="86"/>
      <c r="S11" s="86"/>
      <c r="T11" s="46"/>
      <c r="U11" s="107"/>
      <c r="V11" s="86"/>
      <c r="W11" s="13"/>
      <c r="X11" s="22"/>
    </row>
    <row r="12" spans="1:3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37"/>
      <c r="K12" s="37"/>
      <c r="L12" s="37"/>
      <c r="M12" s="37"/>
      <c r="N12" s="38"/>
      <c r="O12" s="38"/>
      <c r="P12" s="38"/>
      <c r="Q12" s="86"/>
      <c r="R12" s="86"/>
      <c r="S12" s="86"/>
      <c r="T12" s="86"/>
      <c r="U12" s="107"/>
      <c r="V12" s="129"/>
      <c r="W12" s="13"/>
      <c r="X12" s="22"/>
    </row>
    <row r="13" spans="1:3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5"/>
      <c r="K13" s="50"/>
      <c r="L13" s="50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34" s="17" customFormat="1" ht="49.5" customHeight="1" x14ac:dyDescent="0.2">
      <c r="A14" s="53" t="s">
        <v>158</v>
      </c>
      <c r="B14" s="53" t="s">
        <v>0</v>
      </c>
      <c r="C14" s="53" t="s">
        <v>1</v>
      </c>
      <c r="D14" s="54" t="s">
        <v>135</v>
      </c>
      <c r="E14" s="54" t="s">
        <v>157</v>
      </c>
      <c r="F14" s="54" t="s">
        <v>3</v>
      </c>
      <c r="G14" s="54" t="s">
        <v>152</v>
      </c>
      <c r="H14" s="54" t="s">
        <v>105</v>
      </c>
      <c r="I14" s="54" t="s">
        <v>5</v>
      </c>
      <c r="J14" s="55" t="s">
        <v>64</v>
      </c>
      <c r="K14" s="55" t="s">
        <v>136</v>
      </c>
      <c r="L14" s="55" t="s">
        <v>24</v>
      </c>
      <c r="M14" s="55" t="s">
        <v>108</v>
      </c>
      <c r="N14" s="56" t="s">
        <v>136</v>
      </c>
      <c r="O14" s="56" t="s">
        <v>24</v>
      </c>
      <c r="P14" s="56" t="s">
        <v>108</v>
      </c>
      <c r="Q14" s="54" t="s">
        <v>136</v>
      </c>
      <c r="R14" s="54" t="s">
        <v>24</v>
      </c>
      <c r="S14" s="54" t="s">
        <v>108</v>
      </c>
      <c r="T14" s="90" t="s">
        <v>159</v>
      </c>
      <c r="U14" s="91" t="s">
        <v>6</v>
      </c>
      <c r="V14" s="92" t="s">
        <v>7</v>
      </c>
      <c r="W14" s="291" t="s">
        <v>140</v>
      </c>
      <c r="X14" s="291" t="s">
        <v>141</v>
      </c>
    </row>
    <row r="15" spans="1:34" s="17" customFormat="1" ht="40.5" customHeight="1" x14ac:dyDescent="0.2">
      <c r="A15" s="57">
        <v>1</v>
      </c>
      <c r="B15" s="57"/>
      <c r="C15" s="57" t="s">
        <v>89</v>
      </c>
      <c r="D15" s="58"/>
      <c r="E15" s="58" t="s">
        <v>124</v>
      </c>
      <c r="F15" s="59" t="s">
        <v>125</v>
      </c>
      <c r="G15" s="60" t="str">
        <f>IF(COUNTIFS($C$15:C15,C15,$H$15:H15,H15)=1,
SUMIFS($I$15:$I$46,$C$15:$C$46,C15,$H$15:$H$46,H15)&amp;H15&amp;" "&amp;C15,
"")</f>
        <v>4K CFN30100W</v>
      </c>
      <c r="H15" s="58" t="s">
        <v>18</v>
      </c>
      <c r="I15" s="61">
        <v>1</v>
      </c>
      <c r="J15" s="160"/>
      <c r="K15" s="158" t="str" cm="1">
        <f t="array" ref="K15">IF(E15="untrim",_xlfn.XLOOKUP(1,(TRIM('SIZE GUIDE'!$A$3:$A$2015)=TRIM(E15))*(TRIM('SIZE GUIDE'!$B$3:$B$2015)=TRIM(F15))*(TRIM('SIZE GUIDE'!$C$3:$C$2015)=TRIM(H15)),'SIZE GUIDE'!$D$3:$D$2015),"")</f>
        <v/>
      </c>
      <c r="L15" s="159" t="str" cm="1">
        <f t="array" ref="L15">IF(E15="untrim",IFERROR(INDEX('SIZE GUIDE'!$E:$E,MATCH(1,('SIZE GUIDE'!$A:$A=$E15)*('SIZE GUIDE'!$B:$B=$F15)*('SIZE GUIDE'!$C:$C=$H15),0)),""),"")</f>
        <v/>
      </c>
      <c r="M15" s="159"/>
      <c r="N15" s="65" cm="1">
        <f t="array" ref="N15">IF(E15="trim",_xlfn.XLOOKUP(1,(TRIM('SIZE GUIDE'!$A$3:$A$2015)=TRIM(E15))*(TRIM('SIZE GUIDE'!$B$3:$B$2015)=TRIM(F15))*(TRIM('SIZE GUIDE'!$C$3:$C$2015)=TRIM(H15)),'SIZE GUIDE'!$D$3:$D$2015),"")</f>
        <v>79</v>
      </c>
      <c r="O15" s="65" cm="1">
        <f t="array" ref="O15">IF(E15="trim",IFERROR(INDEX('SIZE GUIDE'!$E:$E,MATCH(1,('SIZE GUIDE'!$A:$A=$E15)*('SIZE GUIDE'!$B:$B=$F15)*('SIZE GUIDE'!$C:$C=$H15),0)),""),"")</f>
        <v>75</v>
      </c>
      <c r="P15" s="65">
        <v>43</v>
      </c>
      <c r="Q15" s="66">
        <f t="shared" ref="Q15:Q34" si="0">IF(E15="untrim",K15-1.5,N15)</f>
        <v>79</v>
      </c>
      <c r="R15" s="59">
        <f t="shared" ref="R15:R34" si="1">IF(E15="untrim",L15-1.5,O15)</f>
        <v>75</v>
      </c>
      <c r="S15" s="59">
        <f t="shared" ref="S15:S34" si="2">IF(E15="untrim",M15-0.5,P15-0.5)</f>
        <v>42.5</v>
      </c>
      <c r="T15" s="93">
        <f t="shared" ref="T15:T34" si="3">IFERROR(Q15*R15*S15/144*I15,"")</f>
        <v>1748.6979166666667</v>
      </c>
      <c r="U15" s="99">
        <f>SUMIFS(CODE_PRICE!F:F,CODE_PRICE!B:B,'SIMON BEDDING-TR-W25-01'!C15,CODE_PRICE!A:A,'SIMON BEDDING-TR-W25-01'!$A$8)</f>
        <v>0.2586</v>
      </c>
      <c r="V15" s="95">
        <f t="shared" ref="V15:V34" si="4">T15*U15</f>
        <v>452.21328125000002</v>
      </c>
      <c r="W15" s="102" t="str">
        <f>IF(COUNTIF($C$15:C15,C15)=1,C15 &amp; " - " &amp; TEXT(SUMIF($C:$C,C15,$T:$T),"0.00"),"")</f>
        <v>CFN30100W - 23920.09</v>
      </c>
      <c r="X15" s="103">
        <f>IF(COUNTIF($C$15:C15,C15)=1,ROUND(SUMIF($C:$C,C15,$V:$V),2), "")</f>
        <v>6185.74</v>
      </c>
    </row>
    <row r="16" spans="1:34" s="17" customFormat="1" ht="40.5" customHeight="1" x14ac:dyDescent="0.2">
      <c r="A16" s="57">
        <f t="shared" ref="A16:A30" si="5">A15+1</f>
        <v>2</v>
      </c>
      <c r="B16" s="57"/>
      <c r="C16" s="57" t="s">
        <v>89</v>
      </c>
      <c r="D16" s="58"/>
      <c r="E16" s="58" t="s">
        <v>124</v>
      </c>
      <c r="F16" s="59" t="s">
        <v>125</v>
      </c>
      <c r="G16" s="60" t="str">
        <f>IF(COUNTIFS($C$15:C16,C16,$H$15:H16,H16)=1,
SUMIFS($I$15:$I$46,$C$15:$C$46,C16,$H$15:$H$46,H16)&amp;H16&amp;" "&amp;C16,
"")</f>
        <v/>
      </c>
      <c r="H16" s="58" t="s">
        <v>18</v>
      </c>
      <c r="I16" s="61">
        <v>1</v>
      </c>
      <c r="J16" s="160"/>
      <c r="K16" s="158" t="str" cm="1">
        <f t="array" ref="K16">IF(E16="untrim",_xlfn.XLOOKUP(1,(TRIM('SIZE GUIDE'!$A$3:$A$2015)=TRIM(E16))*(TRIM('SIZE GUIDE'!$B$3:$B$2015)=TRIM(F16))*(TRIM('SIZE GUIDE'!$C$3:$C$2015)=TRIM(H16)),'SIZE GUIDE'!$D$3:$D$2015),"")</f>
        <v/>
      </c>
      <c r="L16" s="159" t="str" cm="1">
        <f t="array" ref="L16">IF(E16="untrim",IFERROR(INDEX('SIZE GUIDE'!$E:$E,MATCH(1,('SIZE GUIDE'!$A:$A=$E16)*('SIZE GUIDE'!$B:$B=$F16)*('SIZE GUIDE'!$C:$C=$H16),0)),""),"")</f>
        <v/>
      </c>
      <c r="M16" s="159"/>
      <c r="N16" s="65" cm="1">
        <f t="array" ref="N16">IF(E16="trim",_xlfn.XLOOKUP(1,(TRIM('SIZE GUIDE'!$A$3:$A$2015)=TRIM(E16))*(TRIM('SIZE GUIDE'!$B$3:$B$2015)=TRIM(F16))*(TRIM('SIZE GUIDE'!$C$3:$C$2015)=TRIM(H16)),'SIZE GUIDE'!$D$3:$D$2015),"")</f>
        <v>79</v>
      </c>
      <c r="O16" s="65" cm="1">
        <f t="array" ref="O16">IF(E16="trim",IFERROR(INDEX('SIZE GUIDE'!$E:$E,MATCH(1,('SIZE GUIDE'!$A:$A=$E16)*('SIZE GUIDE'!$B:$B=$F16)*('SIZE GUIDE'!$C:$C=$H16),0)),""),"")</f>
        <v>75</v>
      </c>
      <c r="P16" s="65">
        <v>43</v>
      </c>
      <c r="Q16" s="66">
        <f t="shared" si="0"/>
        <v>79</v>
      </c>
      <c r="R16" s="59">
        <f t="shared" si="1"/>
        <v>75</v>
      </c>
      <c r="S16" s="59">
        <f t="shared" si="2"/>
        <v>42.5</v>
      </c>
      <c r="T16" s="93">
        <f t="shared" si="3"/>
        <v>1748.6979166666667</v>
      </c>
      <c r="U16" s="99">
        <f>SUMIFS(CODE_PRICE!F:F,CODE_PRICE!B:B,'SIMON BEDDING-TR-W25-01'!C16,CODE_PRICE!A:A,'SIMON BEDDING-TR-W25-01'!$A$8)</f>
        <v>0.2586</v>
      </c>
      <c r="V16" s="95">
        <f t="shared" si="4"/>
        <v>452.21328125000002</v>
      </c>
      <c r="W16" s="102" t="str">
        <f>IF(COUNTIF($C$15:C16,C16)=1,C16 &amp; " - " &amp; TEXT(SUMIF($C:$C,C16,$T:$T),"0.00"),"")</f>
        <v/>
      </c>
      <c r="X16" s="103" t="str">
        <f>IF(COUNTIF($C$15:C16,C16)=1,ROUND(SUMIF($C:$C,C16,$V:$V),2), "")</f>
        <v/>
      </c>
      <c r="AH16" s="100"/>
    </row>
    <row r="17" spans="1:30" s="17" customFormat="1" ht="40.5" customHeight="1" x14ac:dyDescent="0.2">
      <c r="A17" s="57">
        <f t="shared" si="5"/>
        <v>3</v>
      </c>
      <c r="B17" s="57"/>
      <c r="C17" s="57" t="s">
        <v>89</v>
      </c>
      <c r="D17" s="58"/>
      <c r="E17" s="58" t="s">
        <v>124</v>
      </c>
      <c r="F17" s="59" t="s">
        <v>125</v>
      </c>
      <c r="G17" s="60" t="str">
        <f>IF(COUNTIFS($C$15:C17,C17,$H$15:H17,H17)=1,
SUMIFS($I$15:$I$46,$C$15:$C$46,C17,$H$15:$H$46,H17)&amp;H17&amp;" "&amp;C17,
"")</f>
        <v/>
      </c>
      <c r="H17" s="58" t="s">
        <v>18</v>
      </c>
      <c r="I17" s="61">
        <v>1</v>
      </c>
      <c r="J17" s="160"/>
      <c r="K17" s="158" t="str" cm="1">
        <f t="array" ref="K17">IF(E17="untrim",_xlfn.XLOOKUP(1,(TRIM('SIZE GUIDE'!$A$3:$A$2015)=TRIM(E17))*(TRIM('SIZE GUIDE'!$B$3:$B$2015)=TRIM(F17))*(TRIM('SIZE GUIDE'!$C$3:$C$2015)=TRIM(H17)),'SIZE GUIDE'!$D$3:$D$2015),"")</f>
        <v/>
      </c>
      <c r="L17" s="159" t="str" cm="1">
        <f t="array" ref="L17">IF(E17="untrim",IFERROR(INDEX('SIZE GUIDE'!$E:$E,MATCH(1,('SIZE GUIDE'!$A:$A=$E17)*('SIZE GUIDE'!$B:$B=$F17)*('SIZE GUIDE'!$C:$C=$H17),0)),""),"")</f>
        <v/>
      </c>
      <c r="M17" s="159"/>
      <c r="N17" s="65" cm="1">
        <f t="array" ref="N17">IF(E17="trim",_xlfn.XLOOKUP(1,(TRIM('SIZE GUIDE'!$A$3:$A$2015)=TRIM(E17))*(TRIM('SIZE GUIDE'!$B$3:$B$2015)=TRIM(F17))*(TRIM('SIZE GUIDE'!$C$3:$C$2015)=TRIM(H17)),'SIZE GUIDE'!$D$3:$D$2015),"")</f>
        <v>79</v>
      </c>
      <c r="O17" s="65" cm="1">
        <f t="array" ref="O17">IF(E17="trim",IFERROR(INDEX('SIZE GUIDE'!$E:$E,MATCH(1,('SIZE GUIDE'!$A:$A=$E17)*('SIZE GUIDE'!$B:$B=$F17)*('SIZE GUIDE'!$C:$C=$H17),0)),""),"")</f>
        <v>75</v>
      </c>
      <c r="P17" s="65">
        <v>43</v>
      </c>
      <c r="Q17" s="66">
        <f t="shared" si="0"/>
        <v>79</v>
      </c>
      <c r="R17" s="59">
        <f t="shared" si="1"/>
        <v>75</v>
      </c>
      <c r="S17" s="59">
        <f t="shared" si="2"/>
        <v>42.5</v>
      </c>
      <c r="T17" s="93">
        <f t="shared" si="3"/>
        <v>1748.6979166666667</v>
      </c>
      <c r="U17" s="99">
        <f>SUMIFS(CODE_PRICE!F:F,CODE_PRICE!B:B,'SIMON BEDDING-TR-W25-01'!C17,CODE_PRICE!A:A,'SIMON BEDDING-TR-W25-01'!$A$8)</f>
        <v>0.2586</v>
      </c>
      <c r="V17" s="95">
        <f t="shared" si="4"/>
        <v>452.21328125000002</v>
      </c>
      <c r="W17" s="102" t="str">
        <f>IF(COUNTIF($C$15:C17,C17)=1,C17 &amp; " - " &amp; TEXT(SUMIF($C:$C,C17,$T:$T),"0.00"),"")</f>
        <v/>
      </c>
      <c r="X17" s="103" t="str">
        <f>IF(COUNTIF($C$15:C17,C17)=1,ROUND(SUMIF($C:$C,C17,$V:$V),2), "")</f>
        <v/>
      </c>
    </row>
    <row r="18" spans="1:30" s="17" customFormat="1" ht="40.5" customHeight="1" x14ac:dyDescent="0.2">
      <c r="A18" s="57">
        <f t="shared" si="5"/>
        <v>4</v>
      </c>
      <c r="B18" s="57"/>
      <c r="C18" s="57" t="s">
        <v>89</v>
      </c>
      <c r="D18" s="58"/>
      <c r="E18" s="58" t="s">
        <v>124</v>
      </c>
      <c r="F18" s="59" t="s">
        <v>125</v>
      </c>
      <c r="G18" s="60" t="str">
        <f>IF(COUNTIFS($C$15:C18,C18,$H$15:H18,H18)=1,
SUMIFS($I$15:$I$46,$C$15:$C$46,C18,$H$15:$H$46,H18)&amp;H18&amp;" "&amp;C18,
"")</f>
        <v/>
      </c>
      <c r="H18" s="58" t="s">
        <v>18</v>
      </c>
      <c r="I18" s="61">
        <v>1</v>
      </c>
      <c r="J18" s="160"/>
      <c r="K18" s="158" t="str" cm="1">
        <f t="array" ref="K18">IF(E18="untrim",_xlfn.XLOOKUP(1,(TRIM('SIZE GUIDE'!$A$3:$A$2015)=TRIM(E18))*(TRIM('SIZE GUIDE'!$B$3:$B$2015)=TRIM(F18))*(TRIM('SIZE GUIDE'!$C$3:$C$2015)=TRIM(H18)),'SIZE GUIDE'!$D$3:$D$2015),"")</f>
        <v/>
      </c>
      <c r="L18" s="159" t="str" cm="1">
        <f t="array" ref="L18">IF(E18="untrim",IFERROR(INDEX('SIZE GUIDE'!$E:$E,MATCH(1,('SIZE GUIDE'!$A:$A=$E18)*('SIZE GUIDE'!$B:$B=$F18)*('SIZE GUIDE'!$C:$C=$H18),0)),""),"")</f>
        <v/>
      </c>
      <c r="M18" s="158"/>
      <c r="N18" s="65" cm="1">
        <f t="array" ref="N18">IF(E18="trim",_xlfn.XLOOKUP(1,(TRIM('SIZE GUIDE'!$A$3:$A$2015)=TRIM(E18))*(TRIM('SIZE GUIDE'!$B$3:$B$2015)=TRIM(F18))*(TRIM('SIZE GUIDE'!$C$3:$C$2015)=TRIM(H18)),'SIZE GUIDE'!$D$3:$D$2015),"")</f>
        <v>79</v>
      </c>
      <c r="O18" s="65" cm="1">
        <f t="array" ref="O18">IF(E18="trim",IFERROR(INDEX('SIZE GUIDE'!$E:$E,MATCH(1,('SIZE GUIDE'!$A:$A=$E18)*('SIZE GUIDE'!$B:$B=$F18)*('SIZE GUIDE'!$C:$C=$H18),0)),""),"")</f>
        <v>75</v>
      </c>
      <c r="P18" s="65">
        <v>43</v>
      </c>
      <c r="Q18" s="66">
        <f t="shared" si="0"/>
        <v>79</v>
      </c>
      <c r="R18" s="59">
        <f t="shared" si="1"/>
        <v>75</v>
      </c>
      <c r="S18" s="59">
        <f t="shared" si="2"/>
        <v>42.5</v>
      </c>
      <c r="T18" s="93">
        <f t="shared" si="3"/>
        <v>1748.6979166666667</v>
      </c>
      <c r="U18" s="99">
        <f>SUMIFS(CODE_PRICE!F:F,CODE_PRICE!B:B,'SIMON BEDDING-TR-W25-01'!C18,CODE_PRICE!A:A,'SIMON BEDDING-TR-W25-01'!$A$8)</f>
        <v>0.2586</v>
      </c>
      <c r="V18" s="95">
        <f t="shared" si="4"/>
        <v>452.21328125000002</v>
      </c>
      <c r="W18" s="102" t="str">
        <f>IF(COUNTIF($C$15:C18,C18)=1,C18 &amp; " - " &amp; TEXT(SUMIF($C:$C,C18,$T:$T),"0.00"),"")</f>
        <v/>
      </c>
      <c r="X18" s="103" t="str">
        <f>IF(COUNTIF($C$15:C18,C18)=1,ROUND(SUMIF($C:$C,C18,$V:$V),2), "")</f>
        <v/>
      </c>
    </row>
    <row r="19" spans="1:30" s="17" customFormat="1" ht="40.5" customHeight="1" x14ac:dyDescent="0.2">
      <c r="A19" s="57">
        <f t="shared" si="5"/>
        <v>5</v>
      </c>
      <c r="B19" s="57"/>
      <c r="C19" s="57" t="s">
        <v>89</v>
      </c>
      <c r="D19" s="58"/>
      <c r="E19" s="58" t="s">
        <v>124</v>
      </c>
      <c r="F19" s="59" t="s">
        <v>125</v>
      </c>
      <c r="G19" s="60" t="str">
        <f>IF(COUNTIFS($C$15:C19,C19,$H$15:H19,H19)=1,
SUMIFS($I$15:$I$46,$C$15:$C$46,C19,$H$15:$H$46,H19)&amp;H19&amp;" "&amp;C19,
"")</f>
        <v>6Q CFN30100W</v>
      </c>
      <c r="H19" s="58" t="s">
        <v>16</v>
      </c>
      <c r="I19" s="61">
        <v>1</v>
      </c>
      <c r="J19" s="160"/>
      <c r="K19" s="158" t="str" cm="1">
        <f t="array" ref="K19">IF(E19="untrim",_xlfn.XLOOKUP(1,(TRIM('SIZE GUIDE'!$A$3:$A$2015)=TRIM(E19))*(TRIM('SIZE GUIDE'!$B$3:$B$2015)=TRIM(F19))*(TRIM('SIZE GUIDE'!$C$3:$C$2015)=TRIM(H19)),'SIZE GUIDE'!$D$3:$D$2015),"")</f>
        <v/>
      </c>
      <c r="L19" s="159" t="str" cm="1">
        <f t="array" ref="L19">IF(E19="untrim",IFERROR(INDEX('SIZE GUIDE'!$E:$E,MATCH(1,('SIZE GUIDE'!$A:$A=$E19)*('SIZE GUIDE'!$B:$B=$F19)*('SIZE GUIDE'!$C:$C=$H19),0)),""),"")</f>
        <v/>
      </c>
      <c r="M19" s="158"/>
      <c r="N19" s="65" cm="1">
        <f t="array" ref="N19">IF(E19="trim",_xlfn.XLOOKUP(1,(TRIM('SIZE GUIDE'!$A$3:$A$2015)=TRIM(E19))*(TRIM('SIZE GUIDE'!$B$3:$B$2015)=TRIM(F19))*(TRIM('SIZE GUIDE'!$C$3:$C$2015)=TRIM(H19)),'SIZE GUIDE'!$D$3:$D$2015),"")</f>
        <v>79</v>
      </c>
      <c r="O19" s="65" cm="1">
        <f t="array" ref="O19">IF(E19="trim",IFERROR(INDEX('SIZE GUIDE'!$E:$E,MATCH(1,('SIZE GUIDE'!$A:$A=$E19)*('SIZE GUIDE'!$B:$B=$F19)*('SIZE GUIDE'!$C:$C=$H19),0)),""),"")</f>
        <v>59</v>
      </c>
      <c r="P19" s="65">
        <v>41</v>
      </c>
      <c r="Q19" s="66">
        <f t="shared" si="0"/>
        <v>79</v>
      </c>
      <c r="R19" s="59">
        <f t="shared" si="1"/>
        <v>59</v>
      </c>
      <c r="S19" s="59">
        <f t="shared" si="2"/>
        <v>40.5</v>
      </c>
      <c r="T19" s="93">
        <f t="shared" si="3"/>
        <v>1310.90625</v>
      </c>
      <c r="U19" s="99">
        <f>SUMIFS(CODE_PRICE!F:F,CODE_PRICE!B:B,'SIMON BEDDING-TR-W25-01'!C19,CODE_PRICE!A:A,'SIMON BEDDING-TR-W25-01'!$A$8)</f>
        <v>0.2586</v>
      </c>
      <c r="V19" s="95">
        <f t="shared" si="4"/>
        <v>339.00035624999998</v>
      </c>
      <c r="W19" s="102" t="str">
        <f>IF(COUNTIF($C$15:C19,C19)=1,C19 &amp; " - " &amp; TEXT(SUMIF($C:$C,C19,$T:$T),"0.00"),"")</f>
        <v/>
      </c>
      <c r="X19" s="103" t="str">
        <f>IF(COUNTIF($C$15:C19,C19)=1,ROUND(SUMIF($C:$C,C19,$V:$V),2), "")</f>
        <v/>
      </c>
    </row>
    <row r="20" spans="1:30" s="17" customFormat="1" ht="40.5" customHeight="1" x14ac:dyDescent="0.2">
      <c r="A20" s="57">
        <f t="shared" si="5"/>
        <v>6</v>
      </c>
      <c r="B20" s="57"/>
      <c r="C20" s="57" t="s">
        <v>89</v>
      </c>
      <c r="D20" s="58"/>
      <c r="E20" s="58" t="s">
        <v>124</v>
      </c>
      <c r="F20" s="59" t="s">
        <v>125</v>
      </c>
      <c r="G20" s="60" t="str">
        <f>IF(COUNTIFS($C$15:C20,C20,$H$15:H20,H20)=1,
SUMIFS($I$15:$I$46,$C$15:$C$46,C20,$H$15:$H$46,H20)&amp;H20&amp;" "&amp;C20,
"")</f>
        <v/>
      </c>
      <c r="H20" s="58" t="s">
        <v>16</v>
      </c>
      <c r="I20" s="61">
        <v>1</v>
      </c>
      <c r="J20" s="160"/>
      <c r="K20" s="158" t="str" cm="1">
        <f t="array" ref="K20">IF(E20="untrim",_xlfn.XLOOKUP(1,(TRIM('SIZE GUIDE'!$A$3:$A$2015)=TRIM(E20))*(TRIM('SIZE GUIDE'!$B$3:$B$2015)=TRIM(F20))*(TRIM('SIZE GUIDE'!$C$3:$C$2015)=TRIM(H20)),'SIZE GUIDE'!$D$3:$D$2015),"")</f>
        <v/>
      </c>
      <c r="L20" s="159" t="str" cm="1">
        <f t="array" ref="L20">IF(E20="untrim",IFERROR(INDEX('SIZE GUIDE'!$E:$E,MATCH(1,('SIZE GUIDE'!$A:$A=$E20)*('SIZE GUIDE'!$B:$B=$F20)*('SIZE GUIDE'!$C:$C=$H20),0)),""),"")</f>
        <v/>
      </c>
      <c r="M20" s="158"/>
      <c r="N20" s="65" cm="1">
        <f t="array" ref="N20">IF(E20="trim",_xlfn.XLOOKUP(1,(TRIM('SIZE GUIDE'!$A$3:$A$2015)=TRIM(E20))*(TRIM('SIZE GUIDE'!$B$3:$B$2015)=TRIM(F20))*(TRIM('SIZE GUIDE'!$C$3:$C$2015)=TRIM(H20)),'SIZE GUIDE'!$D$3:$D$2015),"")</f>
        <v>79</v>
      </c>
      <c r="O20" s="65" cm="1">
        <f t="array" ref="O20">IF(E20="trim",IFERROR(INDEX('SIZE GUIDE'!$E:$E,MATCH(1,('SIZE GUIDE'!$A:$A=$E20)*('SIZE GUIDE'!$B:$B=$F20)*('SIZE GUIDE'!$C:$C=$H20),0)),""),"")</f>
        <v>59</v>
      </c>
      <c r="P20" s="65">
        <v>43</v>
      </c>
      <c r="Q20" s="66">
        <f t="shared" si="0"/>
        <v>79</v>
      </c>
      <c r="R20" s="59">
        <f t="shared" si="1"/>
        <v>59</v>
      </c>
      <c r="S20" s="59">
        <f t="shared" si="2"/>
        <v>42.5</v>
      </c>
      <c r="T20" s="93">
        <f t="shared" si="3"/>
        <v>1375.6423611111111</v>
      </c>
      <c r="U20" s="99">
        <f>SUMIFS(CODE_PRICE!F:F,CODE_PRICE!B:B,'SIMON BEDDING-TR-W25-01'!C20,CODE_PRICE!A:A,'SIMON BEDDING-TR-W25-01'!$A$8)</f>
        <v>0.2586</v>
      </c>
      <c r="V20" s="95">
        <f t="shared" si="4"/>
        <v>355.74111458333334</v>
      </c>
      <c r="W20" s="102" t="str">
        <f>IF(COUNTIF($C$15:C20,C20)=1,C20 &amp; " - " &amp; TEXT(SUMIF($C:$C,C20,$T:$T),"0.00"),"")</f>
        <v/>
      </c>
      <c r="X20" s="103" t="str">
        <f>IF(COUNTIF($C$15:C20,C20)=1,ROUND(SUMIF($C:$C,C20,$V:$V),2), "")</f>
        <v/>
      </c>
    </row>
    <row r="21" spans="1:30" s="17" customFormat="1" ht="40.5" customHeight="1" x14ac:dyDescent="0.2">
      <c r="A21" s="57">
        <f t="shared" si="5"/>
        <v>7</v>
      </c>
      <c r="B21" s="57"/>
      <c r="C21" s="57" t="s">
        <v>89</v>
      </c>
      <c r="D21" s="58"/>
      <c r="E21" s="58" t="s">
        <v>124</v>
      </c>
      <c r="F21" s="59" t="s">
        <v>125</v>
      </c>
      <c r="G21" s="60" t="str">
        <f>IF(COUNTIFS($C$15:C21,C21,$H$15:H21,H21)=1,
SUMIFS($I$15:$I$46,$C$15:$C$46,C21,$H$15:$H$46,H21)&amp;H21&amp;" "&amp;C21,
"")</f>
        <v/>
      </c>
      <c r="H21" s="58" t="s">
        <v>16</v>
      </c>
      <c r="I21" s="61">
        <v>1</v>
      </c>
      <c r="J21" s="160"/>
      <c r="K21" s="158" t="str" cm="1">
        <f t="array" ref="K21">IF(E21="untrim",_xlfn.XLOOKUP(1,(TRIM('SIZE GUIDE'!$A$3:$A$2015)=TRIM(E21))*(TRIM('SIZE GUIDE'!$B$3:$B$2015)=TRIM(F21))*(TRIM('SIZE GUIDE'!$C$3:$C$2015)=TRIM(H21)),'SIZE GUIDE'!$D$3:$D$2015),"")</f>
        <v/>
      </c>
      <c r="L21" s="159" t="str" cm="1">
        <f t="array" ref="L21">IF(E21="untrim",IFERROR(INDEX('SIZE GUIDE'!$E:$E,MATCH(1,('SIZE GUIDE'!$A:$A=$E21)*('SIZE GUIDE'!$B:$B=$F21)*('SIZE GUIDE'!$C:$C=$H21),0)),""),"")</f>
        <v/>
      </c>
      <c r="M21" s="158"/>
      <c r="N21" s="65" cm="1">
        <f t="array" ref="N21">IF(E21="trim",_xlfn.XLOOKUP(1,(TRIM('SIZE GUIDE'!$A$3:$A$2015)=TRIM(E21))*(TRIM('SIZE GUIDE'!$B$3:$B$2015)=TRIM(F21))*(TRIM('SIZE GUIDE'!$C$3:$C$2015)=TRIM(H21)),'SIZE GUIDE'!$D$3:$D$2015),"")</f>
        <v>79</v>
      </c>
      <c r="O21" s="65" cm="1">
        <f t="array" ref="O21">IF(E21="trim",IFERROR(INDEX('SIZE GUIDE'!$E:$E,MATCH(1,('SIZE GUIDE'!$A:$A=$E21)*('SIZE GUIDE'!$B:$B=$F21)*('SIZE GUIDE'!$C:$C=$H21),0)),""),"")</f>
        <v>59</v>
      </c>
      <c r="P21" s="65">
        <v>43.5</v>
      </c>
      <c r="Q21" s="66">
        <f t="shared" si="0"/>
        <v>79</v>
      </c>
      <c r="R21" s="59">
        <f t="shared" si="1"/>
        <v>59</v>
      </c>
      <c r="S21" s="59">
        <f t="shared" si="2"/>
        <v>43</v>
      </c>
      <c r="T21" s="93">
        <f t="shared" si="3"/>
        <v>1391.8263888888889</v>
      </c>
      <c r="U21" s="99">
        <f>SUMIFS(CODE_PRICE!F:F,CODE_PRICE!B:B,'SIMON BEDDING-TR-W25-01'!C21,CODE_PRICE!A:A,'SIMON BEDDING-TR-W25-01'!$A$8)</f>
        <v>0.2586</v>
      </c>
      <c r="V21" s="95">
        <f t="shared" si="4"/>
        <v>359.92630416666668</v>
      </c>
      <c r="W21" s="102" t="str">
        <f>IF(COUNTIF($C$15:C21,C21)=1,C21 &amp; " - " &amp; TEXT(SUMIF($C:$C,C21,$T:$T),"0.00"),"")</f>
        <v/>
      </c>
      <c r="X21" s="103" t="str">
        <f>IF(COUNTIF($C$15:C21,C21)=1,ROUND(SUMIF($C:$C,C21,$V:$V),2), "")</f>
        <v/>
      </c>
      <c r="AD21" s="17" t="s">
        <v>204</v>
      </c>
    </row>
    <row r="22" spans="1:30" s="17" customFormat="1" ht="40.5" customHeight="1" x14ac:dyDescent="0.2">
      <c r="A22" s="57">
        <f t="shared" si="5"/>
        <v>8</v>
      </c>
      <c r="B22" s="57"/>
      <c r="C22" s="57" t="s">
        <v>89</v>
      </c>
      <c r="D22" s="58"/>
      <c r="E22" s="58" t="s">
        <v>124</v>
      </c>
      <c r="F22" s="59" t="s">
        <v>125</v>
      </c>
      <c r="G22" s="60" t="str">
        <f>IF(COUNTIFS($C$15:C22,C22,$H$15:H22,H22)=1,
SUMIFS($I$15:$I$46,$C$15:$C$46,C22,$H$15:$H$46,H22)&amp;H22&amp;" "&amp;C22,
"")</f>
        <v/>
      </c>
      <c r="H22" s="58" t="s">
        <v>16</v>
      </c>
      <c r="I22" s="61">
        <v>1</v>
      </c>
      <c r="J22" s="160"/>
      <c r="K22" s="158" t="str" cm="1">
        <f t="array" ref="K22">IF(E22="untrim",_xlfn.XLOOKUP(1,(TRIM('SIZE GUIDE'!$A$3:$A$2015)=TRIM(E22))*(TRIM('SIZE GUIDE'!$B$3:$B$2015)=TRIM(F22))*(TRIM('SIZE GUIDE'!$C$3:$C$2015)=TRIM(H22)),'SIZE GUIDE'!$D$3:$D$2015),"")</f>
        <v/>
      </c>
      <c r="L22" s="159" t="str" cm="1">
        <f t="array" ref="L22">IF(E22="untrim",IFERROR(INDEX('SIZE GUIDE'!$E:$E,MATCH(1,('SIZE GUIDE'!$A:$A=$E22)*('SIZE GUIDE'!$B:$B=$F22)*('SIZE GUIDE'!$C:$C=$H22),0)),""),"")</f>
        <v/>
      </c>
      <c r="M22" s="158"/>
      <c r="N22" s="65" cm="1">
        <f t="array" ref="N22">IF(E22="trim",_xlfn.XLOOKUP(1,(TRIM('SIZE GUIDE'!$A$3:$A$2015)=TRIM(E22))*(TRIM('SIZE GUIDE'!$B$3:$B$2015)=TRIM(F22))*(TRIM('SIZE GUIDE'!$C$3:$C$2015)=TRIM(H22)),'SIZE GUIDE'!$D$3:$D$2015),"")</f>
        <v>79</v>
      </c>
      <c r="O22" s="65" cm="1">
        <f t="array" ref="O22">IF(E22="trim",IFERROR(INDEX('SIZE GUIDE'!$E:$E,MATCH(1,('SIZE GUIDE'!$A:$A=$E22)*('SIZE GUIDE'!$B:$B=$F22)*('SIZE GUIDE'!$C:$C=$H22),0)),""),"")</f>
        <v>59</v>
      </c>
      <c r="P22" s="65">
        <v>40.5</v>
      </c>
      <c r="Q22" s="66">
        <f t="shared" si="0"/>
        <v>79</v>
      </c>
      <c r="R22" s="59">
        <f t="shared" si="1"/>
        <v>59</v>
      </c>
      <c r="S22" s="59">
        <f t="shared" si="2"/>
        <v>40</v>
      </c>
      <c r="T22" s="93">
        <f t="shared" si="3"/>
        <v>1294.7222222222222</v>
      </c>
      <c r="U22" s="99">
        <f>SUMIFS(CODE_PRICE!F:F,CODE_PRICE!B:B,'SIMON BEDDING-TR-W25-01'!C22,CODE_PRICE!A:A,'SIMON BEDDING-TR-W25-01'!$A$8)</f>
        <v>0.2586</v>
      </c>
      <c r="V22" s="95">
        <f t="shared" si="4"/>
        <v>334.81516666666664</v>
      </c>
      <c r="W22" s="102" t="str">
        <f>IF(COUNTIF($C$15:C22,C22)=1,C22 &amp; " - " &amp; TEXT(SUMIF($C:$C,C22,$T:$T),"0.00"),"")</f>
        <v/>
      </c>
      <c r="X22" s="103" t="str">
        <f>IF(COUNTIF($C$15:C22,C22)=1,ROUND(SUMIF($C:$C,C22,$V:$V),2), "")</f>
        <v/>
      </c>
    </row>
    <row r="23" spans="1:30" s="17" customFormat="1" ht="40.5" customHeight="1" x14ac:dyDescent="0.2">
      <c r="A23" s="57">
        <f t="shared" si="5"/>
        <v>9</v>
      </c>
      <c r="B23" s="57"/>
      <c r="C23" s="57" t="s">
        <v>89</v>
      </c>
      <c r="D23" s="58"/>
      <c r="E23" s="58" t="s">
        <v>124</v>
      </c>
      <c r="F23" s="59" t="s">
        <v>125</v>
      </c>
      <c r="G23" s="60" t="str">
        <f>IF(COUNTIFS($C$15:C23,C23,$H$15:H23,H23)=1,
SUMIFS($I$15:$I$46,$C$15:$C$46,C23,$H$15:$H$46,H23)&amp;H23&amp;" "&amp;C23,
"")</f>
        <v/>
      </c>
      <c r="H23" s="58" t="s">
        <v>16</v>
      </c>
      <c r="I23" s="61">
        <v>1</v>
      </c>
      <c r="J23" s="160"/>
      <c r="K23" s="158" t="str" cm="1">
        <f t="array" ref="K23">IF(E23="untrim",_xlfn.XLOOKUP(1,(TRIM('SIZE GUIDE'!$A$3:$A$2015)=TRIM(E23))*(TRIM('SIZE GUIDE'!$B$3:$B$2015)=TRIM(F23))*(TRIM('SIZE GUIDE'!$C$3:$C$2015)=TRIM(H23)),'SIZE GUIDE'!$D$3:$D$2015),"")</f>
        <v/>
      </c>
      <c r="L23" s="159" t="str" cm="1">
        <f t="array" ref="L23">IF(E23="untrim",IFERROR(INDEX('SIZE GUIDE'!$E:$E,MATCH(1,('SIZE GUIDE'!$A:$A=$E23)*('SIZE GUIDE'!$B:$B=$F23)*('SIZE GUIDE'!$C:$C=$H23),0)),""),"")</f>
        <v/>
      </c>
      <c r="M23" s="158"/>
      <c r="N23" s="65" cm="1">
        <f t="array" ref="N23">IF(E23="trim",_xlfn.XLOOKUP(1,(TRIM('SIZE GUIDE'!$A$3:$A$2015)=TRIM(E23))*(TRIM('SIZE GUIDE'!$B$3:$B$2015)=TRIM(F23))*(TRIM('SIZE GUIDE'!$C$3:$C$2015)=TRIM(H23)),'SIZE GUIDE'!$D$3:$D$2015),"")</f>
        <v>79</v>
      </c>
      <c r="O23" s="65" cm="1">
        <f t="array" ref="O23">IF(E23="trim",IFERROR(INDEX('SIZE GUIDE'!$E:$E,MATCH(1,('SIZE GUIDE'!$A:$A=$E23)*('SIZE GUIDE'!$B:$B=$F23)*('SIZE GUIDE'!$C:$C=$H23),0)),""),"")</f>
        <v>59</v>
      </c>
      <c r="P23" s="65">
        <v>40</v>
      </c>
      <c r="Q23" s="66">
        <f t="shared" si="0"/>
        <v>79</v>
      </c>
      <c r="R23" s="59">
        <f t="shared" si="1"/>
        <v>59</v>
      </c>
      <c r="S23" s="59">
        <f t="shared" si="2"/>
        <v>39.5</v>
      </c>
      <c r="T23" s="93">
        <f t="shared" si="3"/>
        <v>1278.5381944444443</v>
      </c>
      <c r="U23" s="99">
        <f>SUMIFS(CODE_PRICE!F:F,CODE_PRICE!B:B,'SIMON BEDDING-TR-W25-01'!C23,CODE_PRICE!A:A,'SIMON BEDDING-TR-W25-01'!$A$8)</f>
        <v>0.2586</v>
      </c>
      <c r="V23" s="95">
        <f t="shared" si="4"/>
        <v>330.6299770833333</v>
      </c>
      <c r="W23" s="102" t="str">
        <f>IF(COUNTIF($C$15:C23,C23)=1,C23 &amp; " - " &amp; TEXT(SUMIF($C:$C,C23,$T:$T),"0.00"),"")</f>
        <v/>
      </c>
      <c r="X23" s="103" t="str">
        <f>IF(COUNTIF($C$15:C23,C23)=1,ROUND(SUMIF($C:$C,C23,$V:$V),2), "")</f>
        <v/>
      </c>
    </row>
    <row r="24" spans="1:30" s="17" customFormat="1" ht="40.5" customHeight="1" x14ac:dyDescent="0.2">
      <c r="A24" s="57">
        <f t="shared" si="5"/>
        <v>10</v>
      </c>
      <c r="B24" s="57"/>
      <c r="C24" s="57" t="s">
        <v>89</v>
      </c>
      <c r="D24" s="58"/>
      <c r="E24" s="58" t="s">
        <v>124</v>
      </c>
      <c r="F24" s="59" t="s">
        <v>125</v>
      </c>
      <c r="G24" s="60" t="str">
        <f>IF(COUNTIFS($C$15:C24,C24,$H$15:H24,H24)=1,
SUMIFS($I$15:$I$46,$C$15:$C$46,C24,$H$15:$H$46,H24)&amp;H24&amp;" "&amp;C24,
"")</f>
        <v/>
      </c>
      <c r="H24" s="58" t="s">
        <v>16</v>
      </c>
      <c r="I24" s="61">
        <v>1</v>
      </c>
      <c r="J24" s="160"/>
      <c r="K24" s="158" t="str" cm="1">
        <f t="array" ref="K24">IF(E24="untrim",_xlfn.XLOOKUP(1,(TRIM('SIZE GUIDE'!$A$3:$A$2015)=TRIM(E24))*(TRIM('SIZE GUIDE'!$B$3:$B$2015)=TRIM(F24))*(TRIM('SIZE GUIDE'!$C$3:$C$2015)=TRIM(H24)),'SIZE GUIDE'!$D$3:$D$2015),"")</f>
        <v/>
      </c>
      <c r="L24" s="159" t="str" cm="1">
        <f t="array" ref="L24">IF(E24="untrim",IFERROR(INDEX('SIZE GUIDE'!$E:$E,MATCH(1,('SIZE GUIDE'!$A:$A=$E24)*('SIZE GUIDE'!$B:$B=$F24)*('SIZE GUIDE'!$C:$C=$H24),0)),""),"")</f>
        <v/>
      </c>
      <c r="M24" s="158"/>
      <c r="N24" s="65" cm="1">
        <f t="array" ref="N24">IF(E24="trim",_xlfn.XLOOKUP(1,(TRIM('SIZE GUIDE'!$A$3:$A$2015)=TRIM(E24))*(TRIM('SIZE GUIDE'!$B$3:$B$2015)=TRIM(F24))*(TRIM('SIZE GUIDE'!$C$3:$C$2015)=TRIM(H24)),'SIZE GUIDE'!$D$3:$D$2015),"")</f>
        <v>79</v>
      </c>
      <c r="O24" s="65" cm="1">
        <f t="array" ref="O24">IF(E24="trim",IFERROR(INDEX('SIZE GUIDE'!$E:$E,MATCH(1,('SIZE GUIDE'!$A:$A=$E24)*('SIZE GUIDE'!$B:$B=$F24)*('SIZE GUIDE'!$C:$C=$H24),0)),""),"")</f>
        <v>59</v>
      </c>
      <c r="P24" s="65">
        <v>38</v>
      </c>
      <c r="Q24" s="66">
        <f t="shared" si="0"/>
        <v>79</v>
      </c>
      <c r="R24" s="59">
        <f t="shared" si="1"/>
        <v>59</v>
      </c>
      <c r="S24" s="59">
        <f t="shared" si="2"/>
        <v>37.5</v>
      </c>
      <c r="T24" s="93">
        <f t="shared" si="3"/>
        <v>1213.8020833333333</v>
      </c>
      <c r="U24" s="99">
        <f>SUMIFS(CODE_PRICE!F:F,CODE_PRICE!B:B,'SIMON BEDDING-TR-W25-01'!C24,CODE_PRICE!A:A,'SIMON BEDDING-TR-W25-01'!$A$8)</f>
        <v>0.2586</v>
      </c>
      <c r="V24" s="95">
        <f t="shared" si="4"/>
        <v>313.88921875</v>
      </c>
      <c r="W24" s="102" t="str">
        <f>IF(COUNTIF($C$15:C24,C24)=1,C24 &amp; " - " &amp; TEXT(SUMIF($C:$C,C24,$T:$T),"0.00"),"")</f>
        <v/>
      </c>
      <c r="X24" s="103" t="str">
        <f>IF(COUNTIF($C$15:C24,C24)=1,ROUND(SUMIF($C:$C,C24,$V:$V),2), "")</f>
        <v/>
      </c>
    </row>
    <row r="25" spans="1:30" s="17" customFormat="1" ht="40.5" customHeight="1" x14ac:dyDescent="0.2">
      <c r="A25" s="57">
        <f t="shared" si="5"/>
        <v>11</v>
      </c>
      <c r="B25" s="57"/>
      <c r="C25" s="57" t="s">
        <v>89</v>
      </c>
      <c r="D25" s="58"/>
      <c r="E25" s="58" t="s">
        <v>124</v>
      </c>
      <c r="F25" s="59" t="s">
        <v>125</v>
      </c>
      <c r="G25" s="60" t="str">
        <f>IF(COUNTIFS($C$15:C25,C25,$H$15:H25,H25)=1,
SUMIFS($I$15:$I$46,$C$15:$C$46,C25,$H$15:$H$46,H25)&amp;H25&amp;" "&amp;C25,
"")</f>
        <v>4F CFN30100W</v>
      </c>
      <c r="H25" s="58" t="s">
        <v>14</v>
      </c>
      <c r="I25" s="61">
        <v>1</v>
      </c>
      <c r="J25" s="160"/>
      <c r="K25" s="158"/>
      <c r="L25" s="159"/>
      <c r="M25" s="158"/>
      <c r="N25" s="65" cm="1">
        <f t="array" ref="N25">IF(E25="trim",_xlfn.XLOOKUP(1,(TRIM('SIZE GUIDE'!$A$3:$A$2015)=TRIM(E25))*(TRIM('SIZE GUIDE'!$B$3:$B$2015)=TRIM(F25))*(TRIM('SIZE GUIDE'!$C$3:$C$2015)=TRIM(H25)),'SIZE GUIDE'!$D$3:$D$2015),"")</f>
        <v>74</v>
      </c>
      <c r="O25" s="65" cm="1">
        <f t="array" ref="O25">IF(E25="trim",IFERROR(INDEX('SIZE GUIDE'!$E:$E,MATCH(1,('SIZE GUIDE'!$A:$A=$E25)*('SIZE GUIDE'!$B:$B=$F25)*('SIZE GUIDE'!$C:$C=$H25),0)),""),"")</f>
        <v>52</v>
      </c>
      <c r="P25" s="65">
        <v>41</v>
      </c>
      <c r="Q25" s="66">
        <f t="shared" si="0"/>
        <v>74</v>
      </c>
      <c r="R25" s="59">
        <f t="shared" si="1"/>
        <v>52</v>
      </c>
      <c r="S25" s="59">
        <f t="shared" si="2"/>
        <v>40.5</v>
      </c>
      <c r="T25" s="93">
        <f t="shared" si="3"/>
        <v>1082.25</v>
      </c>
      <c r="U25" s="99">
        <f>SUMIFS(CODE_PRICE!F:F,CODE_PRICE!B:B,'SIMON BEDDING-TR-W25-01'!C25,CODE_PRICE!A:A,'SIMON BEDDING-TR-W25-01'!$A$8)</f>
        <v>0.2586</v>
      </c>
      <c r="V25" s="95">
        <f t="shared" si="4"/>
        <v>279.86984999999999</v>
      </c>
      <c r="W25" s="102"/>
      <c r="X25" s="103"/>
    </row>
    <row r="26" spans="1:30" s="17" customFormat="1" ht="40.5" customHeight="1" x14ac:dyDescent="0.2">
      <c r="A26" s="57">
        <f t="shared" si="5"/>
        <v>12</v>
      </c>
      <c r="B26" s="57"/>
      <c r="C26" s="57" t="s">
        <v>89</v>
      </c>
      <c r="D26" s="58"/>
      <c r="E26" s="58" t="s">
        <v>124</v>
      </c>
      <c r="F26" s="59" t="s">
        <v>125</v>
      </c>
      <c r="G26" s="60" t="str">
        <f>IF(COUNTIFS($C$15:C26,C26,$H$15:H26,H26)=1,
SUMIFS($I$15:$I$46,$C$15:$C$46,C26,$H$15:$H$46,H26)&amp;H26&amp;" "&amp;C26,
"")</f>
        <v/>
      </c>
      <c r="H26" s="58" t="s">
        <v>14</v>
      </c>
      <c r="I26" s="61">
        <v>1</v>
      </c>
      <c r="J26" s="160"/>
      <c r="K26" s="158"/>
      <c r="L26" s="159"/>
      <c r="M26" s="158"/>
      <c r="N26" s="65" cm="1">
        <f t="array" ref="N26">IF(E26="trim",_xlfn.XLOOKUP(1,(TRIM('SIZE GUIDE'!$A$3:$A$2015)=TRIM(E26))*(TRIM('SIZE GUIDE'!$B$3:$B$2015)=TRIM(F26))*(TRIM('SIZE GUIDE'!$C$3:$C$2015)=TRIM(H26)),'SIZE GUIDE'!$D$3:$D$2015),"")</f>
        <v>74</v>
      </c>
      <c r="O26" s="65" cm="1">
        <f t="array" ref="O26">IF(E26="trim",IFERROR(INDEX('SIZE GUIDE'!$E:$E,MATCH(1,('SIZE GUIDE'!$A:$A=$E26)*('SIZE GUIDE'!$B:$B=$F26)*('SIZE GUIDE'!$C:$C=$H26),0)),""),"")</f>
        <v>52</v>
      </c>
      <c r="P26" s="65">
        <v>41</v>
      </c>
      <c r="Q26" s="66">
        <f t="shared" si="0"/>
        <v>74</v>
      </c>
      <c r="R26" s="59">
        <f t="shared" si="1"/>
        <v>52</v>
      </c>
      <c r="S26" s="59">
        <f t="shared" si="2"/>
        <v>40.5</v>
      </c>
      <c r="T26" s="93">
        <f t="shared" si="3"/>
        <v>1082.25</v>
      </c>
      <c r="U26" s="99">
        <f>SUMIFS(CODE_PRICE!F:F,CODE_PRICE!B:B,'SIMON BEDDING-TR-W25-01'!C26,CODE_PRICE!A:A,'SIMON BEDDING-TR-W25-01'!$A$8)</f>
        <v>0.2586</v>
      </c>
      <c r="V26" s="95">
        <f t="shared" si="4"/>
        <v>279.86984999999999</v>
      </c>
      <c r="W26" s="102"/>
      <c r="X26" s="103"/>
    </row>
    <row r="27" spans="1:30" s="17" customFormat="1" ht="40.5" customHeight="1" x14ac:dyDescent="0.2">
      <c r="A27" s="57">
        <f t="shared" si="5"/>
        <v>13</v>
      </c>
      <c r="B27" s="57"/>
      <c r="C27" s="57" t="s">
        <v>89</v>
      </c>
      <c r="D27" s="58"/>
      <c r="E27" s="58" t="s">
        <v>124</v>
      </c>
      <c r="F27" s="59" t="s">
        <v>125</v>
      </c>
      <c r="G27" s="60" t="str">
        <f>IF(COUNTIFS($C$15:C27,C27,$H$15:H27,H27)=1,
SUMIFS($I$15:$I$46,$C$15:$C$46,C27,$H$15:$H$46,H27)&amp;H27&amp;" "&amp;C27,
"")</f>
        <v/>
      </c>
      <c r="H27" s="58" t="s">
        <v>14</v>
      </c>
      <c r="I27" s="61">
        <v>1</v>
      </c>
      <c r="J27" s="160"/>
      <c r="K27" s="158"/>
      <c r="L27" s="159"/>
      <c r="M27" s="158"/>
      <c r="N27" s="65" cm="1">
        <f t="array" ref="N27">IF(E27="trim",_xlfn.XLOOKUP(1,(TRIM('SIZE GUIDE'!$A$3:$A$2015)=TRIM(E27))*(TRIM('SIZE GUIDE'!$B$3:$B$2015)=TRIM(F27))*(TRIM('SIZE GUIDE'!$C$3:$C$2015)=TRIM(H27)),'SIZE GUIDE'!$D$3:$D$2015),"")</f>
        <v>74</v>
      </c>
      <c r="O27" s="65" cm="1">
        <f t="array" ref="O27">IF(E27="trim",IFERROR(INDEX('SIZE GUIDE'!$E:$E,MATCH(1,('SIZE GUIDE'!$A:$A=$E27)*('SIZE GUIDE'!$B:$B=$F27)*('SIZE GUIDE'!$C:$C=$H27),0)),""),"")</f>
        <v>52</v>
      </c>
      <c r="P27" s="65">
        <v>42</v>
      </c>
      <c r="Q27" s="66">
        <f t="shared" si="0"/>
        <v>74</v>
      </c>
      <c r="R27" s="59">
        <f t="shared" si="1"/>
        <v>52</v>
      </c>
      <c r="S27" s="59">
        <f t="shared" si="2"/>
        <v>41.5</v>
      </c>
      <c r="T27" s="93">
        <f t="shared" si="3"/>
        <v>1108.9722222222222</v>
      </c>
      <c r="U27" s="99">
        <f>SUMIFS(CODE_PRICE!F:F,CODE_PRICE!B:B,'SIMON BEDDING-TR-W25-01'!C27,CODE_PRICE!A:A,'SIMON BEDDING-TR-W25-01'!$A$8)</f>
        <v>0.2586</v>
      </c>
      <c r="V27" s="95">
        <f t="shared" si="4"/>
        <v>286.78021666666666</v>
      </c>
      <c r="W27" s="102"/>
      <c r="X27" s="103"/>
    </row>
    <row r="28" spans="1:30" s="17" customFormat="1" ht="40.5" customHeight="1" x14ac:dyDescent="0.2">
      <c r="A28" s="57">
        <f t="shared" si="5"/>
        <v>14</v>
      </c>
      <c r="B28" s="57"/>
      <c r="C28" s="57" t="s">
        <v>89</v>
      </c>
      <c r="D28" s="58"/>
      <c r="E28" s="58" t="s">
        <v>124</v>
      </c>
      <c r="F28" s="59" t="s">
        <v>125</v>
      </c>
      <c r="G28" s="60" t="str">
        <f>IF(COUNTIFS($C$15:C28,C28,$H$15:H28,H28)=1,
SUMIFS($I$15:$I$46,$C$15:$C$46,C28,$H$15:$H$46,H28)&amp;H28&amp;" "&amp;C28,
"")</f>
        <v/>
      </c>
      <c r="H28" s="58" t="s">
        <v>14</v>
      </c>
      <c r="I28" s="61">
        <v>1</v>
      </c>
      <c r="J28" s="160"/>
      <c r="K28" s="158" t="str" cm="1">
        <f t="array" ref="K28">IF(E28="untrim",_xlfn.XLOOKUP(1,(TRIM('SIZE GUIDE'!$A$3:$A$2015)=TRIM(E28))*(TRIM('SIZE GUIDE'!$B$3:$B$2015)=TRIM(F28))*(TRIM('SIZE GUIDE'!$C$3:$C$2015)=TRIM(H28)),'SIZE GUIDE'!$D$3:$D$2015),"")</f>
        <v/>
      </c>
      <c r="L28" s="159" t="str" cm="1">
        <f t="array" ref="L28">IF(E28="untrim",IFERROR(INDEX('SIZE GUIDE'!$E:$E,MATCH(1,('SIZE GUIDE'!$A:$A=$E28)*('SIZE GUIDE'!$B:$B=$F28)*('SIZE GUIDE'!$C:$C=$H28),0)),""),"")</f>
        <v/>
      </c>
      <c r="M28" s="158"/>
      <c r="N28" s="65" cm="1">
        <f t="array" ref="N28">IF(E28="trim",_xlfn.XLOOKUP(1,(TRIM('SIZE GUIDE'!$A$3:$A$2015)=TRIM(E28))*(TRIM('SIZE GUIDE'!$B$3:$B$2015)=TRIM(F28))*(TRIM('SIZE GUIDE'!$C$3:$C$2015)=TRIM(H28)),'SIZE GUIDE'!$D$3:$D$2015),"")</f>
        <v>74</v>
      </c>
      <c r="O28" s="65" cm="1">
        <f t="array" ref="O28">IF(E28="trim",IFERROR(INDEX('SIZE GUIDE'!$E:$E,MATCH(1,('SIZE GUIDE'!$A:$A=$E28)*('SIZE GUIDE'!$B:$B=$F28)*('SIZE GUIDE'!$C:$C=$H28),0)),""),"")</f>
        <v>52</v>
      </c>
      <c r="P28" s="65">
        <v>42</v>
      </c>
      <c r="Q28" s="66">
        <f t="shared" si="0"/>
        <v>74</v>
      </c>
      <c r="R28" s="59">
        <f t="shared" si="1"/>
        <v>52</v>
      </c>
      <c r="S28" s="59">
        <f t="shared" si="2"/>
        <v>41.5</v>
      </c>
      <c r="T28" s="93">
        <f t="shared" si="3"/>
        <v>1108.9722222222222</v>
      </c>
      <c r="U28" s="99">
        <f>SUMIFS(CODE_PRICE!F:F,CODE_PRICE!B:B,'SIMON BEDDING-TR-W25-01'!C28,CODE_PRICE!A:A,'SIMON BEDDING-TR-W25-01'!$A$8)</f>
        <v>0.2586</v>
      </c>
      <c r="V28" s="95">
        <f t="shared" si="4"/>
        <v>286.78021666666666</v>
      </c>
      <c r="W28" s="102" t="str">
        <f>IF(COUNTIF($C$15:C28,C28)=1,C28 &amp; " - " &amp; TEXT(SUMIF($C:$C,C28,$T:$T),"0.00"),"")</f>
        <v/>
      </c>
      <c r="X28" s="103" t="str">
        <f>IF(COUNTIF($C$15:C28,C28)=1,ROUND(SUMIF($C:$C,C28,$V:$V),2), "")</f>
        <v/>
      </c>
    </row>
    <row r="29" spans="1:30" s="17" customFormat="1" ht="40.5" customHeight="1" x14ac:dyDescent="0.2">
      <c r="A29" s="57">
        <f t="shared" si="5"/>
        <v>15</v>
      </c>
      <c r="B29" s="57"/>
      <c r="C29" s="57" t="s">
        <v>89</v>
      </c>
      <c r="D29" s="58"/>
      <c r="E29" s="58" t="s">
        <v>124</v>
      </c>
      <c r="F29" s="59" t="s">
        <v>125</v>
      </c>
      <c r="G29" s="60" t="str">
        <f>IF(COUNTIFS($C$15:C29,C29,$H$15:H29,H29)=1,
SUMIFS($I$15:$I$46,$C$15:$C$46,C29,$H$15:$H$46,H29)&amp;H29&amp;" "&amp;C29,
"")</f>
        <v>6T CFN30100W</v>
      </c>
      <c r="H29" s="58" t="s">
        <v>12</v>
      </c>
      <c r="I29" s="61">
        <v>1</v>
      </c>
      <c r="J29" s="160"/>
      <c r="K29" s="158" t="str" cm="1">
        <f t="array" ref="K29">IF(E29="untrim",_xlfn.XLOOKUP(1,(TRIM('SIZE GUIDE'!$A$3:$A$2015)=TRIM(E29))*(TRIM('SIZE GUIDE'!$B$3:$B$2015)=TRIM(F29))*(TRIM('SIZE GUIDE'!$C$3:$C$2015)=TRIM(H29)),'SIZE GUIDE'!$D$3:$D$2015),"")</f>
        <v/>
      </c>
      <c r="L29" s="159" t="str" cm="1">
        <f t="array" ref="L29">IF(E29="untrim",IFERROR(INDEX('SIZE GUIDE'!$E:$E,MATCH(1,('SIZE GUIDE'!$A:$A=$E29)*('SIZE GUIDE'!$B:$B=$F29)*('SIZE GUIDE'!$C:$C=$H29),0)),""),"")</f>
        <v/>
      </c>
      <c r="M29" s="158"/>
      <c r="N29" s="65" cm="1">
        <f t="array" ref="N29">IF(E29="trim",_xlfn.XLOOKUP(1,(TRIM('SIZE GUIDE'!$A$3:$A$2015)=TRIM(E29))*(TRIM('SIZE GUIDE'!$B$3:$B$2015)=TRIM(F29))*(TRIM('SIZE GUIDE'!$C$3:$C$2015)=TRIM(H29)),'SIZE GUIDE'!$D$3:$D$2015),"")</f>
        <v>74</v>
      </c>
      <c r="O29" s="65" cm="1">
        <f t="array" ref="O29">IF(E29="trim",IFERROR(INDEX('SIZE GUIDE'!$E:$E,MATCH(1,('SIZE GUIDE'!$A:$A=$E29)*('SIZE GUIDE'!$B:$B=$F29)*('SIZE GUIDE'!$C:$C=$H29),0)),""),"")</f>
        <v>37</v>
      </c>
      <c r="P29" s="65">
        <v>43</v>
      </c>
      <c r="Q29" s="66">
        <f t="shared" si="0"/>
        <v>74</v>
      </c>
      <c r="R29" s="59">
        <f t="shared" si="1"/>
        <v>37</v>
      </c>
      <c r="S29" s="59">
        <f t="shared" si="2"/>
        <v>42.5</v>
      </c>
      <c r="T29" s="93">
        <f t="shared" si="3"/>
        <v>808.09027777777783</v>
      </c>
      <c r="U29" s="99">
        <f>SUMIFS(CODE_PRICE!F:F,CODE_PRICE!B:B,'SIMON BEDDING-TR-W25-01'!C29,CODE_PRICE!A:A,'SIMON BEDDING-TR-W25-01'!$A$8)</f>
        <v>0.2586</v>
      </c>
      <c r="V29" s="95">
        <f t="shared" si="4"/>
        <v>208.97214583333334</v>
      </c>
      <c r="W29" s="102" t="str">
        <f>IF(COUNTIF($C$15:C29,C29)=1,C29 &amp; " - " &amp; TEXT(SUMIF($C:$C,C29,$T:$T),"0.00"),"")</f>
        <v/>
      </c>
      <c r="X29" s="103" t="str">
        <f>IF(COUNTIF($C$15:C29,C29)=1,ROUND(SUMIF($C:$C,C29,$V:$V),2), "")</f>
        <v/>
      </c>
    </row>
    <row r="30" spans="1:30" s="17" customFormat="1" ht="40.5" customHeight="1" x14ac:dyDescent="0.2">
      <c r="A30" s="57">
        <f t="shared" si="5"/>
        <v>16</v>
      </c>
      <c r="B30" s="57"/>
      <c r="C30" s="57" t="s">
        <v>89</v>
      </c>
      <c r="D30" s="58"/>
      <c r="E30" s="58" t="s">
        <v>124</v>
      </c>
      <c r="F30" s="59" t="s">
        <v>125</v>
      </c>
      <c r="G30" s="60" t="str">
        <f>IF(COUNTIFS($C$15:C30,C30,$H$15:H30,H30)=1,
SUMIFS($I$15:$I$46,$C$15:$C$46,C30,$H$15:$H$46,H30)&amp;H30&amp;" "&amp;C30,
"")</f>
        <v/>
      </c>
      <c r="H30" s="58" t="s">
        <v>12</v>
      </c>
      <c r="I30" s="61">
        <v>1</v>
      </c>
      <c r="J30" s="160"/>
      <c r="K30" s="158" t="str" cm="1">
        <f t="array" ref="K30">IF(E30="untrim",_xlfn.XLOOKUP(1,(TRIM('SIZE GUIDE'!$A$3:$A$2015)=TRIM(E30))*(TRIM('SIZE GUIDE'!$B$3:$B$2015)=TRIM(F30))*(TRIM('SIZE GUIDE'!$C$3:$C$2015)=TRIM(H30)),'SIZE GUIDE'!$D$3:$D$2015),"")</f>
        <v/>
      </c>
      <c r="L30" s="159" t="str" cm="1">
        <f t="array" ref="L30">IF(E30="untrim",IFERROR(INDEX('SIZE GUIDE'!$E:$E,MATCH(1,('SIZE GUIDE'!$A:$A=$E30)*('SIZE GUIDE'!$B:$B=$F30)*('SIZE GUIDE'!$C:$C=$H30),0)),""),"")</f>
        <v/>
      </c>
      <c r="M30" s="158"/>
      <c r="N30" s="65" cm="1">
        <f t="array" ref="N30">IF(E30="trim",_xlfn.XLOOKUP(1,(TRIM('SIZE GUIDE'!$A$3:$A$2015)=TRIM(E30))*(TRIM('SIZE GUIDE'!$B$3:$B$2015)=TRIM(F30))*(TRIM('SIZE GUIDE'!$C$3:$C$2015)=TRIM(H30)),'SIZE GUIDE'!$D$3:$D$2015),"")</f>
        <v>74</v>
      </c>
      <c r="O30" s="65" cm="1">
        <f t="array" ref="O30">IF(E30="trim",IFERROR(INDEX('SIZE GUIDE'!$E:$E,MATCH(1,('SIZE GUIDE'!$A:$A=$E30)*('SIZE GUIDE'!$B:$B=$F30)*('SIZE GUIDE'!$C:$C=$H30),0)),""),"")</f>
        <v>37</v>
      </c>
      <c r="P30" s="65">
        <v>42.5</v>
      </c>
      <c r="Q30" s="66">
        <f t="shared" si="0"/>
        <v>74</v>
      </c>
      <c r="R30" s="59">
        <f t="shared" si="1"/>
        <v>37</v>
      </c>
      <c r="S30" s="59">
        <f t="shared" si="2"/>
        <v>42</v>
      </c>
      <c r="T30" s="93">
        <f t="shared" si="3"/>
        <v>798.58333333333337</v>
      </c>
      <c r="U30" s="99">
        <f>SUMIFS(CODE_PRICE!F:F,CODE_PRICE!B:B,'SIMON BEDDING-TR-W25-01'!C30,CODE_PRICE!A:A,'SIMON BEDDING-TR-W25-01'!$A$8)</f>
        <v>0.2586</v>
      </c>
      <c r="V30" s="95">
        <f t="shared" si="4"/>
        <v>206.51365000000001</v>
      </c>
      <c r="W30" s="102" t="str">
        <f>IF(COUNTIF($C$15:C30,C30)=1,C30 &amp; " - " &amp; TEXT(SUMIF($C:$C,C30,$T:$T),"0.00"),"")</f>
        <v/>
      </c>
      <c r="X30" s="103" t="str">
        <f>IF(COUNTIF($C$15:C30,C30)=1,ROUND(SUMIF($C:$C,C30,$V:$V),2), "")</f>
        <v/>
      </c>
    </row>
    <row r="31" spans="1:30" s="17" customFormat="1" ht="40.5" customHeight="1" x14ac:dyDescent="0.2">
      <c r="A31" s="57">
        <f>A29+1</f>
        <v>16</v>
      </c>
      <c r="B31" s="57"/>
      <c r="C31" s="57" t="s">
        <v>89</v>
      </c>
      <c r="D31" s="58"/>
      <c r="E31" s="58" t="s">
        <v>124</v>
      </c>
      <c r="F31" s="59" t="s">
        <v>125</v>
      </c>
      <c r="G31" s="60" t="str">
        <f>IF(COUNTIFS($C$15:C31,C31,$H$15:H31,H31)=1,
SUMIFS($I$15:$I$46,$C$15:$C$46,C31,$H$15:$H$46,H31)&amp;H31&amp;" "&amp;C31,
"")</f>
        <v/>
      </c>
      <c r="H31" s="58" t="s">
        <v>12</v>
      </c>
      <c r="I31" s="61">
        <v>1</v>
      </c>
      <c r="J31" s="160"/>
      <c r="K31" s="158" t="str" cm="1">
        <f t="array" ref="K31">IF(E31="untrim",_xlfn.XLOOKUP(1,(TRIM('SIZE GUIDE'!$A$3:$A$2015)=TRIM(E31))*(TRIM('SIZE GUIDE'!$B$3:$B$2015)=TRIM(F31))*(TRIM('SIZE GUIDE'!$C$3:$C$2015)=TRIM(H31)),'SIZE GUIDE'!$D$3:$D$2015),"")</f>
        <v/>
      </c>
      <c r="L31" s="159" t="str" cm="1">
        <f t="array" ref="L31">IF(E31="untrim",IFERROR(INDEX('SIZE GUIDE'!$E:$E,MATCH(1,('SIZE GUIDE'!$A:$A=$E31)*('SIZE GUIDE'!$B:$B=$F31)*('SIZE GUIDE'!$C:$C=$H31),0)),""),"")</f>
        <v/>
      </c>
      <c r="M31" s="158"/>
      <c r="N31" s="65" cm="1">
        <f t="array" ref="N31">IF(E31="trim",_xlfn.XLOOKUP(1,(TRIM('SIZE GUIDE'!$A$3:$A$2015)=TRIM(E31))*(TRIM('SIZE GUIDE'!$B$3:$B$2015)=TRIM(F31))*(TRIM('SIZE GUIDE'!$C$3:$C$2015)=TRIM(H31)),'SIZE GUIDE'!$D$3:$D$2015),"")</f>
        <v>74</v>
      </c>
      <c r="O31" s="65" cm="1">
        <f t="array" ref="O31">IF(E31="trim",IFERROR(INDEX('SIZE GUIDE'!$E:$E,MATCH(1,('SIZE GUIDE'!$A:$A=$E31)*('SIZE GUIDE'!$B:$B=$F31)*('SIZE GUIDE'!$C:$C=$H31),0)),""),"")</f>
        <v>37</v>
      </c>
      <c r="P31" s="65">
        <v>41.5</v>
      </c>
      <c r="Q31" s="66">
        <f t="shared" si="0"/>
        <v>74</v>
      </c>
      <c r="R31" s="59">
        <f t="shared" si="1"/>
        <v>37</v>
      </c>
      <c r="S31" s="59">
        <f t="shared" si="2"/>
        <v>41</v>
      </c>
      <c r="T31" s="93">
        <f t="shared" si="3"/>
        <v>779.56944444444446</v>
      </c>
      <c r="U31" s="99">
        <f>SUMIFS(CODE_PRICE!F:F,CODE_PRICE!B:B,'SIMON BEDDING-TR-W25-01'!C31,CODE_PRICE!A:A,'SIMON BEDDING-TR-W25-01'!$A$8)</f>
        <v>0.2586</v>
      </c>
      <c r="V31" s="95">
        <f t="shared" si="4"/>
        <v>201.59665833333332</v>
      </c>
      <c r="W31" s="102" t="str">
        <f>IF(COUNTIF($C$15:C31,C31)=1,C31 &amp; " - " &amp; TEXT(SUMIF($C:$C,C31,$T:$T),"0.00"),"")</f>
        <v/>
      </c>
      <c r="X31" s="103" t="str">
        <f>IF(COUNTIF($C$15:C31,C31)=1,ROUND(SUMIF($C:$C,C31,$V:$V),2), "")</f>
        <v/>
      </c>
    </row>
    <row r="32" spans="1:30" s="17" customFormat="1" ht="40.5" customHeight="1" x14ac:dyDescent="0.2">
      <c r="A32" s="57">
        <f>A31+1</f>
        <v>17</v>
      </c>
      <c r="B32" s="57"/>
      <c r="C32" s="57" t="s">
        <v>89</v>
      </c>
      <c r="D32" s="58"/>
      <c r="E32" s="58" t="s">
        <v>124</v>
      </c>
      <c r="F32" s="59" t="s">
        <v>125</v>
      </c>
      <c r="G32" s="60" t="str">
        <f>IF(COUNTIFS($C$15:C32,C32,$H$15:H32,H32)=1,
SUMIFS($I$15:$I$46,$C$15:$C$46,C32,$H$15:$H$46,H32)&amp;H32&amp;" "&amp;C32,
"")</f>
        <v/>
      </c>
      <c r="H32" s="58" t="s">
        <v>12</v>
      </c>
      <c r="I32" s="61">
        <v>1</v>
      </c>
      <c r="J32" s="160"/>
      <c r="K32" s="158" t="str" cm="1">
        <f t="array" ref="K32">IF(E32="untrim",_xlfn.XLOOKUP(1,(TRIM('SIZE GUIDE'!$A$3:$A$2015)=TRIM(E32))*(TRIM('SIZE GUIDE'!$B$3:$B$2015)=TRIM(F32))*(TRIM('SIZE GUIDE'!$C$3:$C$2015)=TRIM(H32)),'SIZE GUIDE'!$D$3:$D$2015),"")</f>
        <v/>
      </c>
      <c r="L32" s="159" t="str" cm="1">
        <f t="array" ref="L32">IF(E32="untrim",IFERROR(INDEX('SIZE GUIDE'!$E:$E,MATCH(1,('SIZE GUIDE'!$A:$A=$E32)*('SIZE GUIDE'!$B:$B=$F32)*('SIZE GUIDE'!$C:$C=$H32),0)),""),"")</f>
        <v/>
      </c>
      <c r="M32" s="158"/>
      <c r="N32" s="65" cm="1">
        <f t="array" ref="N32">IF(E32="trim",_xlfn.XLOOKUP(1,(TRIM('SIZE GUIDE'!$A$3:$A$2015)=TRIM(E32))*(TRIM('SIZE GUIDE'!$B$3:$B$2015)=TRIM(F32))*(TRIM('SIZE GUIDE'!$C$3:$C$2015)=TRIM(H32)),'SIZE GUIDE'!$D$3:$D$2015),"")</f>
        <v>74</v>
      </c>
      <c r="O32" s="65" cm="1">
        <f t="array" ref="O32">IF(E32="trim",IFERROR(INDEX('SIZE GUIDE'!$E:$E,MATCH(1,('SIZE GUIDE'!$A:$A=$E32)*('SIZE GUIDE'!$B:$B=$F32)*('SIZE GUIDE'!$C:$C=$H32),0)),""),"")</f>
        <v>37</v>
      </c>
      <c r="P32" s="65">
        <v>42</v>
      </c>
      <c r="Q32" s="66">
        <f t="shared" si="0"/>
        <v>74</v>
      </c>
      <c r="R32" s="59">
        <f t="shared" si="1"/>
        <v>37</v>
      </c>
      <c r="S32" s="59">
        <f t="shared" si="2"/>
        <v>41.5</v>
      </c>
      <c r="T32" s="93">
        <f t="shared" si="3"/>
        <v>789.07638888888891</v>
      </c>
      <c r="U32" s="99">
        <f>SUMIFS(CODE_PRICE!F:F,CODE_PRICE!B:B,'SIMON BEDDING-TR-W25-01'!C32,CODE_PRICE!A:A,'SIMON BEDDING-TR-W25-01'!$A$8)</f>
        <v>0.2586</v>
      </c>
      <c r="V32" s="95">
        <f t="shared" si="4"/>
        <v>204.05515416666668</v>
      </c>
      <c r="W32" s="102" t="str">
        <f>IF(COUNTIF($C$15:C32,C32)=1,C32 &amp; " - " &amp; TEXT(SUMIF($C:$C,C32,$T:$T),"0.00"),"")</f>
        <v/>
      </c>
      <c r="X32" s="103"/>
    </row>
    <row r="33" spans="1:24" s="17" customFormat="1" ht="40.5" customHeight="1" x14ac:dyDescent="0.2">
      <c r="A33" s="57">
        <f>A32+1</f>
        <v>18</v>
      </c>
      <c r="B33" s="57"/>
      <c r="C33" s="57" t="s">
        <v>89</v>
      </c>
      <c r="D33" s="58"/>
      <c r="E33" s="58" t="s">
        <v>124</v>
      </c>
      <c r="F33" s="59" t="s">
        <v>125</v>
      </c>
      <c r="G33" s="60" t="str">
        <f>IF(COUNTIFS($C$15:C33,C33,$H$15:H33,H33)=1,
SUMIFS($I$15:$I$46,$C$15:$C$46,C33,$H$15:$H$46,H33)&amp;H33&amp;" "&amp;C33,
"")</f>
        <v/>
      </c>
      <c r="H33" s="58" t="s">
        <v>12</v>
      </c>
      <c r="I33" s="61">
        <v>1</v>
      </c>
      <c r="J33" s="160"/>
      <c r="K33" s="158" t="str" cm="1">
        <f t="array" ref="K33">IF(E33="untrim",_xlfn.XLOOKUP(1,(TRIM('SIZE GUIDE'!$A$3:$A$2015)=TRIM(E33))*(TRIM('SIZE GUIDE'!$B$3:$B$2015)=TRIM(F33))*(TRIM('SIZE GUIDE'!$C$3:$C$2015)=TRIM(H33)),'SIZE GUIDE'!$D$3:$D$2015),"")</f>
        <v/>
      </c>
      <c r="L33" s="159" t="str" cm="1">
        <f t="array" ref="L33">IF(E33="untrim",IFERROR(INDEX('SIZE GUIDE'!$E:$E,MATCH(1,('SIZE GUIDE'!$A:$A=$E33)*('SIZE GUIDE'!$B:$B=$F33)*('SIZE GUIDE'!$C:$C=$H33),0)),""),"")</f>
        <v/>
      </c>
      <c r="M33" s="158"/>
      <c r="N33" s="65" cm="1">
        <f t="array" ref="N33">IF(E33="trim",_xlfn.XLOOKUP(1,(TRIM('SIZE GUIDE'!$A$3:$A$2015)=TRIM(E33))*(TRIM('SIZE GUIDE'!$B$3:$B$2015)=TRIM(F33))*(TRIM('SIZE GUIDE'!$C$3:$C$2015)=TRIM(H33)),'SIZE GUIDE'!$D$3:$D$2015),"")</f>
        <v>74</v>
      </c>
      <c r="O33" s="65" cm="1">
        <f t="array" ref="O33">IF(E33="trim",IFERROR(INDEX('SIZE GUIDE'!$E:$E,MATCH(1,('SIZE GUIDE'!$A:$A=$E33)*('SIZE GUIDE'!$B:$B=$F33)*('SIZE GUIDE'!$C:$C=$H33),0)),""),"")</f>
        <v>37</v>
      </c>
      <c r="P33" s="65">
        <v>41</v>
      </c>
      <c r="Q33" s="66">
        <f t="shared" si="0"/>
        <v>74</v>
      </c>
      <c r="R33" s="59">
        <f t="shared" si="1"/>
        <v>37</v>
      </c>
      <c r="S33" s="59">
        <f t="shared" si="2"/>
        <v>40.5</v>
      </c>
      <c r="T33" s="93">
        <f t="shared" si="3"/>
        <v>770.0625</v>
      </c>
      <c r="U33" s="99">
        <f>SUMIFS(CODE_PRICE!F:F,CODE_PRICE!B:B,'SIMON BEDDING-TR-W25-01'!C33,CODE_PRICE!A:A,'SIMON BEDDING-TR-W25-01'!$A$8)</f>
        <v>0.2586</v>
      </c>
      <c r="V33" s="95">
        <f t="shared" si="4"/>
        <v>199.13816249999999</v>
      </c>
      <c r="W33" s="102" t="str">
        <f>IF(COUNTIF($C$15:C33,C33)=1,C33 &amp; " - " &amp; TEXT(SUMIF($C:$C,C33,$T:$T),"0.00"),"")</f>
        <v/>
      </c>
      <c r="X33" s="103"/>
    </row>
    <row r="34" spans="1:24" s="17" customFormat="1" ht="40.5" customHeight="1" x14ac:dyDescent="0.2">
      <c r="A34" s="57">
        <f>A33+1</f>
        <v>19</v>
      </c>
      <c r="B34" s="57"/>
      <c r="C34" s="57" t="s">
        <v>89</v>
      </c>
      <c r="D34" s="58"/>
      <c r="E34" s="58" t="s">
        <v>124</v>
      </c>
      <c r="F34" s="59" t="s">
        <v>125</v>
      </c>
      <c r="G34" s="60" t="str">
        <f>IF(COUNTIFS($C$15:C34,C34,$H$15:H34,H34)=1,
SUMIFS($I$15:$I$46,$C$15:$C$46,C34,$H$15:$H$46,H34)&amp;H34&amp;" "&amp;C34,
"")</f>
        <v/>
      </c>
      <c r="H34" s="58" t="s">
        <v>12</v>
      </c>
      <c r="I34" s="61">
        <v>1</v>
      </c>
      <c r="J34" s="160"/>
      <c r="K34" s="158" t="str" cm="1">
        <f t="array" ref="K34">IF(E34="untrim",_xlfn.XLOOKUP(1,(TRIM('SIZE GUIDE'!$A$3:$A$2015)=TRIM(E34))*(TRIM('SIZE GUIDE'!$B$3:$B$2015)=TRIM(F34))*(TRIM('SIZE GUIDE'!$C$3:$C$2015)=TRIM(H34)),'SIZE GUIDE'!$D$3:$D$2015),"")</f>
        <v/>
      </c>
      <c r="L34" s="159" t="str" cm="1">
        <f t="array" ref="L34">IF(E34="untrim",IFERROR(INDEX('SIZE GUIDE'!$E:$E,MATCH(1,('SIZE GUIDE'!$A:$A=$E34)*('SIZE GUIDE'!$B:$B=$F34)*('SIZE GUIDE'!$C:$C=$H34),0)),""),"")</f>
        <v/>
      </c>
      <c r="M34" s="158"/>
      <c r="N34" s="65" cm="1">
        <f t="array" ref="N34">IF(E34="trim",_xlfn.XLOOKUP(1,(TRIM('SIZE GUIDE'!$A$3:$A$2015)=TRIM(E34))*(TRIM('SIZE GUIDE'!$B$3:$B$2015)=TRIM(F34))*(TRIM('SIZE GUIDE'!$C$3:$C$2015)=TRIM(H34)),'SIZE GUIDE'!$D$3:$D$2015),"")</f>
        <v>74</v>
      </c>
      <c r="O34" s="65" cm="1">
        <f t="array" ref="O34">IF(E34="trim",IFERROR(INDEX('SIZE GUIDE'!$E:$E,MATCH(1,('SIZE GUIDE'!$A:$A=$E34)*('SIZE GUIDE'!$B:$B=$F34)*('SIZE GUIDE'!$C:$C=$H34),0)),""),"")</f>
        <v>37</v>
      </c>
      <c r="P34" s="65">
        <v>39</v>
      </c>
      <c r="Q34" s="66">
        <f t="shared" si="0"/>
        <v>74</v>
      </c>
      <c r="R34" s="59">
        <f t="shared" si="1"/>
        <v>37</v>
      </c>
      <c r="S34" s="59">
        <f t="shared" si="2"/>
        <v>38.5</v>
      </c>
      <c r="T34" s="93">
        <f t="shared" si="3"/>
        <v>732.03472222222217</v>
      </c>
      <c r="U34" s="99">
        <f>SUMIFS(CODE_PRICE!F:F,CODE_PRICE!B:B,'SIMON BEDDING-TR-W25-01'!C34,CODE_PRICE!A:A,'SIMON BEDDING-TR-W25-01'!$A$8)</f>
        <v>0.2586</v>
      </c>
      <c r="V34" s="95">
        <f t="shared" si="4"/>
        <v>189.30417916666664</v>
      </c>
      <c r="W34" s="102" t="str">
        <f>IF(COUNTIF($C$15:C34,C34)=1,C34 &amp; " - " &amp; TEXT(SUMIF($C:$C,C34,$T:$T),"0.00"),"")</f>
        <v/>
      </c>
      <c r="X34" s="103" t="str">
        <f>IF(COUNTIF($C$15:C34,C34)=1,ROUND(SUMIF($C:$C,C34,$V:$V),2), "")</f>
        <v/>
      </c>
    </row>
    <row r="35" spans="1:24" s="17" customFormat="1" ht="40.5" hidden="1" customHeight="1" x14ac:dyDescent="0.2">
      <c r="A35" s="57"/>
      <c r="B35" s="57"/>
      <c r="C35" s="57"/>
      <c r="D35" s="58"/>
      <c r="E35" s="58"/>
      <c r="F35" s="59"/>
      <c r="G35" s="60"/>
      <c r="H35" s="58"/>
      <c r="I35" s="61"/>
      <c r="J35" s="160"/>
      <c r="K35" s="158"/>
      <c r="L35" s="159"/>
      <c r="M35" s="158"/>
      <c r="N35" s="65"/>
      <c r="O35" s="65"/>
      <c r="P35" s="65"/>
      <c r="Q35" s="66"/>
      <c r="R35" s="59"/>
      <c r="S35" s="59"/>
      <c r="T35" s="93"/>
      <c r="U35" s="99"/>
      <c r="V35" s="95"/>
      <c r="W35" s="102"/>
      <c r="X35" s="103"/>
    </row>
    <row r="36" spans="1:24" s="17" customFormat="1" ht="40.5" hidden="1" customHeight="1" x14ac:dyDescent="0.2">
      <c r="A36" s="57"/>
      <c r="B36" s="57"/>
      <c r="C36" s="57"/>
      <c r="D36" s="58"/>
      <c r="E36" s="58"/>
      <c r="F36" s="59"/>
      <c r="G36" s="60"/>
      <c r="H36" s="58"/>
      <c r="I36" s="61"/>
      <c r="J36" s="160"/>
      <c r="K36" s="158"/>
      <c r="L36" s="159"/>
      <c r="M36" s="158"/>
      <c r="N36" s="65"/>
      <c r="O36" s="65"/>
      <c r="P36" s="65"/>
      <c r="Q36" s="66"/>
      <c r="R36" s="59"/>
      <c r="S36" s="59"/>
      <c r="T36" s="93"/>
      <c r="U36" s="99"/>
      <c r="V36" s="95"/>
      <c r="W36" s="18"/>
      <c r="X36" s="103" t="str">
        <f>IF(COUNTIF($C$15:C36,C36)=1,ROUND(SUMIF($C:$C,C36,$V:$V),2), "")</f>
        <v/>
      </c>
    </row>
    <row r="37" spans="1:24" s="17" customFormat="1" ht="40.5" hidden="1" customHeight="1" x14ac:dyDescent="0.2">
      <c r="A37" s="57"/>
      <c r="B37" s="57"/>
      <c r="C37" s="57"/>
      <c r="D37" s="58"/>
      <c r="E37" s="58"/>
      <c r="F37" s="59"/>
      <c r="G37" s="60"/>
      <c r="H37" s="58"/>
      <c r="I37" s="61"/>
      <c r="J37" s="160"/>
      <c r="K37" s="158"/>
      <c r="L37" s="159"/>
      <c r="M37" s="158"/>
      <c r="N37" s="65"/>
      <c r="O37" s="65"/>
      <c r="P37" s="65"/>
      <c r="Q37" s="66"/>
      <c r="R37" s="59"/>
      <c r="S37" s="59"/>
      <c r="T37" s="93"/>
      <c r="U37" s="99"/>
      <c r="V37" s="95"/>
      <c r="W37" s="18"/>
      <c r="X37" s="103"/>
    </row>
    <row r="38" spans="1:24" s="17" customFormat="1" ht="40.5" hidden="1" customHeight="1" x14ac:dyDescent="0.2">
      <c r="A38" s="57"/>
      <c r="B38" s="57"/>
      <c r="C38" s="57"/>
      <c r="D38" s="58"/>
      <c r="E38" s="58"/>
      <c r="F38" s="59"/>
      <c r="G38" s="60"/>
      <c r="H38" s="58"/>
      <c r="I38" s="61"/>
      <c r="J38" s="160"/>
      <c r="K38" s="158"/>
      <c r="L38" s="159"/>
      <c r="M38" s="158"/>
      <c r="N38" s="65"/>
      <c r="O38" s="65"/>
      <c r="P38" s="65"/>
      <c r="Q38" s="66"/>
      <c r="R38" s="59"/>
      <c r="S38" s="59"/>
      <c r="T38" s="93"/>
      <c r="U38" s="99"/>
      <c r="V38" s="95"/>
      <c r="W38" s="18"/>
      <c r="X38" s="103"/>
    </row>
    <row r="39" spans="1:24" s="17" customFormat="1" ht="40.5" hidden="1" customHeight="1" x14ac:dyDescent="0.2">
      <c r="A39" s="57"/>
      <c r="B39" s="57"/>
      <c r="C39" s="57"/>
      <c r="D39" s="58"/>
      <c r="E39" s="58"/>
      <c r="F39" s="59"/>
      <c r="G39" s="60"/>
      <c r="H39" s="58"/>
      <c r="I39" s="61"/>
      <c r="J39" s="160"/>
      <c r="K39" s="158"/>
      <c r="L39" s="159"/>
      <c r="M39" s="158"/>
      <c r="N39" s="65"/>
      <c r="O39" s="65"/>
      <c r="P39" s="65"/>
      <c r="Q39" s="66"/>
      <c r="R39" s="59"/>
      <c r="S39" s="59"/>
      <c r="T39" s="93"/>
      <c r="U39" s="99"/>
      <c r="V39" s="95"/>
      <c r="W39" s="18"/>
      <c r="X39" s="103"/>
    </row>
    <row r="40" spans="1:24" s="17" customFormat="1" ht="40.5" hidden="1" customHeight="1" x14ac:dyDescent="0.2">
      <c r="A40" s="57"/>
      <c r="B40" s="57"/>
      <c r="C40" s="57"/>
      <c r="D40" s="58"/>
      <c r="E40" s="58"/>
      <c r="F40" s="59"/>
      <c r="G40" s="60"/>
      <c r="H40" s="58"/>
      <c r="I40" s="61"/>
      <c r="J40" s="62"/>
      <c r="K40" s="63"/>
      <c r="L40" s="64"/>
      <c r="M40" s="63"/>
      <c r="N40" s="65"/>
      <c r="O40" s="65"/>
      <c r="P40" s="65"/>
      <c r="Q40" s="66"/>
      <c r="R40" s="59"/>
      <c r="S40" s="59"/>
      <c r="T40" s="93"/>
      <c r="U40" s="99"/>
      <c r="V40" s="95"/>
      <c r="W40" s="18"/>
      <c r="X40" s="103"/>
    </row>
    <row r="41" spans="1:24" s="17" customFormat="1" ht="40.5" hidden="1" customHeight="1" x14ac:dyDescent="0.2">
      <c r="A41" s="57"/>
      <c r="B41" s="57"/>
      <c r="C41" s="57"/>
      <c r="D41" s="58"/>
      <c r="E41" s="58"/>
      <c r="F41" s="59"/>
      <c r="G41" s="60"/>
      <c r="H41" s="58"/>
      <c r="I41" s="61"/>
      <c r="J41" s="62"/>
      <c r="K41" s="63"/>
      <c r="L41" s="64"/>
      <c r="M41" s="63"/>
      <c r="N41" s="65"/>
      <c r="O41" s="65"/>
      <c r="P41" s="65"/>
      <c r="Q41" s="66"/>
      <c r="R41" s="59"/>
      <c r="S41" s="59"/>
      <c r="T41" s="93"/>
      <c r="U41" s="99"/>
      <c r="V41" s="95"/>
      <c r="W41" s="18"/>
      <c r="X41" s="103"/>
    </row>
    <row r="42" spans="1:24" s="17" customFormat="1" ht="40.5" hidden="1" customHeight="1" x14ac:dyDescent="0.2">
      <c r="A42" s="57"/>
      <c r="B42" s="57"/>
      <c r="C42" s="57"/>
      <c r="D42" s="58"/>
      <c r="E42" s="58"/>
      <c r="F42" s="59"/>
      <c r="G42" s="60"/>
      <c r="H42" s="58"/>
      <c r="I42" s="61"/>
      <c r="J42" s="62"/>
      <c r="K42" s="63"/>
      <c r="L42" s="64"/>
      <c r="M42" s="63"/>
      <c r="N42" s="65"/>
      <c r="O42" s="65"/>
      <c r="P42" s="65"/>
      <c r="Q42" s="66"/>
      <c r="R42" s="59"/>
      <c r="S42" s="59"/>
      <c r="T42" s="93"/>
      <c r="U42" s="99"/>
      <c r="V42" s="95"/>
      <c r="W42" s="18"/>
      <c r="X42" s="103"/>
    </row>
    <row r="43" spans="1:24" s="17" customFormat="1" ht="40.5" hidden="1" customHeight="1" x14ac:dyDescent="0.2">
      <c r="A43" s="57"/>
      <c r="B43" s="57"/>
      <c r="C43" s="57"/>
      <c r="D43" s="58"/>
      <c r="E43" s="58"/>
      <c r="F43" s="59"/>
      <c r="G43" s="60"/>
      <c r="H43" s="58"/>
      <c r="I43" s="61"/>
      <c r="J43" s="62"/>
      <c r="K43" s="63"/>
      <c r="L43" s="64"/>
      <c r="M43" s="63"/>
      <c r="N43" s="65"/>
      <c r="O43" s="65"/>
      <c r="P43" s="65"/>
      <c r="Q43" s="66"/>
      <c r="R43" s="59"/>
      <c r="S43" s="59"/>
      <c r="T43" s="93"/>
      <c r="U43" s="94"/>
      <c r="V43" s="95"/>
      <c r="W43" s="18"/>
      <c r="X43" s="103"/>
    </row>
    <row r="44" spans="1:24" s="17" customFormat="1" ht="40.5" hidden="1" customHeight="1" x14ac:dyDescent="0.2">
      <c r="A44" s="57"/>
      <c r="B44" s="57"/>
      <c r="C44" s="57"/>
      <c r="D44" s="58"/>
      <c r="E44" s="58"/>
      <c r="F44" s="59"/>
      <c r="G44" s="60"/>
      <c r="H44" s="58"/>
      <c r="I44" s="61"/>
      <c r="J44" s="62"/>
      <c r="K44" s="63"/>
      <c r="L44" s="64"/>
      <c r="M44" s="63"/>
      <c r="N44" s="65"/>
      <c r="O44" s="65"/>
      <c r="P44" s="65"/>
      <c r="Q44" s="66"/>
      <c r="R44" s="59"/>
      <c r="S44" s="59"/>
      <c r="T44" s="93"/>
      <c r="U44" s="94"/>
      <c r="V44" s="95"/>
      <c r="W44" s="18"/>
      <c r="X44" s="103"/>
    </row>
    <row r="45" spans="1:24" s="17" customFormat="1" ht="40.5" hidden="1" customHeight="1" x14ac:dyDescent="0.2">
      <c r="A45" s="57"/>
      <c r="B45" s="57"/>
      <c r="C45" s="57"/>
      <c r="D45" s="58"/>
      <c r="E45" s="58"/>
      <c r="F45" s="59"/>
      <c r="G45" s="60"/>
      <c r="H45" s="58"/>
      <c r="I45" s="61"/>
      <c r="J45" s="62"/>
      <c r="K45" s="63"/>
      <c r="L45" s="64"/>
      <c r="M45" s="63"/>
      <c r="N45" s="65"/>
      <c r="O45" s="65"/>
      <c r="P45" s="65"/>
      <c r="Q45" s="66"/>
      <c r="R45" s="59"/>
      <c r="S45" s="59"/>
      <c r="T45" s="93"/>
      <c r="U45" s="94"/>
      <c r="V45" s="95"/>
      <c r="W45" s="18"/>
      <c r="X45" s="103"/>
    </row>
    <row r="46" spans="1:24" s="17" customFormat="1" ht="40.5" hidden="1" customHeight="1" x14ac:dyDescent="0.2">
      <c r="A46" s="57"/>
      <c r="B46" s="57"/>
      <c r="C46" s="57"/>
      <c r="D46" s="58"/>
      <c r="E46" s="58"/>
      <c r="F46" s="59"/>
      <c r="G46" s="60"/>
      <c r="H46" s="58"/>
      <c r="I46" s="61"/>
      <c r="J46" s="62"/>
      <c r="K46" s="63"/>
      <c r="L46" s="64"/>
      <c r="M46" s="63"/>
      <c r="N46" s="65"/>
      <c r="O46" s="65"/>
      <c r="P46" s="65"/>
      <c r="Q46" s="66"/>
      <c r="R46" s="59"/>
      <c r="S46" s="59"/>
      <c r="T46" s="93"/>
      <c r="U46" s="94"/>
      <c r="V46" s="95"/>
      <c r="W46" s="18"/>
      <c r="X46" s="103"/>
    </row>
    <row r="47" spans="1:24" s="17" customFormat="1" ht="49.5" customHeight="1" x14ac:dyDescent="0.2">
      <c r="A47" s="53"/>
      <c r="B47" s="53"/>
      <c r="C47" s="53"/>
      <c r="D47" s="53"/>
      <c r="E47" s="54"/>
      <c r="F47" s="53"/>
      <c r="G47" s="53"/>
      <c r="H47" s="123" t="s">
        <v>155</v>
      </c>
      <c r="I47" s="124">
        <f>SUM(I13:I46)</f>
        <v>20</v>
      </c>
      <c r="J47" s="55"/>
      <c r="K47" s="55"/>
      <c r="L47" s="55"/>
      <c r="M47" s="55"/>
      <c r="N47" s="56"/>
      <c r="O47" s="56"/>
      <c r="P47" s="56"/>
      <c r="Q47" s="54"/>
      <c r="R47" s="54"/>
      <c r="S47" s="54"/>
      <c r="T47" s="90">
        <f>SUM(T13:T46)</f>
        <v>23920.090277777785</v>
      </c>
      <c r="U47" s="91"/>
      <c r="V47" s="92">
        <f>SUM(V13:V46)</f>
        <v>6185.7353458333337</v>
      </c>
      <c r="W47" s="91"/>
      <c r="X47" s="91"/>
    </row>
    <row r="48" spans="1:24" s="17" customFormat="1" ht="40.5" customHeight="1" x14ac:dyDescent="0.2">
      <c r="A48" s="57"/>
      <c r="B48" s="57"/>
      <c r="C48" s="57"/>
      <c r="D48" s="58"/>
      <c r="E48" s="58"/>
      <c r="F48" s="59"/>
      <c r="G48" s="60"/>
      <c r="H48" s="125" t="s">
        <v>156</v>
      </c>
      <c r="I48" s="126"/>
      <c r="J48" s="127"/>
      <c r="K48" s="66"/>
      <c r="L48" s="128"/>
      <c r="M48" s="66"/>
      <c r="N48" s="66"/>
      <c r="O48" s="66"/>
      <c r="P48" s="66"/>
      <c r="Q48" s="94"/>
      <c r="R48" s="94"/>
      <c r="S48" s="94"/>
      <c r="T48" s="93"/>
      <c r="U48" s="94"/>
      <c r="V48" s="95"/>
      <c r="W48" s="19"/>
      <c r="X48" s="175"/>
    </row>
    <row r="49" spans="1:24" s="17" customFormat="1" ht="49.5" customHeight="1" x14ac:dyDescent="0.2">
      <c r="A49" s="53"/>
      <c r="B49" s="53"/>
      <c r="C49" s="53"/>
      <c r="D49" s="54"/>
      <c r="E49" s="54"/>
      <c r="F49" s="54"/>
      <c r="G49" s="54"/>
      <c r="H49" s="123" t="s">
        <v>162</v>
      </c>
      <c r="I49" s="124">
        <f>SUM(I15:I46)</f>
        <v>20</v>
      </c>
      <c r="J49" s="55"/>
      <c r="K49" s="55"/>
      <c r="L49" s="55"/>
      <c r="M49" s="55"/>
      <c r="N49" s="56"/>
      <c r="O49" s="56"/>
      <c r="P49" s="56"/>
      <c r="Q49" s="54"/>
      <c r="R49" s="54"/>
      <c r="S49" s="54"/>
      <c r="T49" s="90">
        <f>SUM(T15:T46)</f>
        <v>23920.090277777785</v>
      </c>
      <c r="U49" s="91"/>
      <c r="V49" s="92">
        <f>+V47+V48</f>
        <v>6185.7353458333337</v>
      </c>
      <c r="W49" s="91"/>
      <c r="X49" s="91"/>
    </row>
    <row r="50" spans="1:24" ht="15" customHeight="1" x14ac:dyDescent="0.25">
      <c r="A50" s="48"/>
      <c r="B50" s="48"/>
      <c r="C50" s="48"/>
      <c r="D50" s="48"/>
      <c r="E50" s="48"/>
      <c r="F50" s="84"/>
      <c r="G50" s="48"/>
      <c r="H50" s="85"/>
      <c r="I50" s="85"/>
      <c r="J50" s="8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89"/>
    </row>
    <row r="51" spans="1:24" ht="15" customHeight="1" x14ac:dyDescent="0.25">
      <c r="A51" s="48" t="s">
        <v>218</v>
      </c>
      <c r="B51" s="48"/>
      <c r="C51" s="48"/>
      <c r="D51" s="48"/>
      <c r="E51" s="48"/>
      <c r="F51" s="84"/>
      <c r="G51" s="48"/>
      <c r="H51" s="85"/>
      <c r="I51" s="85"/>
      <c r="J51" s="8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89"/>
    </row>
    <row r="52" spans="1:24" ht="15" customHeight="1" x14ac:dyDescent="0.25">
      <c r="A52" s="48"/>
      <c r="B52" s="48"/>
      <c r="C52" s="48"/>
      <c r="D52" s="48"/>
      <c r="E52" s="48"/>
      <c r="F52" s="84"/>
      <c r="G52" s="48"/>
      <c r="H52" s="85"/>
      <c r="I52" s="85"/>
      <c r="J52" s="8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89"/>
    </row>
    <row r="53" spans="1:24" ht="15" customHeight="1" x14ac:dyDescent="0.25">
      <c r="A53" s="48" t="s">
        <v>219</v>
      </c>
      <c r="B53" s="48"/>
      <c r="C53" s="48"/>
      <c r="D53" s="48"/>
      <c r="E53" s="48"/>
      <c r="F53" s="84"/>
      <c r="G53" s="48"/>
      <c r="H53" s="85"/>
      <c r="I53" s="85"/>
      <c r="J53" s="8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4" ht="15" customHeight="1" x14ac:dyDescent="0.25">
      <c r="A54" s="48"/>
      <c r="B54" s="48"/>
      <c r="C54" s="48"/>
      <c r="D54" s="48"/>
      <c r="E54" s="48"/>
      <c r="F54" s="84"/>
      <c r="G54" s="48"/>
      <c r="H54" s="85"/>
      <c r="I54" s="85"/>
      <c r="J54" s="8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4" ht="15" customHeight="1" x14ac:dyDescent="0.25">
      <c r="A55" s="48"/>
      <c r="B55" s="48"/>
      <c r="C55" s="48"/>
      <c r="D55" s="48"/>
      <c r="E55" s="48"/>
      <c r="F55" s="84"/>
      <c r="G55" s="48"/>
      <c r="H55" s="85"/>
      <c r="I55" s="85"/>
      <c r="J55" s="8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4" ht="15" customHeight="1" x14ac:dyDescent="0.25">
      <c r="A56" s="86"/>
      <c r="B56" s="318"/>
      <c r="C56" s="318"/>
      <c r="D56" s="318"/>
      <c r="E56" s="318"/>
      <c r="F56" s="318"/>
      <c r="G56" s="318"/>
      <c r="H56" s="318"/>
      <c r="I56" s="318"/>
      <c r="J56" s="318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89"/>
    </row>
    <row r="57" spans="1:24" ht="15" customHeight="1" x14ac:dyDescent="0.25">
      <c r="A57" s="86"/>
      <c r="B57" s="319"/>
      <c r="C57" s="319"/>
      <c r="D57" s="319"/>
      <c r="E57" s="319"/>
      <c r="F57" s="319"/>
      <c r="G57" s="319"/>
      <c r="H57" s="319"/>
      <c r="I57" s="319"/>
      <c r="J57" s="319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89"/>
    </row>
  </sheetData>
  <mergeCells count="5">
    <mergeCell ref="A7:E7"/>
    <mergeCell ref="F7:G7"/>
    <mergeCell ref="R9:S9"/>
    <mergeCell ref="B56:J56"/>
    <mergeCell ref="B57:J57"/>
  </mergeCells>
  <pageMargins left="0" right="0" top="1" bottom="0" header="0.511811023622047" footer="0.511811023622047"/>
  <pageSetup paperSize="9" scale="44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colBreaks count="2" manualBreakCount="2">
    <brk id="4" max="1048575" man="1"/>
    <brk id="6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xr:uid="{FE3DB45F-0C42-4FB1-AEA9-B08DAC118F4F}">
          <x14:formula1>
            <xm:f>LISTS!$B$2:$B$8</xm:f>
          </x14:formula1>
          <x14:formula2>
            <xm:f>0</xm:f>
          </x14:formula2>
          <xm:sqref>H15:H49</xm:sqref>
        </x14:dataValidation>
        <x14:dataValidation type="list" allowBlank="1" xr:uid="{8465B503-5675-4F04-BB44-4DF441E6745C}">
          <x14:formula1>
            <xm:f>'SIZE GUIDE'!$A$3:$A$38</xm:f>
          </x14:formula1>
          <xm:sqref>E15:E49</xm:sqref>
        </x14:dataValidation>
        <x14:dataValidation type="list" errorStyle="information" allowBlank="1" showInputMessage="1" xr:uid="{52D03915-EFD2-4301-9E21-71144EEE2841}">
          <x14:formula1>
            <xm:f>CODE_MASTER_AS!$A$3:$A$14</xm:f>
          </x14:formula1>
          <xm:sqref>C48:C49 F47:G47 C15:C46</xm:sqref>
        </x14:dataValidation>
        <x14:dataValidation type="list" allowBlank="1" showInputMessage="1" showErrorMessage="1" xr:uid="{91EBE051-9B01-43B4-ABA3-90604119BD39}">
          <x14:formula1>
            <xm:f>'SIZE GUIDE'!$B:$B</xm:f>
          </x14:formula1>
          <xm:sqref>G47 F15:F49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AAAB-6816-45D9-8125-035F5A419A4B}">
  <sheetPr codeName="Sheet11">
    <pageSetUpPr fitToPage="1"/>
  </sheetPr>
  <dimension ref="A1:AC60"/>
  <sheetViews>
    <sheetView showGridLines="0" view="pageBreakPreview" topLeftCell="A12" zoomScale="89" zoomScaleNormal="68" zoomScaleSheetLayoutView="89" workbookViewId="0">
      <selection activeCell="V24" sqref="V24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6.5" style="16" customWidth="1"/>
    <col min="4" max="4" width="13.83203125" style="16" customWidth="1"/>
    <col min="5" max="5" width="15.1640625" style="16" customWidth="1"/>
    <col min="6" max="6" width="10.5" style="16" customWidth="1"/>
    <col min="7" max="7" width="13.6640625" style="16" hidden="1" customWidth="1"/>
    <col min="8" max="8" width="18.5" style="16" customWidth="1"/>
    <col min="9" max="10" width="8" style="16" customWidth="1"/>
    <col min="11" max="17" width="10.6640625" style="16" hidden="1" customWidth="1"/>
    <col min="18" max="20" width="8.1640625" style="16" customWidth="1"/>
    <col min="21" max="22" width="12.5" style="16" customWidth="1"/>
    <col min="23" max="23" width="13.1640625" style="98" customWidth="1"/>
    <col min="24" max="24" width="47" style="16" customWidth="1"/>
    <col min="25" max="25" width="15.33203125" style="23" hidden="1" customWidth="1"/>
    <col min="26" max="16384" width="8.6640625" style="16"/>
  </cols>
  <sheetData>
    <row r="1" spans="1:29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13"/>
      <c r="K1" s="29"/>
      <c r="L1" s="29"/>
      <c r="M1" s="29"/>
      <c r="N1" s="29"/>
      <c r="O1" s="27"/>
      <c r="P1" s="27"/>
      <c r="Q1" s="27"/>
      <c r="R1" s="13"/>
      <c r="S1" s="13"/>
      <c r="T1" s="13"/>
      <c r="U1" s="13"/>
      <c r="V1" s="13"/>
      <c r="W1" s="22"/>
      <c r="X1" s="13"/>
      <c r="Y1" s="22"/>
    </row>
    <row r="2" spans="1:29" s="14" customFormat="1" ht="33.75" customHeight="1" x14ac:dyDescent="0.2">
      <c r="A2" s="13"/>
      <c r="B2" s="13"/>
      <c r="C2" s="13"/>
      <c r="D2" s="13"/>
      <c r="E2" s="13"/>
      <c r="F2" s="13"/>
      <c r="G2" s="13"/>
      <c r="K2" s="30"/>
      <c r="L2" s="31"/>
      <c r="M2" s="29"/>
      <c r="N2" s="32" t="s">
        <v>161</v>
      </c>
      <c r="O2" s="27"/>
      <c r="P2" s="27"/>
      <c r="Q2" s="28" t="s">
        <v>160</v>
      </c>
      <c r="S2" s="20"/>
      <c r="T2" s="21"/>
      <c r="V2" s="13"/>
      <c r="X2" s="20" t="s">
        <v>151</v>
      </c>
      <c r="Y2" s="22"/>
    </row>
    <row r="3" spans="1:29" ht="15" customHeight="1" x14ac:dyDescent="0.25">
      <c r="A3" s="33" t="s">
        <v>144</v>
      </c>
      <c r="B3" s="34"/>
      <c r="C3" s="35"/>
      <c r="D3" s="35"/>
      <c r="E3" s="35"/>
      <c r="F3" s="35"/>
      <c r="G3" s="36"/>
      <c r="H3" s="35"/>
      <c r="I3" s="35"/>
      <c r="J3" s="35"/>
      <c r="K3" s="37"/>
      <c r="L3" s="37"/>
      <c r="M3" s="37"/>
      <c r="N3" s="37"/>
      <c r="O3" s="38"/>
      <c r="P3" s="38"/>
      <c r="Q3" s="38"/>
      <c r="R3" s="39"/>
      <c r="S3" s="39"/>
      <c r="T3" s="39"/>
      <c r="U3" s="35"/>
      <c r="V3" s="36"/>
      <c r="W3" s="39"/>
      <c r="X3" s="13"/>
      <c r="Y3" s="22"/>
    </row>
    <row r="4" spans="1:29" ht="21" customHeight="1" x14ac:dyDescent="0.25">
      <c r="A4" s="33" t="s">
        <v>145</v>
      </c>
      <c r="B4" s="34"/>
      <c r="C4" s="40"/>
      <c r="D4" s="40"/>
      <c r="E4" s="35"/>
      <c r="F4" s="35"/>
      <c r="G4" s="36"/>
      <c r="H4" s="35"/>
      <c r="I4" s="35"/>
      <c r="J4" s="35"/>
      <c r="K4" s="37"/>
      <c r="L4" s="37"/>
      <c r="M4" s="37"/>
      <c r="N4" s="37"/>
      <c r="O4" s="38"/>
      <c r="P4" s="38"/>
      <c r="Q4" s="38"/>
      <c r="R4" s="39"/>
      <c r="S4" s="39"/>
      <c r="T4" s="39"/>
      <c r="U4" s="35"/>
      <c r="V4" s="36"/>
      <c r="W4" s="39"/>
      <c r="X4" s="13"/>
      <c r="Y4" s="22"/>
    </row>
    <row r="5" spans="1:29" ht="21" customHeight="1" x14ac:dyDescent="0.25">
      <c r="A5" s="33" t="s">
        <v>146</v>
      </c>
      <c r="B5" s="34"/>
      <c r="C5" s="34"/>
      <c r="D5" s="34"/>
      <c r="E5" s="35"/>
      <c r="F5" s="35"/>
      <c r="G5" s="36"/>
      <c r="H5" s="35"/>
      <c r="I5" s="35"/>
      <c r="J5" s="35"/>
      <c r="K5" s="37"/>
      <c r="L5" s="37"/>
      <c r="M5" s="37"/>
      <c r="N5" s="37"/>
      <c r="O5" s="38"/>
      <c r="P5" s="38"/>
      <c r="Q5" s="38"/>
      <c r="R5" s="39"/>
      <c r="S5" s="39"/>
      <c r="T5" s="39"/>
      <c r="U5" s="35"/>
      <c r="V5" s="36"/>
      <c r="W5" s="39"/>
      <c r="X5" s="13"/>
      <c r="Y5" s="22"/>
    </row>
    <row r="6" spans="1:29" ht="21" customHeight="1" x14ac:dyDescent="0.25">
      <c r="A6" s="41"/>
      <c r="B6" s="34"/>
      <c r="C6" s="34"/>
      <c r="D6" s="34"/>
      <c r="E6" s="35"/>
      <c r="F6" s="35"/>
      <c r="G6" s="36"/>
      <c r="H6" s="35"/>
      <c r="I6" s="35"/>
      <c r="J6" s="35"/>
      <c r="K6" s="37"/>
      <c r="L6" s="37"/>
      <c r="M6" s="37"/>
      <c r="N6" s="37"/>
      <c r="O6" s="38"/>
      <c r="P6" s="38"/>
      <c r="Q6" s="38"/>
      <c r="R6" s="39"/>
      <c r="S6" s="39"/>
      <c r="T6" s="39"/>
      <c r="U6" s="35"/>
      <c r="V6" s="36"/>
      <c r="W6" s="39"/>
      <c r="X6" s="13"/>
      <c r="Y6" s="22"/>
    </row>
    <row r="7" spans="1:29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16"/>
      <c r="I7" s="35"/>
      <c r="J7" s="35"/>
      <c r="K7" s="37"/>
      <c r="L7" s="37"/>
      <c r="M7" s="37"/>
      <c r="N7" s="37"/>
      <c r="O7" s="38"/>
      <c r="P7" s="38"/>
      <c r="Q7" s="38"/>
      <c r="R7" s="43" t="s">
        <v>147</v>
      </c>
      <c r="S7" s="43"/>
      <c r="T7" s="43"/>
      <c r="U7" s="43"/>
      <c r="V7" s="43"/>
      <c r="W7" s="43" t="s">
        <v>148</v>
      </c>
      <c r="X7" s="43"/>
      <c r="Y7" s="43"/>
    </row>
    <row r="8" spans="1:29" ht="15" customHeight="1" x14ac:dyDescent="0.25">
      <c r="A8" s="44" t="s">
        <v>103</v>
      </c>
      <c r="B8" s="45"/>
      <c r="C8" s="45"/>
      <c r="D8" s="45"/>
      <c r="E8" s="46"/>
      <c r="F8" s="46"/>
      <c r="G8" s="36"/>
      <c r="H8" s="46"/>
      <c r="I8" s="35"/>
      <c r="J8" s="35"/>
      <c r="K8" s="37"/>
      <c r="L8" s="37"/>
      <c r="M8" s="37"/>
      <c r="N8" s="37"/>
      <c r="O8" s="38"/>
      <c r="P8" s="38"/>
      <c r="Q8" s="38"/>
      <c r="R8" s="105" t="s">
        <v>268</v>
      </c>
      <c r="S8" s="87"/>
      <c r="T8" s="106"/>
      <c r="U8" s="46"/>
      <c r="V8" s="107"/>
      <c r="W8" s="108">
        <v>46196</v>
      </c>
      <c r="X8" s="13"/>
      <c r="Y8" s="22"/>
    </row>
    <row r="9" spans="1:29" ht="15" customHeight="1" x14ac:dyDescent="0.25">
      <c r="A9" s="46"/>
      <c r="B9" s="45"/>
      <c r="C9" s="46"/>
      <c r="D9" s="46"/>
      <c r="E9" s="35"/>
      <c r="F9" s="46"/>
      <c r="G9" s="36"/>
      <c r="H9" s="46"/>
      <c r="I9" s="35"/>
      <c r="J9" s="35"/>
      <c r="K9" s="37"/>
      <c r="L9" s="37"/>
      <c r="M9" s="37"/>
      <c r="N9" s="37"/>
      <c r="O9" s="38"/>
      <c r="P9" s="38"/>
      <c r="Q9" s="38"/>
      <c r="R9" s="86"/>
      <c r="S9" s="320"/>
      <c r="T9" s="320"/>
      <c r="U9" s="46"/>
      <c r="V9" s="107"/>
      <c r="W9" s="33"/>
      <c r="X9" s="13"/>
      <c r="Y9" s="22"/>
    </row>
    <row r="10" spans="1:29" ht="15" customHeight="1" x14ac:dyDescent="0.25">
      <c r="A10" s="46"/>
      <c r="B10" s="45"/>
      <c r="C10" s="46"/>
      <c r="D10" s="46"/>
      <c r="E10" s="35"/>
      <c r="F10" s="46"/>
      <c r="G10" s="36"/>
      <c r="H10" s="46"/>
      <c r="I10" s="35"/>
      <c r="J10" s="35"/>
      <c r="K10" s="37"/>
      <c r="L10" s="37"/>
      <c r="M10" s="37"/>
      <c r="N10" s="37"/>
      <c r="O10" s="38"/>
      <c r="P10" s="38"/>
      <c r="Q10" s="38"/>
      <c r="R10" s="42" t="s">
        <v>149</v>
      </c>
      <c r="S10" s="43"/>
      <c r="T10" s="43"/>
      <c r="U10" s="43"/>
      <c r="V10" s="43"/>
      <c r="W10" s="43" t="s">
        <v>150</v>
      </c>
      <c r="X10" s="43"/>
      <c r="Y10" s="43"/>
    </row>
    <row r="11" spans="1:29" ht="15" customHeight="1" x14ac:dyDescent="0.25">
      <c r="A11" s="46"/>
      <c r="B11" s="34"/>
      <c r="C11" s="35"/>
      <c r="D11" s="35"/>
      <c r="E11" s="35"/>
      <c r="F11" s="46"/>
      <c r="G11" s="46"/>
      <c r="H11" s="46"/>
      <c r="I11" s="35"/>
      <c r="J11" s="35"/>
      <c r="K11" s="37"/>
      <c r="L11" s="37"/>
      <c r="M11" s="37"/>
      <c r="N11" s="37"/>
      <c r="O11" s="38"/>
      <c r="P11" s="38"/>
      <c r="Q11" s="38"/>
      <c r="R11" s="105" t="s">
        <v>264</v>
      </c>
      <c r="S11" s="86"/>
      <c r="T11" s="86"/>
      <c r="U11" s="46"/>
      <c r="V11" s="107"/>
      <c r="W11" s="86"/>
      <c r="X11" s="13"/>
      <c r="Y11" s="22"/>
    </row>
    <row r="12" spans="1:29" ht="15" customHeight="1" x14ac:dyDescent="0.25">
      <c r="A12" s="189" t="s">
        <v>231</v>
      </c>
      <c r="B12" s="34"/>
      <c r="C12" s="35"/>
      <c r="D12" s="35"/>
      <c r="E12" s="35"/>
      <c r="F12" s="46"/>
      <c r="G12" s="46"/>
      <c r="H12" s="46"/>
      <c r="I12" s="35"/>
      <c r="J12" s="35"/>
      <c r="K12" s="37"/>
      <c r="L12" s="37"/>
      <c r="M12" s="37"/>
      <c r="N12" s="37"/>
      <c r="O12" s="38"/>
      <c r="P12" s="38"/>
      <c r="Q12" s="38"/>
      <c r="R12" s="105"/>
      <c r="S12" s="48"/>
      <c r="T12" s="86"/>
      <c r="U12" s="46"/>
      <c r="V12" s="107"/>
      <c r="W12" s="86"/>
      <c r="X12" s="13"/>
      <c r="Y12" s="22"/>
    </row>
    <row r="13" spans="1:29" ht="15" customHeight="1" x14ac:dyDescent="0.25">
      <c r="A13" s="188" t="s">
        <v>246</v>
      </c>
      <c r="B13" s="34"/>
      <c r="C13" s="35"/>
      <c r="D13" s="35"/>
      <c r="E13" s="35"/>
      <c r="F13" s="46"/>
      <c r="G13" s="46"/>
      <c r="H13" s="46"/>
      <c r="I13" s="35"/>
      <c r="J13" s="35"/>
      <c r="K13" s="37"/>
      <c r="L13" s="37"/>
      <c r="M13" s="37"/>
      <c r="N13" s="37"/>
      <c r="O13" s="38"/>
      <c r="P13" s="38"/>
      <c r="Q13" s="38"/>
      <c r="R13" s="105"/>
      <c r="S13" s="35"/>
      <c r="T13" s="48"/>
      <c r="U13" s="48"/>
      <c r="V13" s="47"/>
      <c r="W13" s="49"/>
      <c r="X13" s="13"/>
      <c r="Y13" s="22"/>
    </row>
    <row r="14" spans="1:29" ht="15" customHeight="1" x14ac:dyDescent="0.25">
      <c r="A14" s="46"/>
      <c r="B14" s="34"/>
      <c r="C14" s="35"/>
      <c r="D14" s="35"/>
      <c r="E14" s="35"/>
      <c r="F14" s="46"/>
      <c r="G14" s="46"/>
      <c r="H14" s="46"/>
      <c r="I14" s="35"/>
      <c r="J14" s="35"/>
      <c r="K14" s="37"/>
      <c r="L14" s="37"/>
      <c r="M14" s="37"/>
      <c r="N14" s="37"/>
      <c r="O14" s="38"/>
      <c r="P14" s="38"/>
      <c r="Q14" s="38"/>
      <c r="R14" s="48"/>
      <c r="S14" s="48"/>
      <c r="T14" s="48"/>
      <c r="U14" s="48"/>
      <c r="V14" s="47"/>
      <c r="W14" s="49"/>
      <c r="X14" s="13"/>
      <c r="Y14" s="22"/>
    </row>
    <row r="15" spans="1:29" ht="15" hidden="1" customHeight="1" x14ac:dyDescent="0.25">
      <c r="A15" s="35"/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50"/>
      <c r="M15" s="50" t="s">
        <v>137</v>
      </c>
      <c r="N15" s="50"/>
      <c r="O15" s="51"/>
      <c r="P15" s="51" t="s">
        <v>138</v>
      </c>
      <c r="Q15" s="51"/>
      <c r="R15" s="52"/>
      <c r="S15" s="52" t="s">
        <v>134</v>
      </c>
      <c r="T15" s="52"/>
      <c r="U15" s="35"/>
      <c r="V15" s="35"/>
      <c r="W15" s="89"/>
      <c r="X15" s="16" t="s">
        <v>142</v>
      </c>
    </row>
    <row r="16" spans="1:29" s="17" customFormat="1" ht="41.25" customHeight="1" x14ac:dyDescent="0.2">
      <c r="A16" s="53" t="s">
        <v>158</v>
      </c>
      <c r="B16" s="53" t="s">
        <v>0</v>
      </c>
      <c r="C16" s="53" t="s">
        <v>1</v>
      </c>
      <c r="D16" s="54" t="s">
        <v>217</v>
      </c>
      <c r="E16" s="54" t="s">
        <v>135</v>
      </c>
      <c r="F16" s="54" t="s">
        <v>157</v>
      </c>
      <c r="G16" s="54" t="s">
        <v>3</v>
      </c>
      <c r="H16" s="54" t="s">
        <v>152</v>
      </c>
      <c r="I16" s="54" t="s">
        <v>105</v>
      </c>
      <c r="J16" s="54" t="s">
        <v>5</v>
      </c>
      <c r="K16" s="55" t="s">
        <v>64</v>
      </c>
      <c r="L16" s="55" t="s">
        <v>136</v>
      </c>
      <c r="M16" s="55" t="s">
        <v>24</v>
      </c>
      <c r="N16" s="55" t="s">
        <v>108</v>
      </c>
      <c r="O16" s="56" t="s">
        <v>136</v>
      </c>
      <c r="P16" s="56" t="s">
        <v>24</v>
      </c>
      <c r="Q16" s="56" t="s">
        <v>108</v>
      </c>
      <c r="R16" s="54" t="s">
        <v>136</v>
      </c>
      <c r="S16" s="54" t="s">
        <v>24</v>
      </c>
      <c r="T16" s="54" t="s">
        <v>108</v>
      </c>
      <c r="U16" s="131" t="s">
        <v>159</v>
      </c>
      <c r="V16" s="91" t="s">
        <v>6</v>
      </c>
      <c r="W16" s="92" t="s">
        <v>7</v>
      </c>
      <c r="X16" s="53" t="s">
        <v>214</v>
      </c>
      <c r="Y16" s="53" t="s">
        <v>141</v>
      </c>
      <c r="AC16" s="16"/>
    </row>
    <row r="17" spans="1:26" s="17" customFormat="1" ht="36" customHeight="1" x14ac:dyDescent="0.2">
      <c r="A17" s="57">
        <v>1</v>
      </c>
      <c r="B17" s="57" t="str" cm="1">
        <f t="array" ref="B17">_xlfn.LET(_xlpm.r,_xlfn.XLOOKUP(1,
(TRIM(CODE_PRICE!$A$4:$A$2003)=TRIM($C$4))*
(TRIM(CODE_PRICE!$B$4:$B$2003)=TRIM(C17)),
CODE_PRICE!$C$4:$C$2003,
""),
IF(OR(_xlpm.r="",_xlpm.r=0),"",_xlpm.r))</f>
        <v/>
      </c>
      <c r="C17" s="57" t="s">
        <v>99</v>
      </c>
      <c r="D17" s="57" t="str" cm="1">
        <f t="array" ref="D17">IFERROR(
_xlfn.XLOOKUP(1,
(CODE_PRICE!$A$3:$A$1003=$A$8)*
(CODE_PRICE!$B$3:$B$1003=C17),
CODE_PRICE!$C$3:$C$1003
),
"")</f>
        <v>FM1515</v>
      </c>
      <c r="E17" s="57" t="s">
        <v>264</v>
      </c>
      <c r="F17" s="58" t="s">
        <v>11</v>
      </c>
      <c r="G17" s="59" t="s">
        <v>123</v>
      </c>
      <c r="H17" s="60" t="str">
        <f>IF(COUNTIFS($C$17:C17,C17,$I$17:I17,I17)=1,
SUMIFS($J$17:$J$49,$C$17:$C$49,C17,$I$17:$I$49,I17)&amp;I17&amp;" "&amp;C17,
"")</f>
        <v>7S CFN17138W</v>
      </c>
      <c r="I17" s="58" t="s">
        <v>22</v>
      </c>
      <c r="J17" s="61">
        <v>1</v>
      </c>
      <c r="K17" s="62"/>
      <c r="L17" s="63">
        <v>108</v>
      </c>
      <c r="M17" s="257">
        <v>81</v>
      </c>
      <c r="N17" s="64">
        <v>39</v>
      </c>
      <c r="O17" s="65"/>
      <c r="P17" s="65" t="str" cm="1">
        <f t="array" ref="P17">IF(F17="trim",IFERROR(INDEX('SIZE GUIDE'!$E:$E,MATCH(1,('SIZE GUIDE'!$A:$A=$F17)*('SIZE GUIDE'!$B:$B=$G17)*('SIZE GUIDE'!$C:$C=$I17),0)),""),"")</f>
        <v/>
      </c>
      <c r="Q17" s="65"/>
      <c r="R17" s="59">
        <v>107</v>
      </c>
      <c r="S17" s="59">
        <f t="shared" ref="S17:S26" si="0">M17</f>
        <v>81</v>
      </c>
      <c r="T17" s="258">
        <f t="shared" ref="T17:T26" si="1">IF(F17="untrim",N17-0.5,Q17-0.5)</f>
        <v>38.5</v>
      </c>
      <c r="U17" s="93">
        <f t="shared" ref="U17:U26" si="2">IFERROR(R17*S17*T17/144*J17,"")</f>
        <v>2317.21875</v>
      </c>
      <c r="V17" s="99">
        <f>SUMIFS(CODE_PRICE!F:F,CODE_PRICE!B:B,'DICKSON-W26_01'!C17,CODE_PRICE!A:A,'DICKSON-W26_01'!$A$8)</f>
        <v>0.28249999999999997</v>
      </c>
      <c r="W17" s="95">
        <f>U17*V17</f>
        <v>654.61429687499992</v>
      </c>
      <c r="X17" s="244" t="str">
        <f>IF(OR(E17="",C17=""),"",IF(COUNTIFS($E$17:E17,E17,$C$17:C17,C17)=1,E17&amp;" - "&amp;C17&amp;" - "&amp;SUMIFS($J$17:$J$5002,$E$17:$E$5002,E17,$C$17:$C$5002,C17)&amp;I17&amp;" - "&amp;TEXT(SUMIFS($U$17:$U$5002,$E$17:$E$5002,E17,$C$17:$C$5002,C17),"0.00")&amp;" Bf",""))</f>
        <v>11-73000 - CFN17138W - 7S - 16220.53 Bf</v>
      </c>
      <c r="Y17" s="103">
        <f>IF(COUNTIF($C$17:C17,C17)=1,ROUND(SUMIF($C:$C,C17,$W:$W),2), "")</f>
        <v>4582.3</v>
      </c>
      <c r="Z17" s="17">
        <v>40.5</v>
      </c>
    </row>
    <row r="18" spans="1:26" s="17" customFormat="1" ht="36" customHeight="1" x14ac:dyDescent="0.2">
      <c r="A18" s="57">
        <f>A17+1</f>
        <v>2</v>
      </c>
      <c r="B18" s="57" t="str" cm="1">
        <f t="array" ref="B18">_xlfn.LET(_xlpm.r,_xlfn.XLOOKUP(1,
(TRIM(CODE_PRICE!$A$4:$A$2003)=TRIM($C$4))*
(TRIM(CODE_PRICE!$B$4:$B$2003)=TRIM(C18)),
CODE_PRICE!$C$4:$C$2003,
""),
IF(OR(_xlpm.r="",_xlpm.r=0),"",_xlpm.r))</f>
        <v/>
      </c>
      <c r="C18" s="57" t="s">
        <v>99</v>
      </c>
      <c r="D18" s="57" t="str" cm="1">
        <f t="array" ref="D18">IFERROR(
_xlfn.XLOOKUP(1,
(CODE_PRICE!$A$3:$A$1003=$A$8)*
(CODE_PRICE!$B$3:$B$1003=C18),
CODE_PRICE!$C$3:$C$1003
),
"")</f>
        <v>FM1515</v>
      </c>
      <c r="E18" s="57" t="s">
        <v>264</v>
      </c>
      <c r="F18" s="58" t="s">
        <v>11</v>
      </c>
      <c r="G18" s="59" t="s">
        <v>123</v>
      </c>
      <c r="H18" s="60" t="str">
        <f>IF(COUNTIFS($C$17:C18,C18,$I$17:I18,I18)=1,
SUMIFS($J$17:$J$49,$C$17:$C$49,C18,$I$17:$I$49,I18)&amp;I18&amp;" "&amp;C18,
"")</f>
        <v/>
      </c>
      <c r="I18" s="58" t="s">
        <v>22</v>
      </c>
      <c r="J18" s="61">
        <v>1</v>
      </c>
      <c r="K18" s="62"/>
      <c r="L18" s="63">
        <v>108</v>
      </c>
      <c r="M18" s="257">
        <v>81</v>
      </c>
      <c r="N18" s="64">
        <v>39</v>
      </c>
      <c r="O18" s="65"/>
      <c r="P18" s="65" t="str" cm="1">
        <f t="array" ref="P18">IF(F18="trim",IFERROR(INDEX('SIZE GUIDE'!$E:$E,MATCH(1,('SIZE GUIDE'!$A:$A=$F18)*('SIZE GUIDE'!$B:$B=$G18)*('SIZE GUIDE'!$C:$C=$I18),0)),""),"")</f>
        <v/>
      </c>
      <c r="Q18" s="65"/>
      <c r="R18" s="59">
        <v>107</v>
      </c>
      <c r="S18" s="59">
        <f t="shared" si="0"/>
        <v>81</v>
      </c>
      <c r="T18" s="258">
        <f t="shared" si="1"/>
        <v>38.5</v>
      </c>
      <c r="U18" s="93">
        <f t="shared" si="2"/>
        <v>2317.21875</v>
      </c>
      <c r="V18" s="99">
        <f>SUMIFS(CODE_PRICE!F:F,CODE_PRICE!B:B,'DICKSON-W26_01'!C18,CODE_PRICE!A:A,'DICKSON-W26_01'!$A$8)</f>
        <v>0.28249999999999997</v>
      </c>
      <c r="W18" s="95">
        <f t="shared" ref="W18:W26" si="3">U18*V18</f>
        <v>654.61429687499992</v>
      </c>
      <c r="X18" s="244" t="str">
        <f>IF(OR(E18="",C18=""),"",IF(COUNTIFS($E$17:E18,E18,$C$17:C18,C18)=1,E18&amp;" - "&amp;C18&amp;" - "&amp;SUMIFS($J$17:$J$5002,$E$17:$E$5002,E18,$C$17:$C$5002,C18)&amp;I18&amp;" - "&amp;TEXT(SUMIFS($U$17:$U$5002,$E$17:$E$5002,E18,$C$17:$C$5002,C18),"0.00")&amp;" Bf",""))</f>
        <v/>
      </c>
      <c r="Y18" s="24" t="str">
        <f>IF(COUNTIF($C$17:C18,C18)=1,ROUND(SUMIF($C:$C,C18,$W:$W),2), "")</f>
        <v/>
      </c>
      <c r="Z18" s="17">
        <v>40.5</v>
      </c>
    </row>
    <row r="19" spans="1:26" s="17" customFormat="1" ht="36" customHeight="1" x14ac:dyDescent="0.2">
      <c r="A19" s="57">
        <f t="shared" ref="A19:A26" si="4">A18+1</f>
        <v>3</v>
      </c>
      <c r="B19" s="57" t="str" cm="1">
        <f t="array" ref="B19">_xlfn.LET(_xlpm.r,_xlfn.XLOOKUP(1,
(TRIM(CODE_PRICE!$A$4:$A$2003)=TRIM($C$4))*
(TRIM(CODE_PRICE!$B$4:$B$2003)=TRIM(C19)),
CODE_PRICE!$C$4:$C$2003,
""),
IF(OR(_xlpm.r="",_xlpm.r=0),"",_xlpm.r))</f>
        <v/>
      </c>
      <c r="C19" s="57" t="s">
        <v>99</v>
      </c>
      <c r="D19" s="57" t="str" cm="1">
        <f t="array" ref="D19">IFERROR(
_xlfn.XLOOKUP(1,
(CODE_PRICE!$A$3:$A$1003=$A$8)*
(CODE_PRICE!$B$3:$B$1003=C19),
CODE_PRICE!$C$3:$C$1003
),
"")</f>
        <v>FM1515</v>
      </c>
      <c r="E19" s="57" t="s">
        <v>264</v>
      </c>
      <c r="F19" s="58" t="s">
        <v>11</v>
      </c>
      <c r="G19" s="59" t="s">
        <v>123</v>
      </c>
      <c r="H19" s="60" t="str">
        <f>IF(COUNTIFS($C$17:C19,C19,$I$17:I19,I19)=1,
SUMIFS($J$17:$J$49,$C$17:$C$49,C19,$I$17:$I$49,I19)&amp;I19&amp;" "&amp;C19,
"")</f>
        <v/>
      </c>
      <c r="I19" s="58" t="s">
        <v>22</v>
      </c>
      <c r="J19" s="61">
        <v>1</v>
      </c>
      <c r="K19" s="62"/>
      <c r="L19" s="63">
        <v>108</v>
      </c>
      <c r="M19" s="257">
        <v>81</v>
      </c>
      <c r="N19" s="64">
        <v>40</v>
      </c>
      <c r="O19" s="65"/>
      <c r="P19" s="65" t="str" cm="1">
        <f t="array" ref="P19">IF(F19="trim",IFERROR(INDEX('SIZE GUIDE'!$E:$E,MATCH(1,('SIZE GUIDE'!$A:$A=$F19)*('SIZE GUIDE'!$B:$B=$G19)*('SIZE GUIDE'!$C:$C=$I19),0)),""),"")</f>
        <v/>
      </c>
      <c r="Q19" s="65"/>
      <c r="R19" s="59">
        <v>107</v>
      </c>
      <c r="S19" s="59">
        <f t="shared" si="0"/>
        <v>81</v>
      </c>
      <c r="T19" s="258">
        <f t="shared" si="1"/>
        <v>39.5</v>
      </c>
      <c r="U19" s="93">
        <f t="shared" si="2"/>
        <v>2377.40625</v>
      </c>
      <c r="V19" s="99">
        <f>SUMIFS(CODE_PRICE!F:F,CODE_PRICE!B:B,'DICKSON-W26_01'!C19,CODE_PRICE!A:A,'DICKSON-W26_01'!$A$8)</f>
        <v>0.28249999999999997</v>
      </c>
      <c r="W19" s="95">
        <f t="shared" si="3"/>
        <v>671.61726562499996</v>
      </c>
      <c r="X19" s="244" t="str">
        <f>IF(OR(E19="",C19=""),"",IF(COUNTIFS($E$17:E19,E19,$C$17:C19,C19)=1,E19&amp;" - "&amp;C19&amp;" - "&amp;SUMIFS($J$17:$J$5002,$E$17:$E$5002,E19,$C$17:$C$5002,C19)&amp;I19&amp;" - "&amp;TEXT(SUMIFS($U$17:$U$5002,$E$17:$E$5002,E19,$C$17:$C$5002,C19),"0.00")&amp;" Bf",""))</f>
        <v/>
      </c>
      <c r="Y19" s="24" t="str">
        <f>IF(COUNTIF($C$17:C19,C19)=1,ROUND(SUMIF($C:$C,C19,$W:$W),2), "")</f>
        <v/>
      </c>
      <c r="Z19" s="17">
        <v>39.5</v>
      </c>
    </row>
    <row r="20" spans="1:26" s="17" customFormat="1" ht="36" customHeight="1" x14ac:dyDescent="0.2">
      <c r="A20" s="57">
        <f t="shared" si="4"/>
        <v>4</v>
      </c>
      <c r="B20" s="57" t="str" cm="1">
        <f t="array" ref="B20">_xlfn.LET(_xlpm.r,_xlfn.XLOOKUP(1,
(TRIM(CODE_PRICE!$A$4:$A$2003)=TRIM($C$4))*
(TRIM(CODE_PRICE!$B$4:$B$2003)=TRIM(C20)),
CODE_PRICE!$C$4:$C$2003,
""),
IF(OR(_xlpm.r="",_xlpm.r=0),"",_xlpm.r))</f>
        <v/>
      </c>
      <c r="C20" s="57" t="s">
        <v>99</v>
      </c>
      <c r="D20" s="57" t="str" cm="1">
        <f t="array" ref="D20">IFERROR(
_xlfn.XLOOKUP(1,
(CODE_PRICE!$A$3:$A$1003=$A$8)*
(CODE_PRICE!$B$3:$B$1003=C20),
CODE_PRICE!$C$3:$C$1003
),
"")</f>
        <v>FM1515</v>
      </c>
      <c r="E20" s="57" t="s">
        <v>264</v>
      </c>
      <c r="F20" s="58" t="s">
        <v>11</v>
      </c>
      <c r="G20" s="59" t="s">
        <v>123</v>
      </c>
      <c r="H20" s="60" t="str">
        <f>IF(COUNTIFS($C$17:C20,C20,$I$17:I20,I20)=1,
SUMIFS($J$17:$J$49,$C$17:$C$49,C20,$I$17:$I$49,I20)&amp;I20&amp;" "&amp;C20,
"")</f>
        <v/>
      </c>
      <c r="I20" s="58" t="s">
        <v>22</v>
      </c>
      <c r="J20" s="61">
        <v>1</v>
      </c>
      <c r="K20" s="62"/>
      <c r="L20" s="63">
        <v>108</v>
      </c>
      <c r="M20" s="257">
        <v>81</v>
      </c>
      <c r="N20" s="64">
        <v>39</v>
      </c>
      <c r="O20" s="65"/>
      <c r="P20" s="65" t="str" cm="1">
        <f t="array" ref="P20">IF(F20="trim",IFERROR(INDEX('SIZE GUIDE'!$E:$E,MATCH(1,('SIZE GUIDE'!$A:$A=$F20)*('SIZE GUIDE'!$B:$B=$G20)*('SIZE GUIDE'!$C:$C=$I20),0)),""),"")</f>
        <v/>
      </c>
      <c r="Q20" s="65"/>
      <c r="R20" s="59">
        <v>107</v>
      </c>
      <c r="S20" s="59">
        <f t="shared" si="0"/>
        <v>81</v>
      </c>
      <c r="T20" s="258">
        <f t="shared" si="1"/>
        <v>38.5</v>
      </c>
      <c r="U20" s="154">
        <f t="shared" si="2"/>
        <v>2317.21875</v>
      </c>
      <c r="V20" s="99">
        <f>SUMIFS(CODE_PRICE!F:F,CODE_PRICE!B:B,'DICKSON-W26_01'!C20,CODE_PRICE!A:A,'DICKSON-W26_01'!$A$8)</f>
        <v>0.28249999999999997</v>
      </c>
      <c r="W20" s="155">
        <f t="shared" si="3"/>
        <v>654.61429687499992</v>
      </c>
      <c r="X20" s="244" t="str">
        <f>IF(OR(E20="",C20=""),"",IF(COUNTIFS($E$17:E20,E20,$C$17:C20,C20)=1,E20&amp;" - "&amp;C20&amp;" - "&amp;SUMIFS($J$17:$J$5002,$E$17:$E$5002,E20,$C$17:$C$5002,C20)&amp;I20&amp;" - "&amp;TEXT(SUMIFS($U$17:$U$5002,$E$17:$E$5002,E20,$C$17:$C$5002,C20),"0.00")&amp;" Bf",""))</f>
        <v/>
      </c>
      <c r="Y20" s="157" t="str">
        <f>IF(COUNTIF($C$17:C20,C20)=1,ROUND(SUMIF($C:$C,C20,$W:$W),2), "")</f>
        <v/>
      </c>
      <c r="Z20" s="17">
        <v>39.5</v>
      </c>
    </row>
    <row r="21" spans="1:26" s="17" customFormat="1" ht="36" customHeight="1" x14ac:dyDescent="0.2">
      <c r="A21" s="57">
        <f t="shared" si="4"/>
        <v>5</v>
      </c>
      <c r="B21" s="57" t="str" cm="1">
        <f t="array" ref="B21">_xlfn.LET(_xlpm.r,_xlfn.XLOOKUP(1,
(TRIM(CODE_PRICE!$A$4:$A$2003)=TRIM($C$4))*
(TRIM(CODE_PRICE!$B$4:$B$2003)=TRIM(C21)),
CODE_PRICE!$C$4:$C$2003,
""),
IF(OR(_xlpm.r="",_xlpm.r=0),"",_xlpm.r))</f>
        <v/>
      </c>
      <c r="C21" s="57" t="s">
        <v>99</v>
      </c>
      <c r="D21" s="57" t="str" cm="1">
        <f t="array" ref="D21">IFERROR(
_xlfn.XLOOKUP(1,
(CODE_PRICE!$A$3:$A$1003=$A$8)*
(CODE_PRICE!$B$3:$B$1003=C21),
CODE_PRICE!$C$3:$C$1003
),
"")</f>
        <v>FM1515</v>
      </c>
      <c r="E21" s="57" t="s">
        <v>264</v>
      </c>
      <c r="F21" s="58" t="s">
        <v>11</v>
      </c>
      <c r="G21" s="59" t="s">
        <v>123</v>
      </c>
      <c r="H21" s="60" t="str">
        <f>IF(COUNTIFS($C$17:C21,C21,$I$17:I21,I21)=1,
SUMIFS($J$17:$J$49,$C$17:$C$49,C21,$I$17:$I$49,I21)&amp;I21&amp;" "&amp;C21,
"")</f>
        <v/>
      </c>
      <c r="I21" s="58" t="s">
        <v>22</v>
      </c>
      <c r="J21" s="61">
        <v>1</v>
      </c>
      <c r="K21" s="62"/>
      <c r="L21" s="63">
        <v>108</v>
      </c>
      <c r="M21" s="257">
        <v>81</v>
      </c>
      <c r="N21" s="64">
        <v>38</v>
      </c>
      <c r="O21" s="65"/>
      <c r="P21" s="65" t="str" cm="1">
        <f t="array" ref="P21">IF(F21="trim",IFERROR(INDEX('SIZE GUIDE'!$E:$E,MATCH(1,('SIZE GUIDE'!$A:$A=$F21)*('SIZE GUIDE'!$B:$B=$G21)*('SIZE GUIDE'!$C:$C=$I21),0)),""),"")</f>
        <v/>
      </c>
      <c r="Q21" s="65"/>
      <c r="R21" s="59">
        <v>107</v>
      </c>
      <c r="S21" s="59">
        <f t="shared" si="0"/>
        <v>81</v>
      </c>
      <c r="T21" s="258">
        <f t="shared" si="1"/>
        <v>37.5</v>
      </c>
      <c r="U21" s="154">
        <f t="shared" si="2"/>
        <v>2257.03125</v>
      </c>
      <c r="V21" s="99">
        <f>SUMIFS(CODE_PRICE!F:F,CODE_PRICE!B:B,'DICKSON-W26_01'!C21,CODE_PRICE!A:A,'DICKSON-W26_01'!$A$8)</f>
        <v>0.28249999999999997</v>
      </c>
      <c r="W21" s="155">
        <f t="shared" si="3"/>
        <v>637.61132812499989</v>
      </c>
      <c r="X21" s="244" t="str">
        <f>IF(OR(E21="",C21=""),"",IF(COUNTIFS($E$17:E21,E21,$C$17:C21,C21)=1,E21&amp;" - "&amp;C21&amp;" - "&amp;SUMIFS($J$17:$J$5002,$E$17:$E$5002,E21,$C$17:$C$5002,C21)&amp;I21&amp;" - "&amp;TEXT(SUMIFS($U$17:$U$5002,$E$17:$E$5002,E21,$C$17:$C$5002,C21),"0.00")&amp;" Bf",""))</f>
        <v/>
      </c>
      <c r="Y21" s="157" t="str">
        <f>IF(COUNTIF($C$17:C21,C21)=1,ROUND(SUMIF($C:$C,C21,$W:$W),2), "")</f>
        <v/>
      </c>
      <c r="Z21" s="17">
        <v>40.5</v>
      </c>
    </row>
    <row r="22" spans="1:26" s="17" customFormat="1" ht="36" customHeight="1" x14ac:dyDescent="0.2">
      <c r="A22" s="57">
        <f t="shared" si="4"/>
        <v>6</v>
      </c>
      <c r="B22" s="57" t="str" cm="1">
        <f t="array" ref="B22">_xlfn.LET(_xlpm.r,_xlfn.XLOOKUP(1,
(TRIM(CODE_PRICE!$A$4:$A$2003)=TRIM($C$4))*
(TRIM(CODE_PRICE!$B$4:$B$2003)=TRIM(C22)),
CODE_PRICE!$C$4:$C$2003,
""),
IF(OR(_xlpm.r="",_xlpm.r=0),"",_xlpm.r))</f>
        <v/>
      </c>
      <c r="C22" s="57" t="s">
        <v>99</v>
      </c>
      <c r="D22" s="57" t="str" cm="1">
        <f t="array" ref="D22">IFERROR(
_xlfn.XLOOKUP(1,
(CODE_PRICE!$A$3:$A$1003=$A$8)*
(CODE_PRICE!$B$3:$B$1003=C22),
CODE_PRICE!$C$3:$C$1003
),
"")</f>
        <v>FM1515</v>
      </c>
      <c r="E22" s="57" t="s">
        <v>264</v>
      </c>
      <c r="F22" s="58" t="s">
        <v>11</v>
      </c>
      <c r="G22" s="59" t="s">
        <v>123</v>
      </c>
      <c r="H22" s="60" t="str">
        <f>IF(COUNTIFS($C$17:C22,C22,$I$17:I22,I22)=1,
SUMIFS($J$17:$J$49,$C$17:$C$49,C22,$I$17:$I$49,I22)&amp;I22&amp;" "&amp;C22,
"")</f>
        <v/>
      </c>
      <c r="I22" s="58" t="s">
        <v>22</v>
      </c>
      <c r="J22" s="61">
        <v>1</v>
      </c>
      <c r="K22" s="62"/>
      <c r="L22" s="63">
        <v>108</v>
      </c>
      <c r="M22" s="257">
        <v>81</v>
      </c>
      <c r="N22" s="64">
        <v>39</v>
      </c>
      <c r="O22" s="65"/>
      <c r="P22" s="65" t="str" cm="1">
        <f t="array" ref="P22">IF(F22="trim",IFERROR(INDEX('SIZE GUIDE'!$E:$E,MATCH(1,('SIZE GUIDE'!$A:$A=$F22)*('SIZE GUIDE'!$B:$B=$G22)*('SIZE GUIDE'!$C:$C=$I22),0)),""),"")</f>
        <v/>
      </c>
      <c r="Q22" s="65"/>
      <c r="R22" s="59">
        <v>107</v>
      </c>
      <c r="S22" s="59">
        <f t="shared" si="0"/>
        <v>81</v>
      </c>
      <c r="T22" s="258">
        <f t="shared" si="1"/>
        <v>38.5</v>
      </c>
      <c r="U22" s="154">
        <f t="shared" si="2"/>
        <v>2317.21875</v>
      </c>
      <c r="V22" s="99">
        <f>SUMIFS(CODE_PRICE!F:F,CODE_PRICE!B:B,'DICKSON-W26_01'!C22,CODE_PRICE!A:A,'DICKSON-W26_01'!$A$8)</f>
        <v>0.28249999999999997</v>
      </c>
      <c r="W22" s="155">
        <f t="shared" si="3"/>
        <v>654.61429687499992</v>
      </c>
      <c r="X22" s="244" t="str">
        <f>IF(OR(E22="",C22=""),"",IF(COUNTIFS($E$17:E22,E22,$C$17:C22,C22)=1,E22&amp;" - "&amp;C22&amp;" - "&amp;SUMIFS($J$17:$J$5002,$E$17:$E$5002,E22,$C$17:$C$5002,C22)&amp;I22&amp;" - "&amp;TEXT(SUMIFS($U$17:$U$5002,$E$17:$E$5002,E22,$C$17:$C$5002,C22),"0.00")&amp;" Bf",""))</f>
        <v/>
      </c>
      <c r="Y22" s="157" t="str">
        <f>IF(COUNTIF($C$17:C22,C22)=1,ROUND(SUMIF($C:$C,C22,$W:$W),2), "")</f>
        <v/>
      </c>
      <c r="Z22" s="17">
        <v>41</v>
      </c>
    </row>
    <row r="23" spans="1:26" s="17" customFormat="1" ht="36" customHeight="1" x14ac:dyDescent="0.2">
      <c r="A23" s="57">
        <f t="shared" si="4"/>
        <v>7</v>
      </c>
      <c r="B23" s="57" t="str" cm="1">
        <f t="array" ref="B23">_xlfn.LET(_xlpm.r,_xlfn.XLOOKUP(1,
(TRIM(CODE_PRICE!$A$4:$A$2003)=TRIM($C$4))*
(TRIM(CODE_PRICE!$B$4:$B$2003)=TRIM(C23)),
CODE_PRICE!$C$4:$C$2003,
""),
IF(OR(_xlpm.r="",_xlpm.r=0),"",_xlpm.r))</f>
        <v/>
      </c>
      <c r="C23" s="57" t="s">
        <v>99</v>
      </c>
      <c r="D23" s="57" t="str" cm="1">
        <f t="array" ref="D23">IFERROR(
_xlfn.XLOOKUP(1,
(CODE_PRICE!$A$3:$A$1003=$A$8)*
(CODE_PRICE!$B$3:$B$1003=C23),
CODE_PRICE!$C$3:$C$1003
),
"")</f>
        <v>FM1515</v>
      </c>
      <c r="E23" s="57" t="s">
        <v>264</v>
      </c>
      <c r="F23" s="58" t="s">
        <v>11</v>
      </c>
      <c r="G23" s="59" t="s">
        <v>123</v>
      </c>
      <c r="H23" s="60" t="str">
        <f>IF(COUNTIFS($C$17:C23,C23,$I$17:I23,I23)=1,
SUMIFS($J$17:$J$49,$C$17:$C$49,C23,$I$17:$I$49,I23)&amp;I23&amp;" "&amp;C23,
"")</f>
        <v/>
      </c>
      <c r="I23" s="58" t="s">
        <v>22</v>
      </c>
      <c r="J23" s="61">
        <v>1</v>
      </c>
      <c r="K23" s="62"/>
      <c r="L23" s="63">
        <v>108</v>
      </c>
      <c r="M23" s="257">
        <v>81</v>
      </c>
      <c r="N23" s="64">
        <v>39</v>
      </c>
      <c r="O23" s="65"/>
      <c r="P23" s="65" t="str" cm="1">
        <f t="array" ref="P23">IF(F23="trim",IFERROR(INDEX('SIZE GUIDE'!$E:$E,MATCH(1,('SIZE GUIDE'!$A:$A=$F23)*('SIZE GUIDE'!$B:$B=$G23)*('SIZE GUIDE'!$C:$C=$I23),0)),""),"")</f>
        <v/>
      </c>
      <c r="Q23" s="65"/>
      <c r="R23" s="59">
        <v>107</v>
      </c>
      <c r="S23" s="59">
        <f t="shared" si="0"/>
        <v>81</v>
      </c>
      <c r="T23" s="258">
        <f t="shared" si="1"/>
        <v>38.5</v>
      </c>
      <c r="U23" s="154">
        <f t="shared" si="2"/>
        <v>2317.21875</v>
      </c>
      <c r="V23" s="99">
        <f>SUMIFS(CODE_PRICE!F:F,CODE_PRICE!B:B,'DICKSON-W26_01'!C23,CODE_PRICE!A:A,'DICKSON-W26_01'!$A$8)</f>
        <v>0.28249999999999997</v>
      </c>
      <c r="W23" s="155">
        <f t="shared" si="3"/>
        <v>654.61429687499992</v>
      </c>
      <c r="X23" s="244" t="str">
        <f>IF(OR(E23="",C23=""),"",IF(COUNTIFS($E$17:E23,E23,$C$17:C23,C23)=1,E23&amp;" - "&amp;C23&amp;" - "&amp;SUMIFS($J$17:$J$5002,$E$17:$E$5002,E23,$C$17:$C$5002,C23)&amp;I23&amp;" - "&amp;TEXT(SUMIFS($U$17:$U$5002,$E$17:$E$5002,E23,$C$17:$C$5002,C23),"0.00")&amp;" Bf",""))</f>
        <v/>
      </c>
      <c r="Y23" s="157" t="str">
        <f>IF(COUNTIF($C$17:C23,C23)=1,ROUND(SUMIF($C:$C,C23,$W:$W),2), "")</f>
        <v/>
      </c>
      <c r="Z23" s="17">
        <v>40</v>
      </c>
    </row>
    <row r="24" spans="1:26" s="17" customFormat="1" ht="36" customHeight="1" x14ac:dyDescent="0.2">
      <c r="A24" s="57">
        <f t="shared" si="4"/>
        <v>8</v>
      </c>
      <c r="B24" s="57" t="str" cm="1">
        <f t="array" ref="B24">_xlfn.LET(_xlpm.r,_xlfn.XLOOKUP(1,
(TRIM(CODE_PRICE!$A$4:$A$2003)=TRIM($C$4))*
(TRIM(CODE_PRICE!$B$4:$B$2003)=TRIM(C24)),
CODE_PRICE!$C$4:$C$2003,
""),
IF(OR(_xlpm.r="",_xlpm.r=0),"",_xlpm.r))</f>
        <v/>
      </c>
      <c r="C24" s="57" t="s">
        <v>97</v>
      </c>
      <c r="D24" s="57" t="str" cm="1">
        <f t="array" ref="D24">IFERROR(
_xlfn.XLOOKUP(1,
(CODE_PRICE!$A$3:$A$1003=$A$8)*
(CODE_PRICE!$B$3:$B$1003=C24),
CODE_PRICE!$C$3:$C$1003
),
"")</f>
        <v>FM1836</v>
      </c>
      <c r="E24" s="57" t="s">
        <v>264</v>
      </c>
      <c r="F24" s="58" t="s">
        <v>11</v>
      </c>
      <c r="G24" s="59" t="s">
        <v>123</v>
      </c>
      <c r="H24" s="60" t="str">
        <f>IF(COUNTIFS($C$17:C24,C24,$I$17:I24,I24)=1,
SUMIFS($J$17:$J$49,$C$17:$C$49,C24,$I$17:$I$49,I24)&amp;I24&amp;" "&amp;C24,
"")</f>
        <v>3S CFN39180W</v>
      </c>
      <c r="I24" s="58" t="s">
        <v>22</v>
      </c>
      <c r="J24" s="61">
        <v>1</v>
      </c>
      <c r="K24" s="62"/>
      <c r="L24" s="63">
        <v>108</v>
      </c>
      <c r="M24" s="257">
        <v>81</v>
      </c>
      <c r="N24" s="64">
        <v>39.5</v>
      </c>
      <c r="O24" s="65"/>
      <c r="P24" s="65" t="str" cm="1">
        <f t="array" ref="P24">IF(F24="trim",IFERROR(INDEX('SIZE GUIDE'!$E:$E,MATCH(1,('SIZE GUIDE'!$A:$A=$F24)*('SIZE GUIDE'!$B:$B=$G24)*('SIZE GUIDE'!$C:$C=$I24),0)),""),"")</f>
        <v/>
      </c>
      <c r="Q24" s="65"/>
      <c r="R24" s="59">
        <v>107</v>
      </c>
      <c r="S24" s="59">
        <f t="shared" si="0"/>
        <v>81</v>
      </c>
      <c r="T24" s="258">
        <f t="shared" si="1"/>
        <v>39</v>
      </c>
      <c r="U24" s="154">
        <f t="shared" si="2"/>
        <v>2347.3125</v>
      </c>
      <c r="V24" s="99">
        <f>SUMIFS(CODE_PRICE!F:F,CODE_PRICE!B:B,'DICKSON-W26_01'!C24,CODE_PRICE!A:A,'DICKSON-W26_01'!$A$8)</f>
        <v>0.32900000000000001</v>
      </c>
      <c r="W24" s="155">
        <f t="shared" si="3"/>
        <v>772.26581250000004</v>
      </c>
      <c r="X24" s="244" t="str">
        <f>IF(OR(E24="",C24=""),"",IF(COUNTIFS($E$17:E24,E24,$C$17:C24,C24)=1,E24&amp;" - "&amp;C24&amp;" - "&amp;SUMIFS($J$17:$J$5002,$E$17:$E$5002,E24,$C$17:$C$5002,C24)&amp;I24&amp;" - "&amp;TEXT(SUMIFS($U$17:$U$5002,$E$17:$E$5002,E24,$C$17:$C$5002,C24),"0.00")&amp;" Bf",""))</f>
        <v>11-73000 - CFN39180W - 3S - 7041.94 Bf</v>
      </c>
      <c r="Y24" s="243">
        <f>IF(COUNTIF($C$17:C24,C24)=1,ROUND(SUMIF($C:$C,C24,$W:$W),2), "")</f>
        <v>2316.8000000000002</v>
      </c>
      <c r="Z24" s="17">
        <v>40</v>
      </c>
    </row>
    <row r="25" spans="1:26" s="17" customFormat="1" ht="36" customHeight="1" x14ac:dyDescent="0.2">
      <c r="A25" s="57">
        <f t="shared" si="4"/>
        <v>9</v>
      </c>
      <c r="B25" s="57" t="str" cm="1">
        <f t="array" ref="B25">_xlfn.LET(_xlpm.r,_xlfn.XLOOKUP(1,
(TRIM(CODE_PRICE!$A$4:$A$2003)=TRIM($C$4))*
(TRIM(CODE_PRICE!$B$4:$B$2003)=TRIM(C25)),
CODE_PRICE!$C$4:$C$2003,
""),
IF(OR(_xlpm.r="",_xlpm.r=0),"",_xlpm.r))</f>
        <v/>
      </c>
      <c r="C25" s="57" t="s">
        <v>97</v>
      </c>
      <c r="D25" s="57" t="str" cm="1">
        <f t="array" ref="D25">IFERROR(
_xlfn.XLOOKUP(1,
(CODE_PRICE!$A$3:$A$1003=$A$8)*
(CODE_PRICE!$B$3:$B$1003=C25),
CODE_PRICE!$C$3:$C$1003
),
"")</f>
        <v>FM1836</v>
      </c>
      <c r="E25" s="57" t="s">
        <v>264</v>
      </c>
      <c r="F25" s="58" t="s">
        <v>11</v>
      </c>
      <c r="G25" s="59" t="s">
        <v>123</v>
      </c>
      <c r="H25" s="60" t="str">
        <f>IF(COUNTIFS($C$17:C25,C25,$I$17:I25,I25)=1,
SUMIFS($J$17:$J$49,$C$17:$C$49,C25,$I$17:$I$49,I25)&amp;I25&amp;" "&amp;C25,
"")</f>
        <v/>
      </c>
      <c r="I25" s="58" t="s">
        <v>22</v>
      </c>
      <c r="J25" s="61">
        <v>1</v>
      </c>
      <c r="K25" s="62"/>
      <c r="L25" s="63">
        <v>108</v>
      </c>
      <c r="M25" s="257">
        <v>81</v>
      </c>
      <c r="N25" s="64">
        <v>39.5</v>
      </c>
      <c r="O25" s="65"/>
      <c r="P25" s="65" t="str" cm="1">
        <f t="array" ref="P25">IF(F25="trim",IFERROR(INDEX('SIZE GUIDE'!$E:$E,MATCH(1,('SIZE GUIDE'!$A:$A=$F25)*('SIZE GUIDE'!$B:$B=$G25)*('SIZE GUIDE'!$C:$C=$I25),0)),""),"")</f>
        <v/>
      </c>
      <c r="Q25" s="65"/>
      <c r="R25" s="59">
        <v>107</v>
      </c>
      <c r="S25" s="59">
        <f t="shared" si="0"/>
        <v>81</v>
      </c>
      <c r="T25" s="258">
        <f t="shared" si="1"/>
        <v>39</v>
      </c>
      <c r="U25" s="154">
        <f t="shared" si="2"/>
        <v>2347.3125</v>
      </c>
      <c r="V25" s="99">
        <f>SUMIFS(CODE_PRICE!F:F,CODE_PRICE!B:B,'DICKSON-W26_01'!C25,CODE_PRICE!A:A,'DICKSON-W26_01'!$A$8)</f>
        <v>0.32900000000000001</v>
      </c>
      <c r="W25" s="155">
        <f t="shared" si="3"/>
        <v>772.26581250000004</v>
      </c>
      <c r="X25" s="244" t="str">
        <f>IF(OR(E25="",C25=""),"",IF(COUNTIFS($E$17:E25,E25,$C$17:C25,C25)=1,E25&amp;" - "&amp;C25&amp;" - "&amp;SUMIFS($J$17:$J$5002,$E$17:$E$5002,E25,$C$17:$C$5002,C25)&amp;I25&amp;" - "&amp;TEXT(SUMIFS($U$17:$U$5002,$E$17:$E$5002,E25,$C$17:$C$5002,C25),"0.00")&amp;" Bf",""))</f>
        <v/>
      </c>
      <c r="Y25" s="157" t="str">
        <f>IF(COUNTIF($C$17:C25,C25)=1,ROUND(SUMIF($C:$C,C25,$W:$W),2), "")</f>
        <v/>
      </c>
      <c r="Z25" s="17">
        <v>39.5</v>
      </c>
    </row>
    <row r="26" spans="1:26" s="17" customFormat="1" ht="36" customHeight="1" x14ac:dyDescent="0.2">
      <c r="A26" s="57">
        <f t="shared" si="4"/>
        <v>10</v>
      </c>
      <c r="B26" s="57" t="str" cm="1">
        <f t="array" ref="B26">_xlfn.LET(_xlpm.r,_xlfn.XLOOKUP(1,
(TRIM(CODE_PRICE!$A$4:$A$2003)=TRIM($C$4))*
(TRIM(CODE_PRICE!$B$4:$B$2003)=TRIM(C26)),
CODE_PRICE!$C$4:$C$2003,
""),
IF(OR(_xlpm.r="",_xlpm.r=0),"",_xlpm.r))</f>
        <v/>
      </c>
      <c r="C26" s="57" t="s">
        <v>97</v>
      </c>
      <c r="D26" s="57" t="str" cm="1">
        <f t="array" ref="D26">IFERROR(
_xlfn.XLOOKUP(1,
(CODE_PRICE!$A$3:$A$1003=$A$8)*
(CODE_PRICE!$B$3:$B$1003=C26),
CODE_PRICE!$C$3:$C$1003
),
"")</f>
        <v>FM1836</v>
      </c>
      <c r="E26" s="57" t="s">
        <v>264</v>
      </c>
      <c r="F26" s="58" t="s">
        <v>11</v>
      </c>
      <c r="G26" s="59" t="s">
        <v>123</v>
      </c>
      <c r="H26" s="60" t="str">
        <f>IF(COUNTIFS($C$17:C26,C26,$I$17:I26,I26)=1,
SUMIFS($J$17:$J$49,$C$17:$C$49,C26,$I$17:$I$49,I26)&amp;I26&amp;" "&amp;C26,
"")</f>
        <v/>
      </c>
      <c r="I26" s="58" t="s">
        <v>22</v>
      </c>
      <c r="J26" s="61">
        <v>1</v>
      </c>
      <c r="K26" s="62"/>
      <c r="L26" s="63">
        <v>108</v>
      </c>
      <c r="M26" s="257">
        <v>81</v>
      </c>
      <c r="N26" s="64">
        <v>39.5</v>
      </c>
      <c r="O26" s="65"/>
      <c r="P26" s="65" t="str" cm="1">
        <f t="array" ref="P26">IF(F26="trim",IFERROR(INDEX('SIZE GUIDE'!$E:$E,MATCH(1,('SIZE GUIDE'!$A:$A=$F26)*('SIZE GUIDE'!$B:$B=$G26)*('SIZE GUIDE'!$C:$C=$I26),0)),""),"")</f>
        <v/>
      </c>
      <c r="Q26" s="65"/>
      <c r="R26" s="59">
        <v>107</v>
      </c>
      <c r="S26" s="59">
        <f t="shared" si="0"/>
        <v>81</v>
      </c>
      <c r="T26" s="258">
        <f t="shared" si="1"/>
        <v>39</v>
      </c>
      <c r="U26" s="154">
        <f t="shared" si="2"/>
        <v>2347.3125</v>
      </c>
      <c r="V26" s="99">
        <f>SUMIFS(CODE_PRICE!F:F,CODE_PRICE!B:B,'DICKSON-W26_01'!C26,CODE_PRICE!A:A,'DICKSON-W26_01'!$A$8)</f>
        <v>0.32900000000000001</v>
      </c>
      <c r="W26" s="155">
        <f t="shared" si="3"/>
        <v>772.26581250000004</v>
      </c>
      <c r="X26" s="244" t="str">
        <f>IF(OR(E26="",C26=""),"",IF(COUNTIFS($E$17:E26,E26,$C$17:C26,C26)=1,E26&amp;" - "&amp;C26&amp;" - "&amp;SUMIFS($J$17:$J$5002,$E$17:$E$5002,E26,$C$17:$C$5002,C26)&amp;I26&amp;" - "&amp;TEXT(SUMIFS($U$17:$U$5002,$E$17:$E$5002,E26,$C$17:$C$5002,C26),"0.00")&amp;" Bf",""))</f>
        <v/>
      </c>
      <c r="Y26" s="157" t="str">
        <f>IF(COUNTIF($C$17:C26,C26)=1,ROUND(SUMIF($C:$C,C26,$W:$W),2), "")</f>
        <v/>
      </c>
      <c r="Z26" s="17">
        <v>39.5</v>
      </c>
    </row>
    <row r="27" spans="1:26" s="17" customFormat="1" ht="36" hidden="1" customHeight="1" x14ac:dyDescent="0.2">
      <c r="A27" s="57"/>
      <c r="B27" s="57"/>
      <c r="C27" s="101"/>
      <c r="D27" s="101" t="str" cm="1">
        <f t="array" ref="D27">IFERROR(
_xlfn.XLOOKUP(1,
(CODE_PRICE!$A$3:$A$1003=$A$8)*
(CODE_PRICE!$B$3:$B$1003=C27),
CODE_PRICE!$C$3:$C$1003
),
"")</f>
        <v/>
      </c>
      <c r="E27" s="58"/>
      <c r="F27" s="58"/>
      <c r="G27" s="59"/>
      <c r="H27" s="60"/>
      <c r="I27" s="58"/>
      <c r="J27" s="61"/>
      <c r="K27" s="62"/>
      <c r="L27" s="63"/>
      <c r="M27" s="64"/>
      <c r="N27" s="63"/>
      <c r="O27" s="65"/>
      <c r="P27" s="65"/>
      <c r="Q27" s="65"/>
      <c r="R27" s="66"/>
      <c r="S27" s="59"/>
      <c r="T27" s="59"/>
      <c r="U27" s="93"/>
      <c r="V27" s="94"/>
      <c r="W27" s="95"/>
      <c r="X27" s="59" t="str">
        <f>IF(OR(E27="",C27=""),"",IF(COUNTIFS($E$17:E27,E27,$C$17:C27,C27)=1,E27&amp;" - "&amp;C27&amp;" - "&amp;SUMIFS($J$17:$J$5002,$E$17:$E$5002,E27,$C$17:$C$5002,C27)&amp;I27&amp;" - "&amp;TEXT(SUMIFS($U$17:$U$5002,$E$17:$E$5002,E27,$C$17:$C$5002,C27),"0.00")&amp;" Bf",""))</f>
        <v/>
      </c>
      <c r="Y27" s="103" t="str">
        <f>IF(COUNTIF($C$17:C27,C27)=1,ROUND(SUMIF($C:$C,C27,$W:$W),2), "")</f>
        <v/>
      </c>
    </row>
    <row r="28" spans="1:26" s="17" customFormat="1" ht="36" hidden="1" customHeight="1" x14ac:dyDescent="0.2">
      <c r="A28" s="57"/>
      <c r="B28" s="57"/>
      <c r="C28" s="57"/>
      <c r="D28" s="57" t="str" cm="1">
        <f t="array" ref="D28">IFERROR(
_xlfn.XLOOKUP(1,
(CODE_PRICE!$A$3:$A$1003=$A$8)*
(CODE_PRICE!$B$3:$B$1003=C28),
CODE_PRICE!$C$3:$C$1003
),
"")</f>
        <v/>
      </c>
      <c r="E28" s="58"/>
      <c r="F28" s="58"/>
      <c r="G28" s="59"/>
      <c r="H28" s="60"/>
      <c r="I28" s="58"/>
      <c r="J28" s="61"/>
      <c r="K28" s="62"/>
      <c r="L28" s="63"/>
      <c r="M28" s="64"/>
      <c r="N28" s="63"/>
      <c r="O28" s="65"/>
      <c r="P28" s="65"/>
      <c r="Q28" s="65"/>
      <c r="R28" s="66"/>
      <c r="S28" s="59"/>
      <c r="T28" s="59"/>
      <c r="U28" s="93"/>
      <c r="V28" s="94"/>
      <c r="W28" s="95"/>
      <c r="X28" s="59" t="str">
        <f>IF(OR(E28="",C28=""),"",IF(COUNTIFS($E$17:E28,E28,$C$17:C28,C28)=1,E28&amp;" - "&amp;C28&amp;" - "&amp;SUMIFS($J$17:$J$5002,$E$17:$E$5002,E28,$C$17:$C$5002,C28)&amp;I28&amp;" - "&amp;TEXT(SUMIFS($U$17:$U$5002,$E$17:$E$5002,E28,$C$17:$C$5002,C28),"0.00")&amp;" Bf",""))</f>
        <v/>
      </c>
      <c r="Y28" s="103" t="str">
        <f>IF(COUNTIF($C$17:C28,C28)=1,ROUND(SUMIF($C:$C,C28,$W:$W),2), "")</f>
        <v/>
      </c>
    </row>
    <row r="29" spans="1:26" s="17" customFormat="1" ht="36" hidden="1" customHeight="1" x14ac:dyDescent="0.2">
      <c r="A29" s="57"/>
      <c r="B29" s="57"/>
      <c r="C29" s="57"/>
      <c r="D29" s="57" t="str" cm="1">
        <f t="array" ref="D29">IFERROR(
_xlfn.XLOOKUP(1,
(CODE_PRICE!$A$3:$A$1003=$A$8)*
(CODE_PRICE!$B$3:$B$1003=C29),
CODE_PRICE!$C$3:$C$1003
),
"")</f>
        <v/>
      </c>
      <c r="E29" s="58"/>
      <c r="F29" s="58"/>
      <c r="G29" s="59"/>
      <c r="H29" s="60"/>
      <c r="I29" s="58"/>
      <c r="J29" s="61"/>
      <c r="K29" s="62"/>
      <c r="L29" s="63"/>
      <c r="M29" s="64"/>
      <c r="N29" s="63"/>
      <c r="O29" s="65"/>
      <c r="P29" s="65"/>
      <c r="Q29" s="65"/>
      <c r="R29" s="66"/>
      <c r="S29" s="59"/>
      <c r="T29" s="59"/>
      <c r="U29" s="93"/>
      <c r="V29" s="99"/>
      <c r="W29" s="95"/>
      <c r="X29" s="59" t="str">
        <f>IF(OR(E29="",C29=""),"",IF(COUNTIFS($E$17:E29,E29,$C$17:C29,C29)=1,E29&amp;" - "&amp;C29&amp;" - "&amp;SUMIFS($J$17:$J$5002,$E$17:$E$5002,E29,$C$17:$C$5002,C29)&amp;I29&amp;" - "&amp;TEXT(SUMIFS($U$17:$U$5002,$E$17:$E$5002,E29,$C$17:$C$5002,C29),"0.00")&amp;" Bf",""))</f>
        <v/>
      </c>
      <c r="Y29" s="103" t="str">
        <f>IF(COUNTIF($C$17:C29,C29)=1,ROUND(SUMIF($C:$C,C29,$W:$W),2), "")</f>
        <v/>
      </c>
    </row>
    <row r="30" spans="1:26" s="17" customFormat="1" ht="36" hidden="1" customHeight="1" x14ac:dyDescent="0.2">
      <c r="A30" s="57"/>
      <c r="B30" s="57"/>
      <c r="C30" s="57"/>
      <c r="D30" s="57" t="str" cm="1">
        <f t="array" ref="D30">IFERROR(
_xlfn.XLOOKUP(1,
(CODE_PRICE!$A$3:$A$1003=$A$8)*
(CODE_PRICE!$B$3:$B$1003=C30),
CODE_PRICE!$C$3:$C$1003
),
"")</f>
        <v/>
      </c>
      <c r="E30" s="58"/>
      <c r="F30" s="58"/>
      <c r="G30" s="59"/>
      <c r="H30" s="60"/>
      <c r="I30" s="58"/>
      <c r="J30" s="61"/>
      <c r="K30" s="62"/>
      <c r="L30" s="63"/>
      <c r="M30" s="64"/>
      <c r="N30" s="63"/>
      <c r="O30" s="65"/>
      <c r="P30" s="65"/>
      <c r="Q30" s="65"/>
      <c r="R30" s="66"/>
      <c r="S30" s="59"/>
      <c r="T30" s="59"/>
      <c r="U30" s="93"/>
      <c r="V30" s="99"/>
      <c r="W30" s="95"/>
      <c r="X30" s="59" t="str">
        <f>IF(OR(E30="",C30=""),"",IF(COUNTIFS($E$17:E30,E30,$C$17:C30,C30)=1,E30&amp;" - "&amp;C30&amp;" - "&amp;SUMIFS($J$17:$J$5002,$E$17:$E$5002,E30,$C$17:$C$5002,C30)&amp;I30&amp;" - "&amp;TEXT(SUMIFS($U$17:$U$5002,$E$17:$E$5002,E30,$C$17:$C$5002,C30),"0.00")&amp;" Bf",""))</f>
        <v/>
      </c>
      <c r="Y30" s="103" t="str">
        <f>IF(COUNTIF($C$17:C30,C30)=1,ROUND(SUMIF($C:$C,C30,$W:$W),2), "")</f>
        <v/>
      </c>
    </row>
    <row r="31" spans="1:26" s="17" customFormat="1" ht="36" hidden="1" customHeight="1" x14ac:dyDescent="0.2">
      <c r="A31" s="57"/>
      <c r="B31" s="57"/>
      <c r="C31" s="57"/>
      <c r="D31" s="57" t="str" cm="1">
        <f t="array" ref="D31">IFERROR(
_xlfn.XLOOKUP(1,
(CODE_PRICE!$A$3:$A$1003=$A$8)*
(CODE_PRICE!$B$3:$B$1003=C31),
CODE_PRICE!$C$3:$C$1003
),
"")</f>
        <v/>
      </c>
      <c r="E31" s="58"/>
      <c r="F31" s="58"/>
      <c r="G31" s="59"/>
      <c r="H31" s="60"/>
      <c r="I31" s="58"/>
      <c r="J31" s="61"/>
      <c r="K31" s="62"/>
      <c r="L31" s="63"/>
      <c r="M31" s="64"/>
      <c r="N31" s="63"/>
      <c r="O31" s="65"/>
      <c r="P31" s="65"/>
      <c r="Q31" s="65"/>
      <c r="R31" s="66"/>
      <c r="S31" s="59"/>
      <c r="T31" s="59"/>
      <c r="U31" s="93"/>
      <c r="V31" s="99"/>
      <c r="W31" s="95"/>
      <c r="X31" s="59" t="str">
        <f>IF(OR(E31="",C31=""),"",IF(COUNTIFS($E$17:E31,E31,$C$17:C31,C31)=1,E31&amp;" - "&amp;C31&amp;" - "&amp;SUMIFS($J$17:$J$5002,$E$17:$E$5002,E31,$C$17:$C$5002,C31)&amp;I31&amp;" - "&amp;TEXT(SUMIFS($U$17:$U$5002,$E$17:$E$5002,E31,$C$17:$C$5002,C31),"0.00")&amp;" Bf",""))</f>
        <v/>
      </c>
      <c r="Y31" s="103" t="str">
        <f>IF(COUNTIF($C$17:C31,C31)=1,ROUND(SUMIF($C:$C,C31,$W:$W),2), "")</f>
        <v/>
      </c>
    </row>
    <row r="32" spans="1:26" s="17" customFormat="1" ht="36" hidden="1" customHeight="1" x14ac:dyDescent="0.2">
      <c r="A32" s="57"/>
      <c r="B32" s="57"/>
      <c r="C32" s="57"/>
      <c r="D32" s="57" t="str" cm="1">
        <f t="array" ref="D32">IFERROR(
_xlfn.XLOOKUP(1,
(CODE_PRICE!$A$3:$A$1003=$A$8)*
(CODE_PRICE!$B$3:$B$1003=C32),
CODE_PRICE!$C$3:$C$1003
),
"")</f>
        <v/>
      </c>
      <c r="E32" s="58"/>
      <c r="F32" s="58"/>
      <c r="G32" s="59"/>
      <c r="H32" s="60"/>
      <c r="I32" s="58"/>
      <c r="J32" s="61"/>
      <c r="K32" s="62"/>
      <c r="L32" s="63"/>
      <c r="M32" s="64"/>
      <c r="N32" s="63"/>
      <c r="O32" s="65"/>
      <c r="P32" s="65"/>
      <c r="Q32" s="65"/>
      <c r="R32" s="66"/>
      <c r="S32" s="59"/>
      <c r="T32" s="59"/>
      <c r="U32" s="93"/>
      <c r="V32" s="99"/>
      <c r="W32" s="95"/>
      <c r="X32" s="59" t="str">
        <f>IF(OR(E32="",C32=""),"",IF(COUNTIFS($E$17:E32,E32,$C$17:C32,C32)=1,E32&amp;" - "&amp;C32&amp;" - "&amp;SUMIFS($J$17:$J$5002,$E$17:$E$5002,E32,$C$17:$C$5002,C32)&amp;I32&amp;" - "&amp;TEXT(SUMIFS($U$17:$U$5002,$E$17:$E$5002,E32,$C$17:$C$5002,C32),"0.00")&amp;" Bf",""))</f>
        <v/>
      </c>
      <c r="Y32" s="103" t="str">
        <f>IF(COUNTIF($C$17:C32,C32)=1,ROUND(SUMIF($C:$C,C32,$W:$W),2), "")</f>
        <v/>
      </c>
    </row>
    <row r="33" spans="1:25" s="17" customFormat="1" ht="36" hidden="1" customHeight="1" x14ac:dyDescent="0.2">
      <c r="A33" s="57"/>
      <c r="B33" s="57"/>
      <c r="C33" s="57"/>
      <c r="D33" s="57" t="str" cm="1">
        <f t="array" ref="D33">IFERROR(
_xlfn.XLOOKUP(1,
(CODE_PRICE!$A$3:$A$1003=$A$8)*
(CODE_PRICE!$B$3:$B$1003=C33),
CODE_PRICE!$C$3:$C$1003
),
"")</f>
        <v/>
      </c>
      <c r="E33" s="58"/>
      <c r="F33" s="58"/>
      <c r="G33" s="59"/>
      <c r="H33" s="60"/>
      <c r="I33" s="58"/>
      <c r="J33" s="61"/>
      <c r="K33" s="62"/>
      <c r="L33" s="63"/>
      <c r="M33" s="64"/>
      <c r="N33" s="63"/>
      <c r="O33" s="65"/>
      <c r="P33" s="65"/>
      <c r="Q33" s="65"/>
      <c r="R33" s="66"/>
      <c r="S33" s="59"/>
      <c r="T33" s="59"/>
      <c r="U33" s="93"/>
      <c r="V33" s="99"/>
      <c r="W33" s="95"/>
      <c r="X33" s="59" t="str">
        <f>IF(OR(E33="",C33=""),"",IF(COUNTIFS($E$17:E33,E33,$C$17:C33,C33)=1,E33&amp;" - "&amp;C33&amp;" - "&amp;SUMIFS($J$17:$J$5002,$E$17:$E$5002,E33,$C$17:$C$5002,C33)&amp;I33&amp;" - "&amp;TEXT(SUMIFS($U$17:$U$5002,$E$17:$E$5002,E33,$C$17:$C$5002,C33),"0.00")&amp;" Bf",""))</f>
        <v/>
      </c>
      <c r="Y33" s="103" t="str">
        <f>IF(COUNTIF($C$17:C33,C33)=1,ROUND(SUMIF($C:$C,C33,$W:$W),2), "")</f>
        <v/>
      </c>
    </row>
    <row r="34" spans="1:25" s="17" customFormat="1" ht="36" hidden="1" customHeight="1" x14ac:dyDescent="0.2">
      <c r="A34" s="57"/>
      <c r="B34" s="57"/>
      <c r="C34" s="57"/>
      <c r="D34" s="57" t="str" cm="1">
        <f t="array" ref="D34">IFERROR(
_xlfn.XLOOKUP(1,
(CODE_PRICE!$A$3:$A$1003=$A$8)*
(CODE_PRICE!$B$3:$B$1003=C34),
CODE_PRICE!$C$3:$C$1003
),
"")</f>
        <v/>
      </c>
      <c r="E34" s="58"/>
      <c r="F34" s="58"/>
      <c r="G34" s="59"/>
      <c r="H34" s="60"/>
      <c r="I34" s="58"/>
      <c r="J34" s="61"/>
      <c r="K34" s="62"/>
      <c r="L34" s="63"/>
      <c r="M34" s="64"/>
      <c r="N34" s="63"/>
      <c r="O34" s="65"/>
      <c r="P34" s="65"/>
      <c r="Q34" s="65"/>
      <c r="R34" s="66"/>
      <c r="S34" s="59"/>
      <c r="T34" s="59"/>
      <c r="U34" s="93"/>
      <c r="V34" s="99"/>
      <c r="W34" s="95"/>
      <c r="X34" s="59" t="str">
        <f>IF(OR(E34="",C34=""),"",IF(COUNTIFS($E$17:E34,E34,$C$17:C34,C34)=1,E34&amp;" - "&amp;C34&amp;" - "&amp;SUMIFS($J$17:$J$5002,$E$17:$E$5002,E34,$C$17:$C$5002,C34)&amp;I34&amp;" - "&amp;TEXT(SUMIFS($U$17:$U$5002,$E$17:$E$5002,E34,$C$17:$C$5002,C34),"0.00")&amp;" Bf",""))</f>
        <v/>
      </c>
      <c r="Y34" s="103" t="str">
        <f>IF(COUNTIF($C$17:C34,C34)=1,ROUND(SUMIF($C:$C,C34,$W:$W),2), "")</f>
        <v/>
      </c>
    </row>
    <row r="35" spans="1:25" s="17" customFormat="1" ht="36" hidden="1" customHeight="1" x14ac:dyDescent="0.2">
      <c r="A35" s="57"/>
      <c r="B35" s="57"/>
      <c r="C35" s="57"/>
      <c r="D35" s="57" t="str" cm="1">
        <f t="array" ref="D35">IFERROR(
_xlfn.XLOOKUP(1,
(CODE_PRICE!$A$3:$A$1003=$A$8)*
(CODE_PRICE!$B$3:$B$1003=C35),
CODE_PRICE!$C$3:$C$1003
),
"")</f>
        <v/>
      </c>
      <c r="E35" s="58"/>
      <c r="F35" s="58"/>
      <c r="G35" s="59"/>
      <c r="H35" s="60"/>
      <c r="I35" s="58"/>
      <c r="J35" s="61"/>
      <c r="K35" s="62"/>
      <c r="L35" s="63"/>
      <c r="M35" s="64"/>
      <c r="N35" s="63"/>
      <c r="O35" s="65"/>
      <c r="P35" s="65"/>
      <c r="Q35" s="65"/>
      <c r="R35" s="66"/>
      <c r="S35" s="59"/>
      <c r="T35" s="59"/>
      <c r="U35" s="93"/>
      <c r="V35" s="99"/>
      <c r="W35" s="95"/>
      <c r="X35" s="59" t="str">
        <f>IF(OR(E35="",C35=""),"",IF(COUNTIFS($E$17:E35,E35,$C$17:C35,C35)=1,E35&amp;" - "&amp;C35&amp;" - "&amp;SUMIFS($J$17:$J$5002,$E$17:$E$5002,E35,$C$17:$C$5002,C35)&amp;I35&amp;" - "&amp;TEXT(SUMIFS($U$17:$U$5002,$E$17:$E$5002,E35,$C$17:$C$5002,C35),"0.00")&amp;" Bf",""))</f>
        <v/>
      </c>
      <c r="Y35" s="103" t="str">
        <f>IF(COUNTIF($C$17:C35,C35)=1,ROUND(SUMIF($C:$C,C35,$W:$W),2), "")</f>
        <v/>
      </c>
    </row>
    <row r="36" spans="1:25" s="17" customFormat="1" ht="36" hidden="1" customHeight="1" x14ac:dyDescent="0.2">
      <c r="A36" s="57"/>
      <c r="B36" s="57"/>
      <c r="C36" s="57"/>
      <c r="D36" s="57" t="str" cm="1">
        <f t="array" ref="D36">IFERROR(
_xlfn.XLOOKUP(1,
(CODE_PRICE!$A$3:$A$1003=$A$8)*
(CODE_PRICE!$B$3:$B$1003=C36),
CODE_PRICE!$C$3:$C$1003
),
"")</f>
        <v/>
      </c>
      <c r="E36" s="58"/>
      <c r="F36" s="58"/>
      <c r="G36" s="59"/>
      <c r="H36" s="60"/>
      <c r="I36" s="58"/>
      <c r="J36" s="61"/>
      <c r="K36" s="62"/>
      <c r="L36" s="63"/>
      <c r="M36" s="64"/>
      <c r="N36" s="63"/>
      <c r="O36" s="65"/>
      <c r="P36" s="65"/>
      <c r="Q36" s="65"/>
      <c r="R36" s="66"/>
      <c r="S36" s="59"/>
      <c r="T36" s="59"/>
      <c r="U36" s="93"/>
      <c r="V36" s="99"/>
      <c r="W36" s="95"/>
      <c r="X36" s="59" t="str">
        <f>IF(OR(E36="",C36=""),"",IF(COUNTIFS($E$17:E36,E36,$C$17:C36,C36)=1,E36&amp;" - "&amp;C36&amp;" - "&amp;SUMIFS($J$17:$J$5002,$E$17:$E$5002,E36,$C$17:$C$5002,C36)&amp;I36&amp;" - "&amp;TEXT(SUMIFS($U$17:$U$5002,$E$17:$E$5002,E36,$C$17:$C$5002,C36),"0.00")&amp;" Bf",""))</f>
        <v/>
      </c>
      <c r="Y36" s="103" t="str">
        <f>IF(COUNTIF($C$17:C36,C36)=1,ROUND(SUMIF($C:$C,C36,$W:$W),2), "")</f>
        <v/>
      </c>
    </row>
    <row r="37" spans="1:25" s="17" customFormat="1" ht="41.25" hidden="1" customHeight="1" x14ac:dyDescent="0.2">
      <c r="A37" s="57"/>
      <c r="B37" s="57"/>
      <c r="C37" s="57"/>
      <c r="D37" s="57" t="str" cm="1">
        <f t="array" ref="D37">IFERROR(
_xlfn.XLOOKUP(1,
(CODE_PRICE!$A$3:$A$1003=$A$8)*
(CODE_PRICE!$B$3:$B$1003=C37),
CODE_PRICE!$C$3:$C$1003
),
"")</f>
        <v/>
      </c>
      <c r="E37" s="58"/>
      <c r="F37" s="58"/>
      <c r="G37" s="59"/>
      <c r="H37" s="60"/>
      <c r="I37" s="58"/>
      <c r="J37" s="61"/>
      <c r="K37" s="62"/>
      <c r="L37" s="63"/>
      <c r="M37" s="64"/>
      <c r="N37" s="63"/>
      <c r="O37" s="65"/>
      <c r="P37" s="65"/>
      <c r="Q37" s="65"/>
      <c r="R37" s="66"/>
      <c r="S37" s="59"/>
      <c r="T37" s="59"/>
      <c r="U37" s="93"/>
      <c r="V37" s="94"/>
      <c r="W37" s="95"/>
      <c r="X37" s="59" t="str">
        <f>IF(OR(E37="",C37=""),"",IF(COUNTIFS($E$17:E37,E37,$C$17:C37,C37)=1,E37&amp;" - "&amp;C37&amp;" - "&amp;SUMIFS($J$17:$J$5002,$E$17:$E$5002,E37,$C$17:$C$5002,C37)&amp;I37&amp;" - "&amp;TEXT(SUMIFS($U$17:$U$5002,$E$17:$E$5002,E37,$C$17:$C$5002,C37),"0.00")&amp;" Bf",""))</f>
        <v/>
      </c>
      <c r="Y37" s="24" t="str">
        <f>IF(COUNTIF($C$17:C37,C37)=1,ROUND(SUMIF($C:$C,C37,$W:$W),2), "")</f>
        <v/>
      </c>
    </row>
    <row r="38" spans="1:25" s="17" customFormat="1" ht="41.25" hidden="1" customHeight="1" x14ac:dyDescent="0.2">
      <c r="A38" s="57"/>
      <c r="B38" s="57"/>
      <c r="C38" s="57"/>
      <c r="D38" s="57" t="str" cm="1">
        <f t="array" ref="D38">IFERROR(
_xlfn.XLOOKUP(1,
(CODE_PRICE!$A$3:$A$1003=$A$8)*
(CODE_PRICE!$B$3:$B$1003=C38),
CODE_PRICE!$C$3:$C$1003
),
"")</f>
        <v/>
      </c>
      <c r="E38" s="58"/>
      <c r="F38" s="58"/>
      <c r="G38" s="59"/>
      <c r="H38" s="60"/>
      <c r="I38" s="58"/>
      <c r="J38" s="61"/>
      <c r="K38" s="62"/>
      <c r="L38" s="63"/>
      <c r="M38" s="64"/>
      <c r="N38" s="63"/>
      <c r="O38" s="65"/>
      <c r="P38" s="65"/>
      <c r="Q38" s="65"/>
      <c r="R38" s="66"/>
      <c r="S38" s="59"/>
      <c r="T38" s="59"/>
      <c r="U38" s="93"/>
      <c r="V38" s="94"/>
      <c r="W38" s="95"/>
      <c r="X38" s="59" t="str">
        <f>IF(OR(E38="",C38=""),"",IF(COUNTIFS($E$17:E38,E38,$C$17:C38,C38)=1,E38&amp;" - "&amp;C38&amp;" - "&amp;SUMIFS($J$17:$J$5002,$E$17:$E$5002,E38,$C$17:$C$5002,C38)&amp;I38&amp;" - "&amp;TEXT(SUMIFS($U$17:$U$5002,$E$17:$E$5002,E38,$C$17:$C$5002,C38),"0.00")&amp;" Bf",""))</f>
        <v/>
      </c>
      <c r="Y38" s="24" t="str">
        <f>IF(COUNTIF($C$17:C38,C38)=1,ROUND(SUMIF($C:$C,C38,$W:$W),2), "")</f>
        <v/>
      </c>
    </row>
    <row r="39" spans="1:25" s="17" customFormat="1" ht="41.25" hidden="1" customHeight="1" x14ac:dyDescent="0.2">
      <c r="A39" s="57"/>
      <c r="B39" s="57"/>
      <c r="C39" s="57"/>
      <c r="D39" s="57" t="str" cm="1">
        <f t="array" ref="D39">IFERROR(
_xlfn.XLOOKUP(1,
(CODE_PRICE!$A$3:$A$1003=$A$8)*
(CODE_PRICE!$B$3:$B$1003=C39),
CODE_PRICE!$C$3:$C$1003
),
"")</f>
        <v/>
      </c>
      <c r="E39" s="58"/>
      <c r="F39" s="58"/>
      <c r="G39" s="59"/>
      <c r="H39" s="60"/>
      <c r="I39" s="58"/>
      <c r="J39" s="61"/>
      <c r="K39" s="62"/>
      <c r="L39" s="63"/>
      <c r="M39" s="64"/>
      <c r="N39" s="63"/>
      <c r="O39" s="65"/>
      <c r="P39" s="65"/>
      <c r="Q39" s="65"/>
      <c r="R39" s="66"/>
      <c r="S39" s="59"/>
      <c r="T39" s="59"/>
      <c r="U39" s="93"/>
      <c r="V39" s="94"/>
      <c r="W39" s="95"/>
      <c r="X39" s="59" t="str">
        <f>IF(OR(E39="",C39=""),"",IF(COUNTIFS($E$17:E39,E39,$C$17:C39,C39)=1,E39&amp;" - "&amp;C39&amp;" - "&amp;SUMIFS($J$17:$J$5002,$E$17:$E$5002,E39,$C$17:$C$5002,C39)&amp;I39&amp;" - "&amp;TEXT(SUMIFS($U$17:$U$5002,$E$17:$E$5002,E39,$C$17:$C$5002,C39),"0.00")&amp;" Bf",""))</f>
        <v/>
      </c>
      <c r="Y39" s="24" t="str">
        <f>IF(COUNTIF($C$17:C39,C39)=1,ROUND(SUMIF($C:$C,C39,$W:$W),2), "")</f>
        <v/>
      </c>
    </row>
    <row r="40" spans="1:25" s="17" customFormat="1" ht="41.25" hidden="1" customHeight="1" x14ac:dyDescent="0.2">
      <c r="A40" s="57"/>
      <c r="B40" s="57"/>
      <c r="C40" s="57"/>
      <c r="D40" s="57" t="str" cm="1">
        <f t="array" ref="D40">IFERROR(
_xlfn.XLOOKUP(1,
(CODE_PRICE!$A$3:$A$1003=$A$8)*
(CODE_PRICE!$B$3:$B$1003=C40),
CODE_PRICE!$C$3:$C$1003
),
"")</f>
        <v/>
      </c>
      <c r="E40" s="58"/>
      <c r="F40" s="58"/>
      <c r="G40" s="59"/>
      <c r="H40" s="60"/>
      <c r="I40" s="58"/>
      <c r="J40" s="61"/>
      <c r="K40" s="62"/>
      <c r="L40" s="63"/>
      <c r="M40" s="64"/>
      <c r="N40" s="63"/>
      <c r="O40" s="65"/>
      <c r="P40" s="65"/>
      <c r="Q40" s="65"/>
      <c r="R40" s="66"/>
      <c r="S40" s="59"/>
      <c r="T40" s="59"/>
      <c r="U40" s="93"/>
      <c r="V40" s="94"/>
      <c r="W40" s="95"/>
      <c r="X40" s="59" t="str">
        <f>IF(OR(E40="",C40=""),"",IF(COUNTIFS($E$17:E40,E40,$C$17:C40,C40)=1,E40&amp;" - "&amp;C40&amp;" - "&amp;SUMIFS($J$17:$J$5002,$E$17:$E$5002,E40,$C$17:$C$5002,C40)&amp;I40&amp;" - "&amp;TEXT(SUMIFS($U$17:$U$5002,$E$17:$E$5002,E40,$C$17:$C$5002,C40),"0.00")&amp;" Bf",""))</f>
        <v/>
      </c>
      <c r="Y40" s="24" t="str">
        <f>IF(COUNTIF($C$17:C40,C40)=1,ROUND(SUMIF($C:$C,C40,$W:$W),2), "")</f>
        <v/>
      </c>
    </row>
    <row r="41" spans="1:25" s="17" customFormat="1" ht="41.25" hidden="1" customHeight="1" x14ac:dyDescent="0.2">
      <c r="A41" s="57"/>
      <c r="B41" s="57"/>
      <c r="C41" s="57"/>
      <c r="D41" s="57" t="str" cm="1">
        <f t="array" ref="D41">IFERROR(
_xlfn.XLOOKUP(1,
(CODE_PRICE!$A$3:$A$1003=$A$8)*
(CODE_PRICE!$B$3:$B$1003=C41),
CODE_PRICE!$C$3:$C$1003
),
"")</f>
        <v/>
      </c>
      <c r="E41" s="58"/>
      <c r="F41" s="58"/>
      <c r="G41" s="59"/>
      <c r="H41" s="60"/>
      <c r="I41" s="58"/>
      <c r="J41" s="61"/>
      <c r="K41" s="62"/>
      <c r="L41" s="63"/>
      <c r="M41" s="64"/>
      <c r="N41" s="63"/>
      <c r="O41" s="65"/>
      <c r="P41" s="65"/>
      <c r="Q41" s="65"/>
      <c r="R41" s="66"/>
      <c r="S41" s="59"/>
      <c r="T41" s="59"/>
      <c r="U41" s="93"/>
      <c r="V41" s="94"/>
      <c r="W41" s="95"/>
      <c r="X41" s="59" t="str">
        <f>IF(OR(E41="",C41=""),"",IF(COUNTIFS($E$17:E41,E41,$C$17:C41,C41)=1,E41&amp;" - "&amp;C41&amp;" - "&amp;SUMIFS($J$17:$J$5002,$E$17:$E$5002,E41,$C$17:$C$5002,C41)&amp;I41&amp;" - "&amp;TEXT(SUMIFS($U$17:$U$5002,$E$17:$E$5002,E41,$C$17:$C$5002,C41),"0.00")&amp;" Bf",""))</f>
        <v/>
      </c>
      <c r="Y41" s="24" t="str">
        <f>IF(COUNTIF($C$17:C41,C41)=1,ROUND(SUMIF($C:$C,C41,$W:$W),2), "")</f>
        <v/>
      </c>
    </row>
    <row r="42" spans="1:25" s="17" customFormat="1" ht="41.25" hidden="1" customHeight="1" x14ac:dyDescent="0.2">
      <c r="A42" s="57"/>
      <c r="B42" s="57"/>
      <c r="C42" s="57"/>
      <c r="D42" s="57" t="str" cm="1">
        <f t="array" ref="D42">IFERROR(
_xlfn.XLOOKUP(1,
(CODE_PRICE!$A$3:$A$1003=$A$8)*
(CODE_PRICE!$B$3:$B$1003=C42),
CODE_PRICE!$C$3:$C$1003
),
"")</f>
        <v/>
      </c>
      <c r="E42" s="58"/>
      <c r="F42" s="58"/>
      <c r="G42" s="59"/>
      <c r="H42" s="60"/>
      <c r="I42" s="58"/>
      <c r="J42" s="61"/>
      <c r="K42" s="62"/>
      <c r="L42" s="63" t="str" cm="1">
        <f t="array" ref="L42">IF(F42="untrim",_xlfn.XLOOKUP(1,(TRIM('SIZE GUIDE'!$A$3:$A$2015)=TRIM(F42))*(TRIM('SIZE GUIDE'!$B$3:$B$2015)=TRIM(G42))*(TRIM('SIZE GUIDE'!$C$3:$C$2015)=TRIM(I42)),'SIZE GUIDE'!$D$3:$D$2015),"")</f>
        <v/>
      </c>
      <c r="M42" s="64"/>
      <c r="N42" s="63"/>
      <c r="O42" s="65"/>
      <c r="P42" s="65" t="str" cm="1">
        <f t="array" ref="P42">IF(F42="trim",IFERROR(INDEX('SIZE GUIDE'!$E:$E,MATCH(1,('SIZE GUIDE'!$A:$A=$F42)*('SIZE GUIDE'!$B:$B=$G42)*('SIZE GUIDE'!$C:$C=$I42),0)),""),"")</f>
        <v/>
      </c>
      <c r="Q42" s="65"/>
      <c r="R42" s="66">
        <f t="shared" ref="R42:R49" si="5">IF(F42="untrim",L42-1.5,O42)</f>
        <v>0</v>
      </c>
      <c r="S42" s="59"/>
      <c r="T42" s="59"/>
      <c r="U42" s="93"/>
      <c r="V42" s="94"/>
      <c r="W42" s="95"/>
      <c r="X42" s="59" t="str">
        <f>IF(OR(E42="",C42=""),"",IF(COUNTIFS($E$17:E42,E42,$C$17:C42,C42)=1,E42&amp;" - "&amp;C42&amp;" - "&amp;SUMIFS($J$17:$J$5002,$E$17:$E$5002,E42,$C$17:$C$5002,C42)&amp;I42&amp;" - "&amp;TEXT(SUMIFS($U$17:$U$5002,$E$17:$E$5002,E42,$C$17:$C$5002,C42),"0.00")&amp;" Bf",""))</f>
        <v/>
      </c>
      <c r="Y42" s="24" t="str">
        <f>IF(COUNTIF($C$17:C42,C42)=1,ROUND(SUMIF($C:$C,C42,$W:$W),2), "")</f>
        <v/>
      </c>
    </row>
    <row r="43" spans="1:25" s="17" customFormat="1" ht="41.25" hidden="1" customHeight="1" x14ac:dyDescent="0.2">
      <c r="A43" s="57"/>
      <c r="B43" s="57"/>
      <c r="C43" s="57"/>
      <c r="D43" s="57" t="str" cm="1">
        <f t="array" ref="D43">IFERROR(
_xlfn.XLOOKUP(1,
(CODE_PRICE!$A$3:$A$1003=$A$8)*
(CODE_PRICE!$B$3:$B$1003=C43),
CODE_PRICE!$C$3:$C$1003
),
"")</f>
        <v/>
      </c>
      <c r="E43" s="58"/>
      <c r="F43" s="58"/>
      <c r="G43" s="59"/>
      <c r="H43" s="60"/>
      <c r="I43" s="58"/>
      <c r="J43" s="61"/>
      <c r="K43" s="62"/>
      <c r="L43" s="63" t="str" cm="1">
        <f t="array" ref="L43">IF(F43="untrim",_xlfn.XLOOKUP(1,(TRIM('SIZE GUIDE'!$A$3:$A$2015)=TRIM(F43))*(TRIM('SIZE GUIDE'!$B$3:$B$2015)=TRIM(G43))*(TRIM('SIZE GUIDE'!$C$3:$C$2015)=TRIM(I43)),'SIZE GUIDE'!$D$3:$D$2015),"")</f>
        <v/>
      </c>
      <c r="M43" s="64"/>
      <c r="N43" s="63"/>
      <c r="O43" s="65"/>
      <c r="P43" s="65" t="str" cm="1">
        <f t="array" ref="P43">IF(F43="trim",IFERROR(INDEX('SIZE GUIDE'!$E:$E,MATCH(1,('SIZE GUIDE'!$A:$A=$F43)*('SIZE GUIDE'!$B:$B=$G43)*('SIZE GUIDE'!$C:$C=$I43),0)),""),"")</f>
        <v/>
      </c>
      <c r="Q43" s="65"/>
      <c r="R43" s="66">
        <f t="shared" si="5"/>
        <v>0</v>
      </c>
      <c r="S43" s="59"/>
      <c r="T43" s="59"/>
      <c r="U43" s="93"/>
      <c r="V43" s="94"/>
      <c r="W43" s="95"/>
      <c r="X43" s="59" t="str">
        <f>IF(OR(E43="",C43=""),"",IF(COUNTIFS($E$17:E43,E43,$C$17:C43,C43)=1,E43&amp;" - "&amp;C43&amp;" - "&amp;SUMIFS($J$17:$J$5002,$E$17:$E$5002,E43,$C$17:$C$5002,C43)&amp;I43&amp;" - "&amp;TEXT(SUMIFS($U$17:$U$5002,$E$17:$E$5002,E43,$C$17:$C$5002,C43),"0.00")&amp;" Bf",""))</f>
        <v/>
      </c>
      <c r="Y43" s="24" t="str">
        <f>IF(COUNTIF($C$17:C43,C43)=1,ROUND(SUMIF($C:$C,C43,$W:$W),2), "")</f>
        <v/>
      </c>
    </row>
    <row r="44" spans="1:25" s="17" customFormat="1" ht="41.25" hidden="1" customHeight="1" x14ac:dyDescent="0.2">
      <c r="A44" s="57"/>
      <c r="B44" s="57"/>
      <c r="C44" s="57"/>
      <c r="D44" s="57" t="str" cm="1">
        <f t="array" ref="D44">IFERROR(
_xlfn.XLOOKUP(1,
(CODE_PRICE!$A$3:$A$1003=$A$8)*
(CODE_PRICE!$B$3:$B$1003=C44),
CODE_PRICE!$C$3:$C$1003
),
"")</f>
        <v/>
      </c>
      <c r="E44" s="58"/>
      <c r="F44" s="58"/>
      <c r="G44" s="59"/>
      <c r="H44" s="60"/>
      <c r="I44" s="58"/>
      <c r="J44" s="61"/>
      <c r="K44" s="62"/>
      <c r="L44" s="63" t="str" cm="1">
        <f t="array" ref="L44">IF(F44="untrim",_xlfn.XLOOKUP(1,(TRIM('SIZE GUIDE'!$A$3:$A$2015)=TRIM(F44))*(TRIM('SIZE GUIDE'!$B$3:$B$2015)=TRIM(G44))*(TRIM('SIZE GUIDE'!$C$3:$C$2015)=TRIM(I44)),'SIZE GUIDE'!$D$3:$D$2015),"")</f>
        <v/>
      </c>
      <c r="M44" s="64"/>
      <c r="N44" s="63"/>
      <c r="O44" s="65"/>
      <c r="P44" s="65" t="str" cm="1">
        <f t="array" ref="P44">IF(F44="trim",IFERROR(INDEX('SIZE GUIDE'!$E:$E,MATCH(1,('SIZE GUIDE'!$A:$A=$F44)*('SIZE GUIDE'!$B:$B=$G44)*('SIZE GUIDE'!$C:$C=$I44),0)),""),"")</f>
        <v/>
      </c>
      <c r="Q44" s="65"/>
      <c r="R44" s="66">
        <f t="shared" si="5"/>
        <v>0</v>
      </c>
      <c r="S44" s="59"/>
      <c r="T44" s="59"/>
      <c r="U44" s="93"/>
      <c r="V44" s="94"/>
      <c r="W44" s="95"/>
      <c r="X44" s="59" t="str">
        <f>IF(OR(E44="",C44=""),"",IF(COUNTIFS($E$17:E44,E44,$C$17:C44,C44)=1,E44&amp;" - "&amp;C44&amp;" - "&amp;SUMIFS($J$17:$J$5002,$E$17:$E$5002,E44,$C$17:$C$5002,C44)&amp;I44&amp;" - "&amp;TEXT(SUMIFS($U$17:$U$5002,$E$17:$E$5002,E44,$C$17:$C$5002,C44),"0.00")&amp;" Bf",""))</f>
        <v/>
      </c>
      <c r="Y44" s="24" t="str">
        <f>IF(COUNTIF($C$17:C44,C44)=1,ROUND(SUMIF($C:$C,C44,$W:$W),2), "")</f>
        <v/>
      </c>
    </row>
    <row r="45" spans="1:25" s="17" customFormat="1" ht="41.25" hidden="1" customHeight="1" x14ac:dyDescent="0.2">
      <c r="A45" s="57"/>
      <c r="B45" s="57"/>
      <c r="C45" s="57"/>
      <c r="D45" s="57" t="str" cm="1">
        <f t="array" ref="D45">IFERROR(
_xlfn.XLOOKUP(1,
(CODE_PRICE!$A$3:$A$1003=$A$8)*
(CODE_PRICE!$B$3:$B$1003=C45),
CODE_PRICE!$C$3:$C$1003
),
"")</f>
        <v/>
      </c>
      <c r="E45" s="58"/>
      <c r="F45" s="58"/>
      <c r="G45" s="59"/>
      <c r="H45" s="60"/>
      <c r="I45" s="58"/>
      <c r="J45" s="61"/>
      <c r="K45" s="62"/>
      <c r="L45" s="63" t="str" cm="1">
        <f t="array" ref="L45">IF(F45="untrim",_xlfn.XLOOKUP(1,(TRIM('SIZE GUIDE'!$A$3:$A$2015)=TRIM(F45))*(TRIM('SIZE GUIDE'!$B$3:$B$2015)=TRIM(G45))*(TRIM('SIZE GUIDE'!$C$3:$C$2015)=TRIM(I45)),'SIZE GUIDE'!$D$3:$D$2015),"")</f>
        <v/>
      </c>
      <c r="M45" s="64"/>
      <c r="N45" s="63"/>
      <c r="O45" s="65"/>
      <c r="P45" s="65" t="str" cm="1">
        <f t="array" ref="P45">IF(F45="trim",IFERROR(INDEX('SIZE GUIDE'!$E:$E,MATCH(1,('SIZE GUIDE'!$A:$A=$F45)*('SIZE GUIDE'!$B:$B=$G45)*('SIZE GUIDE'!$C:$C=$I45),0)),""),"")</f>
        <v/>
      </c>
      <c r="Q45" s="65"/>
      <c r="R45" s="66">
        <f t="shared" si="5"/>
        <v>0</v>
      </c>
      <c r="S45" s="59"/>
      <c r="T45" s="59"/>
      <c r="U45" s="93"/>
      <c r="V45" s="94"/>
      <c r="W45" s="95"/>
      <c r="X45" s="59" t="str">
        <f>IF(OR(E45="",C45=""),"",IF(COUNTIFS($E$17:E45,E45,$C$17:C45,C45)=1,E45&amp;" - "&amp;C45&amp;" - "&amp;SUMIFS($J$17:$J$5002,$E$17:$E$5002,E45,$C$17:$C$5002,C45)&amp;I45&amp;" - "&amp;TEXT(SUMIFS($U$17:$U$5002,$E$17:$E$5002,E45,$C$17:$C$5002,C45),"0.00")&amp;" Bf",""))</f>
        <v/>
      </c>
      <c r="Y45" s="24" t="str">
        <f>IF(COUNTIF($C$17:C45,C45)=1,ROUND(SUMIF($C:$C,C45,$W:$W),2), "")</f>
        <v/>
      </c>
    </row>
    <row r="46" spans="1:25" s="17" customFormat="1" ht="41.25" hidden="1" customHeight="1" x14ac:dyDescent="0.2">
      <c r="A46" s="57"/>
      <c r="B46" s="57"/>
      <c r="C46" s="57"/>
      <c r="D46" s="57" t="str" cm="1">
        <f t="array" ref="D46">IFERROR(
_xlfn.XLOOKUP(1,
(CODE_PRICE!$A$3:$A$1003=$A$8)*
(CODE_PRICE!$B$3:$B$1003=C46),
CODE_PRICE!$C$3:$C$1003
),
"")</f>
        <v/>
      </c>
      <c r="E46" s="58"/>
      <c r="F46" s="58"/>
      <c r="G46" s="59"/>
      <c r="H46" s="60"/>
      <c r="I46" s="58"/>
      <c r="J46" s="61"/>
      <c r="K46" s="62"/>
      <c r="L46" s="63" t="str" cm="1">
        <f t="array" ref="L46">IF(F46="untrim",_xlfn.XLOOKUP(1,(TRIM('SIZE GUIDE'!$A$3:$A$2015)=TRIM(F46))*(TRIM('SIZE GUIDE'!$B$3:$B$2015)=TRIM(G46))*(TRIM('SIZE GUIDE'!$C$3:$C$2015)=TRIM(I46)),'SIZE GUIDE'!$D$3:$D$2015),"")</f>
        <v/>
      </c>
      <c r="M46" s="64"/>
      <c r="N46" s="63"/>
      <c r="O46" s="65"/>
      <c r="P46" s="65" t="str" cm="1">
        <f t="array" ref="P46">IF(F46="trim",IFERROR(INDEX('SIZE GUIDE'!$E:$E,MATCH(1,('SIZE GUIDE'!$A:$A=$F46)*('SIZE GUIDE'!$B:$B=$G46)*('SIZE GUIDE'!$C:$C=$I46),0)),""),"")</f>
        <v/>
      </c>
      <c r="Q46" s="65"/>
      <c r="R46" s="66">
        <f t="shared" si="5"/>
        <v>0</v>
      </c>
      <c r="S46" s="59"/>
      <c r="T46" s="59"/>
      <c r="U46" s="93"/>
      <c r="V46" s="94"/>
      <c r="W46" s="95"/>
      <c r="X46" s="59" t="str">
        <f>IF(OR(E46="",C46=""),"",IF(COUNTIFS($E$17:E46,E46,$C$17:C46,C46)=1,E46&amp;" - "&amp;C46&amp;" - "&amp;SUMIFS($J$17:$J$5002,$E$17:$E$5002,E46,$C$17:$C$5002,C46)&amp;I46&amp;" - "&amp;TEXT(SUMIFS($U$17:$U$5002,$E$17:$E$5002,E46,$C$17:$C$5002,C46),"0.00")&amp;" Bf",""))</f>
        <v/>
      </c>
      <c r="Y46" s="24" t="str">
        <f>IF(COUNTIF($C$17:C46,C46)=1,ROUND(SUMIF($C:$C,C46,$W:$W),2), "")</f>
        <v/>
      </c>
    </row>
    <row r="47" spans="1:25" s="17" customFormat="1" ht="41.25" hidden="1" customHeight="1" x14ac:dyDescent="0.2">
      <c r="A47" s="57"/>
      <c r="B47" s="57"/>
      <c r="C47" s="57"/>
      <c r="D47" s="57" t="str" cm="1">
        <f t="array" ref="D47">IFERROR(
_xlfn.XLOOKUP(1,
(CODE_PRICE!$A$3:$A$1003=$A$8)*
(CODE_PRICE!$B$3:$B$1003=C47),
CODE_PRICE!$C$3:$C$1003
),
"")</f>
        <v/>
      </c>
      <c r="E47" s="58"/>
      <c r="F47" s="58"/>
      <c r="G47" s="59"/>
      <c r="H47" s="60"/>
      <c r="I47" s="58"/>
      <c r="J47" s="61"/>
      <c r="K47" s="62"/>
      <c r="L47" s="63" t="str" cm="1">
        <f t="array" ref="L47">IF(F47="untrim",_xlfn.XLOOKUP(1,(TRIM('SIZE GUIDE'!$A$3:$A$2015)=TRIM(F47))*(TRIM('SIZE GUIDE'!$B$3:$B$2015)=TRIM(G47))*(TRIM('SIZE GUIDE'!$C$3:$C$2015)=TRIM(I47)),'SIZE GUIDE'!$D$3:$D$2015),"")</f>
        <v/>
      </c>
      <c r="M47" s="64"/>
      <c r="N47" s="63"/>
      <c r="O47" s="65"/>
      <c r="P47" s="65" t="str" cm="1">
        <f t="array" ref="P47">IF(F47="trim",IFERROR(INDEX('SIZE GUIDE'!$E:$E,MATCH(1,('SIZE GUIDE'!$A:$A=$F47)*('SIZE GUIDE'!$B:$B=$G47)*('SIZE GUIDE'!$C:$C=$I47),0)),""),"")</f>
        <v/>
      </c>
      <c r="Q47" s="65"/>
      <c r="R47" s="66">
        <f t="shared" si="5"/>
        <v>0</v>
      </c>
      <c r="S47" s="59"/>
      <c r="T47" s="59"/>
      <c r="U47" s="93"/>
      <c r="V47" s="94"/>
      <c r="W47" s="95"/>
      <c r="X47" s="59" t="str">
        <f>IF(OR(E47="",C47=""),"",IF(COUNTIFS($E$17:E47,E47,$C$17:C47,C47)=1,E47&amp;" - "&amp;C47&amp;" - "&amp;SUMIFS($J$17:$J$5002,$E$17:$E$5002,E47,$C$17:$C$5002,C47)&amp;I47&amp;" - "&amp;TEXT(SUMIFS($U$17:$U$5002,$E$17:$E$5002,E47,$C$17:$C$5002,C47),"0.00")&amp;" Bf",""))</f>
        <v/>
      </c>
      <c r="Y47" s="24" t="str">
        <f>IF(COUNTIF($C$17:C47,C47)=1,ROUND(SUMIF($C:$C,C47,$W:$W),2), "")</f>
        <v/>
      </c>
    </row>
    <row r="48" spans="1:25" s="17" customFormat="1" ht="41.25" hidden="1" customHeight="1" x14ac:dyDescent="0.2">
      <c r="A48" s="57"/>
      <c r="B48" s="57"/>
      <c r="C48" s="57"/>
      <c r="D48" s="57" t="str" cm="1">
        <f t="array" ref="D48">IFERROR(
_xlfn.XLOOKUP(1,
(CODE_PRICE!$A$3:$A$1003=$A$8)*
(CODE_PRICE!$B$3:$B$1003=C48),
CODE_PRICE!$C$3:$C$1003
),
"")</f>
        <v/>
      </c>
      <c r="E48" s="58"/>
      <c r="F48" s="58"/>
      <c r="G48" s="59"/>
      <c r="H48" s="60"/>
      <c r="I48" s="58"/>
      <c r="J48" s="61"/>
      <c r="K48" s="62"/>
      <c r="L48" s="63" t="str" cm="1">
        <f t="array" ref="L48">IF(F48="untrim",_xlfn.XLOOKUP(1,(TRIM('SIZE GUIDE'!$A$3:$A$2015)=TRIM(F48))*(TRIM('SIZE GUIDE'!$B$3:$B$2015)=TRIM(G48))*(TRIM('SIZE GUIDE'!$C$3:$C$2015)=TRIM(I48)),'SIZE GUIDE'!$D$3:$D$2015),"")</f>
        <v/>
      </c>
      <c r="M48" s="64"/>
      <c r="N48" s="63"/>
      <c r="O48" s="65"/>
      <c r="P48" s="65" t="str" cm="1">
        <f t="array" ref="P48">IF(F48="trim",IFERROR(INDEX('SIZE GUIDE'!$E:$E,MATCH(1,('SIZE GUIDE'!$A:$A=$F48)*('SIZE GUIDE'!$B:$B=$G48)*('SIZE GUIDE'!$C:$C=$I48),0)),""),"")</f>
        <v/>
      </c>
      <c r="Q48" s="65"/>
      <c r="R48" s="66">
        <f t="shared" si="5"/>
        <v>0</v>
      </c>
      <c r="S48" s="59"/>
      <c r="T48" s="59"/>
      <c r="U48" s="93"/>
      <c r="V48" s="94"/>
      <c r="W48" s="95"/>
      <c r="X48" s="59" t="str">
        <f>IF(OR(E48="",C48=""),"",IF(COUNTIFS($E$17:E48,E48,$C$17:C48,C48)=1,E48&amp;" - "&amp;C48&amp;" - "&amp;SUMIFS($J$17:$J$5002,$E$17:$E$5002,E48,$C$17:$C$5002,C48)&amp;I48&amp;" - "&amp;TEXT(SUMIFS($U$17:$U$5002,$E$17:$E$5002,E48,$C$17:$C$5002,C48),"0.00")&amp;" Bf",""))</f>
        <v/>
      </c>
      <c r="Y48" s="24" t="str">
        <f>IF(COUNTIF($C$17:C48,C48)=1,ROUND(SUMIF($C:$C,C48,$W:$W),2), "")</f>
        <v/>
      </c>
    </row>
    <row r="49" spans="1:25" s="17" customFormat="1" ht="41.25" hidden="1" customHeight="1" x14ac:dyDescent="0.2">
      <c r="A49" s="57"/>
      <c r="B49" s="57"/>
      <c r="C49" s="57"/>
      <c r="D49" s="57" t="str" cm="1">
        <f t="array" ref="D49">IFERROR(
_xlfn.XLOOKUP(1,
(CODE_PRICE!$A$3:$A$1003=$A$8)*
(CODE_PRICE!$B$3:$B$1003=C49),
CODE_PRICE!$C$3:$C$1003
),
"")</f>
        <v/>
      </c>
      <c r="E49" s="58"/>
      <c r="F49" s="58"/>
      <c r="G49" s="59"/>
      <c r="H49" s="60"/>
      <c r="I49" s="58"/>
      <c r="J49" s="61"/>
      <c r="K49" s="62"/>
      <c r="L49" s="63" t="str" cm="1">
        <f t="array" ref="L49">IF(F49="untrim",_xlfn.XLOOKUP(1,(TRIM('SIZE GUIDE'!$A$3:$A$2015)=TRIM(F49))*(TRIM('SIZE GUIDE'!$B$3:$B$2015)=TRIM(G49))*(TRIM('SIZE GUIDE'!$C$3:$C$2015)=TRIM(I49)),'SIZE GUIDE'!$D$3:$D$2015),"")</f>
        <v/>
      </c>
      <c r="M49" s="64"/>
      <c r="N49" s="63"/>
      <c r="O49" s="65"/>
      <c r="P49" s="65" t="str" cm="1">
        <f t="array" ref="P49">IF(F49="trim",IFERROR(INDEX('SIZE GUIDE'!$E:$E,MATCH(1,('SIZE GUIDE'!$A:$A=$F49)*('SIZE GUIDE'!$B:$B=$G49)*('SIZE GUIDE'!$C:$C=$I49),0)),""),"")</f>
        <v/>
      </c>
      <c r="Q49" s="65"/>
      <c r="R49" s="66">
        <f t="shared" si="5"/>
        <v>0</v>
      </c>
      <c r="S49" s="59"/>
      <c r="T49" s="59"/>
      <c r="U49" s="93"/>
      <c r="V49" s="94"/>
      <c r="W49" s="95"/>
      <c r="X49" s="59" t="str">
        <f>IF(OR(E49="",C49=""),"",IF(COUNTIFS($E$17:E49,E49,$C$17:C49,C49)=1,E49&amp;" - "&amp;C49&amp;" - "&amp;SUMIFS($J$17:$J$5002,$E$17:$E$5002,E49,$C$17:$C$5002,C49)&amp;I49&amp;" - "&amp;TEXT(SUMIFS($U$17:$U$5002,$E$17:$E$5002,E49,$C$17:$C$5002,C49),"0.00")&amp;" Bf",""))</f>
        <v/>
      </c>
      <c r="Y49" s="24" t="str">
        <f>IF(COUNTIF($C$17:C49,C49)=1,ROUND(SUMIF($C:$C,C49,$W:$W),2), "")</f>
        <v/>
      </c>
    </row>
    <row r="50" spans="1:25" s="17" customFormat="1" ht="41.25" customHeight="1" thickBot="1" x14ac:dyDescent="0.25">
      <c r="A50" s="53"/>
      <c r="B50" s="53"/>
      <c r="C50" s="53"/>
      <c r="D50" s="53" t="str" cm="1">
        <f t="array" ref="D50">IFERROR(
_xlfn.XLOOKUP(1,
(CODE_PRICE!$A$3:$A$1003=$A$8)*
(CODE_PRICE!$B$3:$B$1003=C50),
CODE_PRICE!$C$3:$C$1003
),
"")</f>
        <v/>
      </c>
      <c r="E50" s="53"/>
      <c r="F50" s="67"/>
      <c r="G50" s="68"/>
      <c r="H50" s="68"/>
      <c r="I50" s="69" t="s">
        <v>155</v>
      </c>
      <c r="J50" s="70">
        <f>SUM(J17:J49)</f>
        <v>10</v>
      </c>
      <c r="K50" s="55"/>
      <c r="L50" s="55"/>
      <c r="M50" s="55"/>
      <c r="N50" s="55"/>
      <c r="O50" s="56"/>
      <c r="P50" s="56"/>
      <c r="Q50" s="56"/>
      <c r="R50" s="67"/>
      <c r="S50" s="67"/>
      <c r="T50" s="67"/>
      <c r="U50" s="96">
        <f>SUM(U17:U49)</f>
        <v>23262.46875</v>
      </c>
      <c r="V50" s="97"/>
      <c r="W50" s="92">
        <f>SUM(W17:W49)</f>
        <v>6899.0975156249988</v>
      </c>
      <c r="X50" s="109"/>
      <c r="Y50" s="109"/>
    </row>
    <row r="51" spans="1:25" s="17" customFormat="1" ht="41.25" customHeight="1" x14ac:dyDescent="0.2">
      <c r="A51" s="57"/>
      <c r="B51" s="71"/>
      <c r="C51" s="71"/>
      <c r="D51" s="156" t="str" cm="1">
        <f t="array" ref="D51">IFERROR(
_xlfn.XLOOKUP(1,
(CODE_PRICE!$A$3:$A$1003=$A$8)*
(CODE_PRICE!$B$3:$B$1003=C51),
CODE_PRICE!$C$3:$C$1003
),
"")</f>
        <v/>
      </c>
      <c r="E51" s="72"/>
      <c r="F51" s="72"/>
      <c r="G51" s="73"/>
      <c r="H51" s="74"/>
      <c r="I51" s="75" t="s">
        <v>156</v>
      </c>
      <c r="J51" s="76"/>
      <c r="K51" s="77"/>
      <c r="L51" s="78"/>
      <c r="M51" s="79"/>
      <c r="N51" s="78"/>
      <c r="O51" s="78"/>
      <c r="P51" s="78"/>
      <c r="Q51" s="78"/>
      <c r="R51" s="80"/>
      <c r="S51" s="80"/>
      <c r="T51" s="80"/>
      <c r="U51" s="81"/>
      <c r="V51" s="82"/>
      <c r="W51" s="83">
        <v>900</v>
      </c>
      <c r="X51" s="19"/>
      <c r="Y51" s="25"/>
    </row>
    <row r="52" spans="1:25" s="17" customFormat="1" ht="41.25" customHeight="1" thickBot="1" x14ac:dyDescent="0.25">
      <c r="A52" s="53"/>
      <c r="B52" s="53"/>
      <c r="C52" s="68"/>
      <c r="D52" s="68" t="str" cm="1">
        <f t="array" ref="D52">IFERROR(
_xlfn.XLOOKUP(1,
(CODE_PRICE!$A$3:$A$1003=$A$8)*
(CODE_PRICE!$B$3:$B$1003=C52),
CODE_PRICE!$C$3:$C$1003
),
"")</f>
        <v/>
      </c>
      <c r="E52" s="67"/>
      <c r="F52" s="67"/>
      <c r="G52" s="67"/>
      <c r="H52" s="67"/>
      <c r="I52" s="69" t="s">
        <v>162</v>
      </c>
      <c r="J52" s="70">
        <f>J50</f>
        <v>10</v>
      </c>
      <c r="K52" s="55"/>
      <c r="L52" s="55"/>
      <c r="M52" s="55"/>
      <c r="N52" s="55"/>
      <c r="O52" s="56"/>
      <c r="P52" s="56"/>
      <c r="Q52" s="56"/>
      <c r="R52" s="67"/>
      <c r="S52" s="67"/>
      <c r="T52" s="67"/>
      <c r="U52" s="96">
        <f>U50</f>
        <v>23262.46875</v>
      </c>
      <c r="V52" s="97"/>
      <c r="W52" s="92">
        <f>+W50+W51</f>
        <v>7799.0975156249988</v>
      </c>
      <c r="X52" s="109"/>
      <c r="Y52" s="109"/>
    </row>
    <row r="53" spans="1:25" ht="15" customHeight="1" x14ac:dyDescent="0.25">
      <c r="A53" s="48"/>
      <c r="B53" s="48"/>
      <c r="C53" s="48"/>
      <c r="D53" s="48"/>
      <c r="E53" s="48"/>
      <c r="F53" s="48"/>
      <c r="G53" s="84"/>
      <c r="H53" s="48"/>
      <c r="I53" s="85"/>
      <c r="J53" s="85"/>
      <c r="K53" s="8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89"/>
    </row>
    <row r="54" spans="1:25" ht="15" customHeight="1" x14ac:dyDescent="0.25">
      <c r="A54" s="48" t="s">
        <v>153</v>
      </c>
      <c r="B54" s="48"/>
      <c r="C54" s="48"/>
      <c r="D54" s="48"/>
      <c r="E54" s="48"/>
      <c r="F54" s="48"/>
      <c r="G54" s="84"/>
      <c r="H54" s="48"/>
      <c r="I54" s="85"/>
      <c r="J54" s="85"/>
      <c r="K54" s="8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89"/>
    </row>
    <row r="55" spans="1:25" ht="15" customHeight="1" x14ac:dyDescent="0.25">
      <c r="A55" s="48"/>
      <c r="B55" s="48"/>
      <c r="C55" s="48"/>
      <c r="D55" s="48"/>
      <c r="E55" s="48"/>
      <c r="F55" s="48"/>
      <c r="G55" s="84"/>
      <c r="H55" s="48"/>
      <c r="I55" s="85"/>
      <c r="J55" s="85"/>
      <c r="K55" s="85"/>
      <c r="L55" s="35"/>
      <c r="M55" s="35"/>
      <c r="O55" s="35"/>
      <c r="P55" s="35"/>
      <c r="Q55" s="35"/>
      <c r="R55" s="35"/>
      <c r="S55" s="35"/>
      <c r="T55" s="35"/>
      <c r="U55" s="35"/>
      <c r="V55" s="35"/>
      <c r="W55" s="89"/>
    </row>
    <row r="56" spans="1:25" ht="15" customHeight="1" x14ac:dyDescent="0.25">
      <c r="A56" s="48" t="s">
        <v>154</v>
      </c>
      <c r="B56" s="48"/>
      <c r="C56" s="48"/>
      <c r="D56" s="48"/>
      <c r="E56" s="48"/>
      <c r="F56" s="48"/>
      <c r="G56" s="84"/>
      <c r="H56" s="48"/>
      <c r="I56" s="85"/>
      <c r="J56" s="85"/>
      <c r="K56" s="85"/>
      <c r="L56" s="35"/>
      <c r="M56" s="35"/>
      <c r="O56" s="35"/>
      <c r="P56" s="35"/>
      <c r="Q56" s="35"/>
      <c r="R56" s="35"/>
      <c r="S56" s="35"/>
      <c r="T56" s="35"/>
      <c r="U56" s="35"/>
      <c r="V56" s="35"/>
      <c r="W56" s="89"/>
    </row>
    <row r="57" spans="1:25" ht="15" customHeight="1" x14ac:dyDescent="0.25">
      <c r="A57" s="48"/>
      <c r="B57" s="48"/>
      <c r="C57" s="48"/>
      <c r="D57" s="48"/>
      <c r="E57" s="48"/>
      <c r="F57" s="48"/>
      <c r="G57" s="84"/>
      <c r="H57" s="48"/>
      <c r="I57" s="85"/>
      <c r="J57" s="85"/>
      <c r="K57" s="85"/>
      <c r="L57" s="35"/>
      <c r="M57" s="35"/>
      <c r="O57" s="35"/>
      <c r="P57" s="35"/>
      <c r="Q57" s="35"/>
      <c r="R57" s="35"/>
      <c r="S57" s="35"/>
      <c r="T57" s="35"/>
      <c r="U57" s="35"/>
      <c r="V57" s="35"/>
      <c r="W57" s="89"/>
    </row>
    <row r="58" spans="1:25" ht="15" customHeight="1" x14ac:dyDescent="0.25">
      <c r="A58" s="48"/>
      <c r="B58" s="48"/>
      <c r="C58" s="48"/>
      <c r="D58" s="48"/>
      <c r="E58" s="48"/>
      <c r="F58" s="48"/>
      <c r="G58" s="84"/>
      <c r="H58" s="48"/>
      <c r="I58" s="85"/>
      <c r="J58" s="85"/>
      <c r="K58" s="85"/>
      <c r="L58" s="35"/>
      <c r="M58" s="35"/>
      <c r="O58" s="35"/>
      <c r="P58" s="35"/>
      <c r="Q58" s="35"/>
      <c r="R58" s="35"/>
      <c r="S58" s="35"/>
      <c r="T58" s="35"/>
      <c r="U58" s="35"/>
      <c r="V58" s="35"/>
      <c r="W58" s="89"/>
    </row>
    <row r="59" spans="1:25" ht="15" customHeight="1" x14ac:dyDescent="0.25">
      <c r="A59" s="86"/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5"/>
      <c r="M59" s="35"/>
      <c r="O59" s="35"/>
      <c r="P59" s="35"/>
      <c r="Q59" s="35"/>
      <c r="R59" s="35"/>
      <c r="S59" s="35"/>
      <c r="T59" s="35"/>
      <c r="U59" s="35"/>
      <c r="V59" s="35"/>
      <c r="W59" s="89"/>
    </row>
    <row r="60" spans="1:25" ht="15" customHeight="1" x14ac:dyDescent="0.25">
      <c r="A60" s="86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5"/>
      <c r="M60" s="35"/>
      <c r="O60" s="35"/>
      <c r="P60" s="35"/>
      <c r="Q60" s="35"/>
      <c r="R60" s="35"/>
      <c r="S60" s="35"/>
      <c r="T60" s="35"/>
      <c r="U60" s="35"/>
      <c r="V60" s="35"/>
      <c r="W60" s="89"/>
    </row>
  </sheetData>
  <mergeCells count="5">
    <mergeCell ref="A7:F7"/>
    <mergeCell ref="G7:H7"/>
    <mergeCell ref="S9:T9"/>
    <mergeCell ref="B59:K59"/>
    <mergeCell ref="B60:K60"/>
  </mergeCells>
  <conditionalFormatting sqref="C27:D27">
    <cfRule type="containsText" dxfId="29" priority="1" operator="containsText" text="CFN50180W">
      <formula>NOT(ISERROR(SEARCH(("CFN50180W"),(C27))))</formula>
    </cfRule>
    <cfRule type="containsText" dxfId="28" priority="2" operator="containsText" text="CFN17138W">
      <formula>NOT(ISERROR(SEARCH(("CFN17138W"),(C27))))</formula>
    </cfRule>
    <cfRule type="containsText" dxfId="27" priority="3" operator="containsText" text="CFN39180W">
      <formula>NOT(ISERROR(SEARCH(("CFN39180W"),(C27))))</formula>
    </cfRule>
    <cfRule type="containsText" dxfId="26" priority="4" operator="containsText" text="CFN34150">
      <formula>NOT(ISERROR(SEARCH(("CFN34150"),(C27))))</formula>
    </cfRule>
    <cfRule type="containsText" dxfId="25" priority="5" operator="containsText" text="CFN50131">
      <formula>NOT(ISERROR(SEARCH(("CFN50131"),(C27))))</formula>
    </cfRule>
    <cfRule type="containsText" dxfId="24" priority="6" operator="containsText" text="CFN30100W">
      <formula>NOT(ISERROR(SEARCH(("CFN30100W"),(C27))))</formula>
    </cfRule>
  </conditionalFormatting>
  <pageMargins left="0" right="0" top="1" bottom="1" header="0.511811023622047" footer="0.511811023622047"/>
  <pageSetup scale="46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xr:uid="{C76F6220-326D-4A98-9DE1-1CFAF2E2A40C}">
          <x14:formula1>
            <xm:f>CODE_MASTER_AS!$A$3:$A$14</xm:f>
          </x14:formula1>
          <xm:sqref>G50:H50 C28:C49 C51:C52 D17:D52 C17:C26</xm:sqref>
        </x14:dataValidation>
        <x14:dataValidation type="list" allowBlank="1" xr:uid="{7D10F5F3-A687-4F1D-9EA0-C5D224840A1D}">
          <x14:formula1>
            <xm:f>'SIZE GUIDE'!$A$3:$A$38</xm:f>
          </x14:formula1>
          <xm:sqref>F17:F52</xm:sqref>
        </x14:dataValidation>
        <x14:dataValidation type="list" allowBlank="1" xr:uid="{34BC0FD6-822C-421A-898E-5063BADD78A5}">
          <x14:formula1>
            <xm:f>LISTS!$B$2:$B$8</xm:f>
          </x14:formula1>
          <x14:formula2>
            <xm:f>0</xm:f>
          </x14:formula2>
          <xm:sqref>I17:I52</xm:sqref>
        </x14:dataValidation>
        <x14:dataValidation type="list" allowBlank="1" showInputMessage="1" showErrorMessage="1" xr:uid="{3C35CEC5-3733-42D9-BE42-B7F93AE8DBF8}">
          <x14:formula1>
            <xm:f>'SIZE GUIDE'!$B:$B</xm:f>
          </x14:formula1>
          <xm:sqref>H50 G17:G52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30959-A82B-43C1-AC9D-9B40244BDDD0}">
  <sheetPr codeName="Sheet12">
    <pageSetUpPr fitToPage="1"/>
  </sheetPr>
  <dimension ref="A1:Y60"/>
  <sheetViews>
    <sheetView showGridLines="0" view="pageBreakPreview" topLeftCell="A2" zoomScale="89" zoomScaleNormal="68" zoomScaleSheetLayoutView="89" workbookViewId="0">
      <selection activeCell="W21" sqref="W21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15.1640625" style="16" hidden="1" customWidth="1"/>
    <col min="5" max="5" width="16.83203125" style="16" customWidth="1"/>
    <col min="6" max="6" width="11.83203125" style="16" hidden="1" customWidth="1"/>
    <col min="7" max="7" width="21.5" style="16" customWidth="1"/>
    <col min="8" max="8" width="10.6640625" style="16" customWidth="1"/>
    <col min="9" max="9" width="14" style="16" customWidth="1"/>
    <col min="10" max="16" width="10.6640625" style="16" hidden="1" customWidth="1"/>
    <col min="17" max="19" width="10.6640625" style="16" customWidth="1"/>
    <col min="20" max="21" width="14.6640625" style="16" customWidth="1"/>
    <col min="22" max="22" width="14.6640625" style="98" customWidth="1"/>
    <col min="23" max="23" width="39.83203125" style="16" customWidth="1"/>
    <col min="24" max="24" width="18.33203125" style="23" customWidth="1"/>
    <col min="25" max="28" width="8.6640625" style="16" customWidth="1"/>
    <col min="29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9"/>
      <c r="K1" s="29"/>
      <c r="L1" s="29"/>
      <c r="M1" s="29"/>
      <c r="N1" s="27"/>
      <c r="O1" s="27"/>
      <c r="P1" s="121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30"/>
      <c r="K2" s="31"/>
      <c r="L2" s="29"/>
      <c r="M2" s="32" t="s">
        <v>161</v>
      </c>
      <c r="N2" s="27"/>
      <c r="O2" s="27"/>
      <c r="P2" s="28" t="s">
        <v>160</v>
      </c>
      <c r="R2" s="20"/>
      <c r="S2" s="21"/>
      <c r="U2" s="13"/>
      <c r="V2" s="20" t="s">
        <v>151</v>
      </c>
      <c r="W2" s="20"/>
      <c r="X2" s="22"/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37"/>
      <c r="K3" s="37"/>
      <c r="L3" s="37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37"/>
      <c r="K4" s="37"/>
      <c r="L4" s="37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37"/>
      <c r="K5" s="37"/>
      <c r="L5" s="37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37"/>
      <c r="K6" s="37"/>
      <c r="L6" s="37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5"/>
      <c r="I7" s="35"/>
      <c r="J7" s="37"/>
      <c r="K7" s="37"/>
      <c r="L7" s="37"/>
      <c r="M7" s="37"/>
      <c r="N7" s="38"/>
      <c r="O7" s="38"/>
      <c r="P7" s="38"/>
      <c r="Q7" s="43" t="s">
        <v>147</v>
      </c>
      <c r="R7" s="43"/>
      <c r="S7" s="43"/>
      <c r="T7" s="43"/>
      <c r="U7" s="43"/>
      <c r="V7" s="43" t="s">
        <v>148</v>
      </c>
      <c r="W7" s="43"/>
      <c r="X7" s="43"/>
    </row>
    <row r="8" spans="1:24" ht="15" customHeight="1" x14ac:dyDescent="0.25">
      <c r="A8" s="44" t="s">
        <v>207</v>
      </c>
      <c r="B8" s="45"/>
      <c r="C8" s="45"/>
      <c r="D8" s="46"/>
      <c r="E8" s="46"/>
      <c r="F8" s="36"/>
      <c r="G8" s="46"/>
      <c r="H8" s="35"/>
      <c r="I8" s="35"/>
      <c r="J8" s="37"/>
      <c r="K8" s="37"/>
      <c r="L8" s="37"/>
      <c r="M8" s="37"/>
      <c r="N8" s="38"/>
      <c r="O8" s="38"/>
      <c r="P8" s="38"/>
      <c r="Q8" s="105" t="s">
        <v>266</v>
      </c>
      <c r="R8" s="87"/>
      <c r="S8" s="106"/>
      <c r="T8" s="46"/>
      <c r="U8" s="107"/>
      <c r="V8" s="108">
        <v>46197</v>
      </c>
      <c r="W8" s="13"/>
      <c r="X8" s="22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37"/>
      <c r="K9" s="37"/>
      <c r="L9" s="37"/>
      <c r="M9" s="37"/>
      <c r="N9" s="38"/>
      <c r="O9" s="38"/>
      <c r="P9" s="38"/>
      <c r="Q9" s="86"/>
      <c r="R9" s="320"/>
      <c r="S9" s="320"/>
      <c r="T9" s="46"/>
      <c r="U9" s="107"/>
      <c r="V9" s="33"/>
      <c r="W9" s="13"/>
      <c r="X9" s="22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37"/>
      <c r="K10" s="37"/>
      <c r="L10" s="37"/>
      <c r="M10" s="37"/>
      <c r="N10" s="38"/>
      <c r="O10" s="38"/>
      <c r="P10" s="38"/>
      <c r="Q10" s="42" t="s">
        <v>149</v>
      </c>
      <c r="R10" s="43"/>
      <c r="S10" s="43"/>
      <c r="T10" s="43"/>
      <c r="U10" s="43"/>
      <c r="V10" s="43" t="s">
        <v>150</v>
      </c>
      <c r="W10" s="43"/>
      <c r="X10" s="43"/>
    </row>
    <row r="11" spans="1:24" ht="15" customHeight="1" x14ac:dyDescent="0.25">
      <c r="A11" s="188" t="s">
        <v>253</v>
      </c>
      <c r="B11" s="34"/>
      <c r="C11" s="35"/>
      <c r="D11" s="35"/>
      <c r="E11" s="46"/>
      <c r="F11" s="46"/>
      <c r="G11" s="46"/>
      <c r="H11" s="35"/>
      <c r="I11" s="35"/>
      <c r="J11" s="37"/>
      <c r="K11" s="37"/>
      <c r="L11" s="37"/>
      <c r="M11" s="37"/>
      <c r="N11" s="38"/>
      <c r="O11" s="38"/>
      <c r="P11" s="38"/>
      <c r="Q11" s="105" t="s">
        <v>265</v>
      </c>
      <c r="R11" s="86"/>
      <c r="S11" s="86"/>
      <c r="T11" s="46"/>
      <c r="U11" s="107"/>
      <c r="V11" s="86"/>
      <c r="W11" s="13"/>
      <c r="X11" s="22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37"/>
      <c r="K12" s="37"/>
      <c r="L12" s="37"/>
      <c r="M12" s="37"/>
      <c r="N12" s="38"/>
      <c r="O12" s="38"/>
      <c r="P12" s="38"/>
      <c r="Q12" s="48"/>
      <c r="R12" s="48"/>
      <c r="S12" s="48"/>
      <c r="T12" s="48"/>
      <c r="U12" s="47"/>
      <c r="V12" s="49"/>
      <c r="W12" s="13"/>
      <c r="X12" s="22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5"/>
      <c r="K13" s="50"/>
      <c r="L13" s="50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17" customFormat="1" ht="41.25" customHeight="1" x14ac:dyDescent="0.2">
      <c r="A14" s="53" t="s">
        <v>158</v>
      </c>
      <c r="B14" s="53" t="s">
        <v>0</v>
      </c>
      <c r="C14" s="53" t="s">
        <v>1</v>
      </c>
      <c r="D14" s="54" t="s">
        <v>135</v>
      </c>
      <c r="E14" s="54" t="s">
        <v>157</v>
      </c>
      <c r="F14" s="54" t="s">
        <v>3</v>
      </c>
      <c r="G14" s="54" t="s">
        <v>152</v>
      </c>
      <c r="H14" s="54" t="s">
        <v>105</v>
      </c>
      <c r="I14" s="54" t="s">
        <v>5</v>
      </c>
      <c r="J14" s="55" t="s">
        <v>64</v>
      </c>
      <c r="K14" s="55" t="s">
        <v>136</v>
      </c>
      <c r="L14" s="55" t="s">
        <v>24</v>
      </c>
      <c r="M14" s="55" t="s">
        <v>108</v>
      </c>
      <c r="N14" s="56" t="s">
        <v>136</v>
      </c>
      <c r="O14" s="56" t="s">
        <v>24</v>
      </c>
      <c r="P14" s="122" t="s">
        <v>108</v>
      </c>
      <c r="Q14" s="54" t="s">
        <v>136</v>
      </c>
      <c r="R14" s="54" t="s">
        <v>24</v>
      </c>
      <c r="S14" s="54" t="s">
        <v>108</v>
      </c>
      <c r="T14" s="90" t="s">
        <v>159</v>
      </c>
      <c r="U14" s="91" t="s">
        <v>6</v>
      </c>
      <c r="V14" s="92" t="s">
        <v>7</v>
      </c>
      <c r="W14" s="53" t="s">
        <v>140</v>
      </c>
      <c r="X14" s="26" t="s">
        <v>141</v>
      </c>
    </row>
    <row r="15" spans="1:24" s="17" customFormat="1" ht="36" customHeight="1" x14ac:dyDescent="0.2">
      <c r="A15" s="57">
        <v>1</v>
      </c>
      <c r="B15" s="57" t="str" cm="1">
        <f t="array" ref="B15">_xlfn.LET(_xlpm.r,_xlfn.XLOOKUP(1,
(TRIM(CODE_PRICE!$A$4:$A$2003)=TRIM($C$4))*
(TRIM(CODE_PRICE!$B$4:$B$2003)=TRIM(C15)),
CODE_PRICE!$C$4:$C$2003,
""),
IF(OR(_xlpm.r="",_xlpm.r=0),"",_xlpm.r))</f>
        <v/>
      </c>
      <c r="C15" s="57" t="s">
        <v>89</v>
      </c>
      <c r="D15" s="58" t="str">
        <f>_xlfn.XLOOKUP(B15,CODE_PRICE!C:C,CODE_PRICE!D:D,"")</f>
        <v/>
      </c>
      <c r="E15" s="58" t="s">
        <v>11</v>
      </c>
      <c r="F15" s="59" t="s">
        <v>213</v>
      </c>
      <c r="G15" s="60" t="str">
        <f>IF(COUNTIFS($C$15:C15,C15,$H$15:H15,H15)=1,
SUMIFS($I$15:$I$49,$C$15:$C$49,C15,$H$15:$H$49,H15)&amp;H15&amp;" "&amp;C15,
"")</f>
        <v>10S CFN30100W</v>
      </c>
      <c r="H15" s="58" t="s">
        <v>22</v>
      </c>
      <c r="I15" s="61">
        <v>1</v>
      </c>
      <c r="J15" s="158"/>
      <c r="K15" s="158" cm="1">
        <f t="array" ref="K15">IF(E15="untrim",_xlfn.XLOOKUP(1,(TRIM('SIZE GUIDE'!$A$3:$A$2015)=TRIM(E15))*(TRIM('SIZE GUIDE'!$B$3:$B$2015)=TRIM(F15))*(TRIM('SIZE GUIDE'!$C$3:$C$2015)=TRIM(H15)),'SIZE GUIDE'!$D$3:$D$2015),"")</f>
        <v>108</v>
      </c>
      <c r="L15" s="168" cm="1">
        <f t="array" ref="L15">IF(E15="untrim",IFERROR(INDEX('SIZE GUIDE'!$E:$E,MATCH(1,('SIZE GUIDE'!$A:$A=$E15)*('SIZE GUIDE'!$B:$B=$F15)*('SIZE GUIDE'!$C:$C=$H15),0)),""),"")</f>
        <v>81</v>
      </c>
      <c r="M15" s="158">
        <v>39</v>
      </c>
      <c r="N15" s="65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65" t="str" cm="1">
        <f t="array" ref="O15">IF(E15="trim",IFERROR(INDEX('SIZE GUIDE'!$E:$E,MATCH(1,('SIZE GUIDE'!$A:$A=$E15)*('SIZE GUIDE'!$B:$B=$F15)*('SIZE GUIDE'!$C:$C=$H15),0)),""),"")</f>
        <v/>
      </c>
      <c r="P15" s="65"/>
      <c r="Q15" s="59">
        <f>K15</f>
        <v>108</v>
      </c>
      <c r="R15" s="130">
        <f>L15</f>
        <v>81</v>
      </c>
      <c r="S15" s="59">
        <f>IF(E15="untrim",M15-0.5,P15-0.5)</f>
        <v>38.5</v>
      </c>
      <c r="T15" s="93">
        <f t="shared" ref="T15:T24" si="0">IFERROR(Q15*R15*S15/144*I15,"")</f>
        <v>2338.875</v>
      </c>
      <c r="U15" s="94">
        <v>0.21179999999999999</v>
      </c>
      <c r="V15" s="95">
        <f>T15*U15</f>
        <v>495.37372499999998</v>
      </c>
      <c r="W15" s="102" t="str">
        <f>IF(COUNTIF($C$15:C15,C15)=1,C15 &amp; " - " &amp; TEXT(SUMIF($C:$C,C15,$T:$T),"0.00"),"")</f>
        <v>CFN30100W - 22963.50</v>
      </c>
      <c r="X15" s="103">
        <f>IF(COUNTIF($C$15:C15,C15)=1,ROUND(SUMIF($C:$C,C15,$V:$V),2), "")</f>
        <v>4863.67</v>
      </c>
    </row>
    <row r="16" spans="1:24" s="17" customFormat="1" ht="36" customHeight="1" x14ac:dyDescent="0.2">
      <c r="A16" s="57">
        <f>A15+1</f>
        <v>2</v>
      </c>
      <c r="B16" s="57" t="str" cm="1">
        <f t="array" ref="B16">_xlfn.LET(_xlpm.r,_xlfn.XLOOKUP(1,
(TRIM(CODE_PRICE!$A$4:$A$2003)=TRIM($C$4))*
(TRIM(CODE_PRICE!$B$4:$B$2003)=TRIM(C16)),
CODE_PRICE!$C$4:$C$2003,
""),
IF(OR(_xlpm.r="",_xlpm.r=0),"",_xlpm.r))</f>
        <v/>
      </c>
      <c r="C16" s="57" t="s">
        <v>89</v>
      </c>
      <c r="D16" s="58" t="str">
        <f>_xlfn.XLOOKUP(B16,CODE_PRICE!C:C,CODE_PRICE!D:D,"")</f>
        <v/>
      </c>
      <c r="E16" s="58" t="s">
        <v>11</v>
      </c>
      <c r="F16" s="59" t="s">
        <v>213</v>
      </c>
      <c r="G16" s="60" t="str">
        <f>IF(COUNTIFS($C$15:C16,C16,$H$15:H16,H16)=1,
SUMIFS($I$15:$I$49,$C$15:$C$49,C16,$H$15:$H$49,H16)&amp;H16&amp;" "&amp;C16,
"")</f>
        <v/>
      </c>
      <c r="H16" s="58" t="s">
        <v>22</v>
      </c>
      <c r="I16" s="61">
        <v>1</v>
      </c>
      <c r="J16" s="158"/>
      <c r="K16" s="158" cm="1">
        <f t="array" ref="K16">IF(E16="untrim",_xlfn.XLOOKUP(1,(TRIM('SIZE GUIDE'!$A$3:$A$2015)=TRIM(E16))*(TRIM('SIZE GUIDE'!$B$3:$B$2015)=TRIM(F16))*(TRIM('SIZE GUIDE'!$C$3:$C$2015)=TRIM(H16)),'SIZE GUIDE'!$D$3:$D$2015),"")</f>
        <v>108</v>
      </c>
      <c r="L16" s="168" cm="1">
        <f t="array" ref="L16">IF(E16="untrim",IFERROR(INDEX('SIZE GUIDE'!$E:$E,MATCH(1,('SIZE GUIDE'!$A:$A=$E16)*('SIZE GUIDE'!$B:$B=$F16)*('SIZE GUIDE'!$C:$C=$H16),0)),""),"")</f>
        <v>81</v>
      </c>
      <c r="M16" s="158">
        <v>42</v>
      </c>
      <c r="N16" s="65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65" t="str" cm="1">
        <f t="array" ref="O16">IF(E16="trim",IFERROR(INDEX('SIZE GUIDE'!$E:$E,MATCH(1,('SIZE GUIDE'!$A:$A=$E16)*('SIZE GUIDE'!$B:$B=$F16)*('SIZE GUIDE'!$C:$C=$H16),0)),""),"")</f>
        <v/>
      </c>
      <c r="P16" s="65"/>
      <c r="Q16" s="59">
        <f t="shared" ref="Q16:R24" si="1">K16</f>
        <v>108</v>
      </c>
      <c r="R16" s="130">
        <f t="shared" si="1"/>
        <v>81</v>
      </c>
      <c r="S16" s="59">
        <f>IF(E16="untrim",M16-0.5,P16-0.5)</f>
        <v>41.5</v>
      </c>
      <c r="T16" s="93">
        <f t="shared" si="0"/>
        <v>2521.125</v>
      </c>
      <c r="U16" s="94">
        <v>0.21179999999999999</v>
      </c>
      <c r="V16" s="95">
        <f t="shared" ref="V16:V24" si="2">T16*U16</f>
        <v>533.97427499999992</v>
      </c>
      <c r="W16" s="102" t="str">
        <f>IF(COUNTIF($C$15:C16,C16)=1,C16 &amp; " - " &amp; TEXT(SUMIF($C:$C,C16,$T:$T),"0.00"),"")</f>
        <v/>
      </c>
      <c r="X16" s="103" t="str">
        <f>IF(COUNTIF($C$15:C16,C16)=1,ROUND(SUMIF($C:$C,C16,$V:$V),2), "")</f>
        <v/>
      </c>
    </row>
    <row r="17" spans="1:24" s="17" customFormat="1" ht="36" customHeight="1" x14ac:dyDescent="0.2">
      <c r="A17" s="57">
        <f t="shared" ref="A17:A24" si="3">A16+1</f>
        <v>3</v>
      </c>
      <c r="B17" s="57" t="str" cm="1">
        <f t="array" ref="B17">_xlfn.LET(_xlpm.r,_xlfn.XLOOKUP(1,
(TRIM(CODE_PRICE!$A$4:$A$2003)=TRIM($C$4))*
(TRIM(CODE_PRICE!$B$4:$B$2003)=TRIM(C17)),
CODE_PRICE!$C$4:$C$2003,
""),
IF(OR(_xlpm.r="",_xlpm.r=0),"",_xlpm.r))</f>
        <v/>
      </c>
      <c r="C17" s="57" t="s">
        <v>89</v>
      </c>
      <c r="D17" s="58" t="str">
        <f>_xlfn.XLOOKUP(B17,CODE_PRICE!C:C,CODE_PRICE!D:D,"")</f>
        <v/>
      </c>
      <c r="E17" s="58" t="s">
        <v>11</v>
      </c>
      <c r="F17" s="59" t="s">
        <v>213</v>
      </c>
      <c r="G17" s="60" t="str">
        <f>IF(COUNTIFS($C$15:C17,C17,$H$15:H17,H17)=1,
SUMIFS($I$15:$I$49,$C$15:$C$49,C17,$H$15:$H$49,H17)&amp;H17&amp;" "&amp;C17,
"")</f>
        <v/>
      </c>
      <c r="H17" s="58" t="s">
        <v>22</v>
      </c>
      <c r="I17" s="61">
        <v>1</v>
      </c>
      <c r="J17" s="158"/>
      <c r="K17" s="158" cm="1">
        <f t="array" ref="K17">IF(E17="untrim",_xlfn.XLOOKUP(1,(TRIM('SIZE GUIDE'!$A$3:$A$2015)=TRIM(E17))*(TRIM('SIZE GUIDE'!$B$3:$B$2015)=TRIM(F17))*(TRIM('SIZE GUIDE'!$C$3:$C$2015)=TRIM(H17)),'SIZE GUIDE'!$D$3:$D$2015),"")</f>
        <v>108</v>
      </c>
      <c r="L17" s="168" cm="1">
        <f t="array" ref="L17">IF(E17="untrim",IFERROR(INDEX('SIZE GUIDE'!$E:$E,MATCH(1,('SIZE GUIDE'!$A:$A=$E17)*('SIZE GUIDE'!$B:$B=$F17)*('SIZE GUIDE'!$C:$C=$H17),0)),""),"")</f>
        <v>81</v>
      </c>
      <c r="M17" s="158">
        <v>31</v>
      </c>
      <c r="N17" s="65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65" t="str" cm="1">
        <f t="array" ref="O17">IF(E17="trim",IFERROR(INDEX('SIZE GUIDE'!$E:$E,MATCH(1,('SIZE GUIDE'!$A:$A=$E17)*('SIZE GUIDE'!$B:$B=$F17)*('SIZE GUIDE'!$C:$C=$H17),0)),""),"")</f>
        <v/>
      </c>
      <c r="P17" s="65"/>
      <c r="Q17" s="59">
        <f t="shared" si="1"/>
        <v>108</v>
      </c>
      <c r="R17" s="130">
        <f t="shared" si="1"/>
        <v>81</v>
      </c>
      <c r="S17" s="59">
        <f>IF(E17="untrim",M17-0.5,P17-0.5)</f>
        <v>30.5</v>
      </c>
      <c r="T17" s="93">
        <f t="shared" si="0"/>
        <v>1852.875</v>
      </c>
      <c r="U17" s="94">
        <v>0.21179999999999999</v>
      </c>
      <c r="V17" s="95">
        <f t="shared" si="2"/>
        <v>392.43892499999998</v>
      </c>
      <c r="W17" s="102" t="str">
        <f>IF(COUNTIF($C$15:C17,C17)=1,C17 &amp; " - " &amp; TEXT(SUMIF($C:$C,C17,$T:$T),"0.00"),"")</f>
        <v/>
      </c>
      <c r="X17" s="103" t="str">
        <f>IF(COUNTIF($C$15:C17,C17)=1,ROUND(SUMIF($C:$C,C17,$V:$V),2), "")</f>
        <v/>
      </c>
    </row>
    <row r="18" spans="1:24" s="17" customFormat="1" ht="36" customHeight="1" x14ac:dyDescent="0.2">
      <c r="A18" s="57">
        <f t="shared" si="3"/>
        <v>4</v>
      </c>
      <c r="B18" s="57" t="str" cm="1">
        <f t="array" ref="B18">_xlfn.LET(_xlpm.r,_xlfn.XLOOKUP(1,
(TRIM(CODE_PRICE!$A$4:$A$2003)=TRIM($C$4))*
(TRIM(CODE_PRICE!$B$4:$B$2003)=TRIM(C18)),
CODE_PRICE!$C$4:$C$2003,
""),
IF(OR(_xlpm.r="",_xlpm.r=0),"",_xlpm.r))</f>
        <v/>
      </c>
      <c r="C18" s="57" t="s">
        <v>89</v>
      </c>
      <c r="D18" s="58" t="str">
        <f>_xlfn.XLOOKUP(B18,CODE_PRICE!C:C,CODE_PRICE!D:D,"")</f>
        <v/>
      </c>
      <c r="E18" s="58" t="s">
        <v>11</v>
      </c>
      <c r="F18" s="59" t="s">
        <v>213</v>
      </c>
      <c r="G18" s="60" t="str">
        <f>IF(COUNTIFS($C$15:C18,C18,$H$15:H18,H18)=1,
SUMIFS($I$15:$I$49,$C$15:$C$49,C18,$H$15:$H$49,H18)&amp;H18&amp;" "&amp;C18,
"")</f>
        <v/>
      </c>
      <c r="H18" s="58" t="s">
        <v>22</v>
      </c>
      <c r="I18" s="61">
        <v>1</v>
      </c>
      <c r="J18" s="158"/>
      <c r="K18" s="158" cm="1">
        <f t="array" ref="K18">IF(E18="untrim",_xlfn.XLOOKUP(1,(TRIM('SIZE GUIDE'!$A$3:$A$2015)=TRIM(E18))*(TRIM('SIZE GUIDE'!$B$3:$B$2015)=TRIM(F18))*(TRIM('SIZE GUIDE'!$C$3:$C$2015)=TRIM(H18)),'SIZE GUIDE'!$D$3:$D$2015),"")</f>
        <v>108</v>
      </c>
      <c r="L18" s="168" cm="1">
        <f t="array" ref="L18">IF(E18="untrim",IFERROR(INDEX('SIZE GUIDE'!$E:$E,MATCH(1,('SIZE GUIDE'!$A:$A=$E18)*('SIZE GUIDE'!$B:$B=$F18)*('SIZE GUIDE'!$C:$C=$H18),0)),""),"")</f>
        <v>81</v>
      </c>
      <c r="M18" s="158">
        <v>42</v>
      </c>
      <c r="N18" s="65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65" t="str" cm="1">
        <f t="array" ref="O18">IF(E18="trim",IFERROR(INDEX('SIZE GUIDE'!$E:$E,MATCH(1,('SIZE GUIDE'!$A:$A=$E18)*('SIZE GUIDE'!$B:$B=$F18)*('SIZE GUIDE'!$C:$C=$H18),0)),""),"")</f>
        <v/>
      </c>
      <c r="P18" s="65"/>
      <c r="Q18" s="59">
        <f t="shared" si="1"/>
        <v>108</v>
      </c>
      <c r="R18" s="130">
        <f t="shared" si="1"/>
        <v>81</v>
      </c>
      <c r="S18" s="59">
        <f t="shared" ref="S18:S24" si="4">IF(E18="untrim",M18-0.5,P18-0.5)</f>
        <v>41.5</v>
      </c>
      <c r="T18" s="93">
        <f t="shared" si="0"/>
        <v>2521.125</v>
      </c>
      <c r="U18" s="94">
        <v>0.21179999999999999</v>
      </c>
      <c r="V18" s="95">
        <f t="shared" si="2"/>
        <v>533.97427499999992</v>
      </c>
      <c r="W18" s="102" t="str">
        <f>IF(COUNTIF($C$15:C18,C18)=1,C18 &amp; " - " &amp; TEXT(SUMIF($C:$C,C18,$T:$T),"0.00"),"")</f>
        <v/>
      </c>
      <c r="X18" s="103" t="str">
        <f>IF(COUNTIF($C$15:C18,C18)=1,ROUND(SUMIF($C:$C,C18,$V:$V),2), "")</f>
        <v/>
      </c>
    </row>
    <row r="19" spans="1:24" s="17" customFormat="1" ht="36" customHeight="1" x14ac:dyDescent="0.2">
      <c r="A19" s="57">
        <f t="shared" si="3"/>
        <v>5</v>
      </c>
      <c r="B19" s="57" t="str" cm="1">
        <f t="array" ref="B19">_xlfn.LET(_xlpm.r,_xlfn.XLOOKUP(1,
(TRIM(CODE_PRICE!$A$4:$A$2003)=TRIM($C$4))*
(TRIM(CODE_PRICE!$B$4:$B$2003)=TRIM(C19)),
CODE_PRICE!$C$4:$C$2003,
""),
IF(OR(_xlpm.r="",_xlpm.r=0),"",_xlpm.r))</f>
        <v/>
      </c>
      <c r="C19" s="57" t="s">
        <v>89</v>
      </c>
      <c r="D19" s="58" t="str">
        <f>_xlfn.XLOOKUP(B19,CODE_PRICE!C:C,CODE_PRICE!D:D,"")</f>
        <v/>
      </c>
      <c r="E19" s="58" t="s">
        <v>11</v>
      </c>
      <c r="F19" s="59" t="s">
        <v>213</v>
      </c>
      <c r="G19" s="60" t="str">
        <f>IF(COUNTIFS($C$15:C19,C19,$H$15:H19,H19)=1,
SUMIFS($I$15:$I$49,$C$15:$C$49,C19,$H$15:$H$49,H19)&amp;H19&amp;" "&amp;C19,
"")</f>
        <v/>
      </c>
      <c r="H19" s="58" t="s">
        <v>22</v>
      </c>
      <c r="I19" s="61">
        <v>1</v>
      </c>
      <c r="J19" s="158"/>
      <c r="K19" s="158" cm="1">
        <f t="array" ref="K19">IF(E19="untrim",_xlfn.XLOOKUP(1,(TRIM('SIZE GUIDE'!$A$3:$A$2015)=TRIM(E19))*(TRIM('SIZE GUIDE'!$B$3:$B$2015)=TRIM(F19))*(TRIM('SIZE GUIDE'!$C$3:$C$2015)=TRIM(H19)),'SIZE GUIDE'!$D$3:$D$2015),"")</f>
        <v>108</v>
      </c>
      <c r="L19" s="168" cm="1">
        <f t="array" ref="L19">IF(E19="untrim",IFERROR(INDEX('SIZE GUIDE'!$E:$E,MATCH(1,('SIZE GUIDE'!$A:$A=$E19)*('SIZE GUIDE'!$B:$B=$F19)*('SIZE GUIDE'!$C:$C=$H19),0)),""),"")</f>
        <v>81</v>
      </c>
      <c r="M19" s="158">
        <v>33.5</v>
      </c>
      <c r="N19" s="65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65" t="str" cm="1">
        <f t="array" ref="O19">IF(E19="trim",IFERROR(INDEX('SIZE GUIDE'!$E:$E,MATCH(1,('SIZE GUIDE'!$A:$A=$E19)*('SIZE GUIDE'!$B:$B=$F19)*('SIZE GUIDE'!$C:$C=$H19),0)),""),"")</f>
        <v/>
      </c>
      <c r="P19" s="65"/>
      <c r="Q19" s="59">
        <f t="shared" si="1"/>
        <v>108</v>
      </c>
      <c r="R19" s="130">
        <f t="shared" si="1"/>
        <v>81</v>
      </c>
      <c r="S19" s="59">
        <f t="shared" si="4"/>
        <v>33</v>
      </c>
      <c r="T19" s="93">
        <f t="shared" si="0"/>
        <v>2004.75</v>
      </c>
      <c r="U19" s="94">
        <v>0.21179999999999999</v>
      </c>
      <c r="V19" s="95">
        <f t="shared" si="2"/>
        <v>424.60604999999998</v>
      </c>
      <c r="W19" s="102" t="str">
        <f>IF(COUNTIF($C$15:C19,C19)=1,C19 &amp; " - " &amp; TEXT(SUMIF($C:$C,C19,$T:$T),"0.00"),"")</f>
        <v/>
      </c>
      <c r="X19" s="103" t="str">
        <f>IF(COUNTIF($C$15:C19,C19)=1,ROUND(SUMIF($C:$C,C19,$V:$V),2), "")</f>
        <v/>
      </c>
    </row>
    <row r="20" spans="1:24" s="17" customFormat="1" ht="36" customHeight="1" x14ac:dyDescent="0.2">
      <c r="A20" s="57">
        <f t="shared" si="3"/>
        <v>6</v>
      </c>
      <c r="B20" s="57" t="str" cm="1">
        <f t="array" ref="B20">_xlfn.LET(_xlpm.r,_xlfn.XLOOKUP(1,
(TRIM(CODE_PRICE!$A$4:$A$2003)=TRIM($C$4))*
(TRIM(CODE_PRICE!$B$4:$B$2003)=TRIM(C20)),
CODE_PRICE!$C$4:$C$2003,
""),
IF(OR(_xlpm.r="",_xlpm.r=0),"",_xlpm.r))</f>
        <v/>
      </c>
      <c r="C20" s="57" t="s">
        <v>89</v>
      </c>
      <c r="D20" s="58" t="str">
        <f>_xlfn.XLOOKUP(B20,CODE_PRICE!C:C,CODE_PRICE!D:D,"")</f>
        <v/>
      </c>
      <c r="E20" s="58" t="s">
        <v>11</v>
      </c>
      <c r="F20" s="59" t="s">
        <v>213</v>
      </c>
      <c r="G20" s="60" t="str">
        <f>IF(COUNTIFS($C$15:C20,C20,$H$15:H20,H20)=1,
SUMIFS($I$15:$I$49,$C$15:$C$49,C20,$H$15:$H$49,H20)&amp;H20&amp;" "&amp;C20,
"")</f>
        <v/>
      </c>
      <c r="H20" s="58" t="s">
        <v>22</v>
      </c>
      <c r="I20" s="61">
        <v>1</v>
      </c>
      <c r="J20" s="158"/>
      <c r="K20" s="158" cm="1">
        <f t="array" ref="K20">IF(E20="untrim",_xlfn.XLOOKUP(1,(TRIM('SIZE GUIDE'!$A$3:$A$2015)=TRIM(E20))*(TRIM('SIZE GUIDE'!$B$3:$B$2015)=TRIM(F20))*(TRIM('SIZE GUIDE'!$C$3:$C$2015)=TRIM(H20)),'SIZE GUIDE'!$D$3:$D$2015),"")</f>
        <v>108</v>
      </c>
      <c r="L20" s="168" cm="1">
        <f t="array" ref="L20">IF(E20="untrim",IFERROR(INDEX('SIZE GUIDE'!$E:$E,MATCH(1,('SIZE GUIDE'!$A:$A=$E20)*('SIZE GUIDE'!$B:$B=$F20)*('SIZE GUIDE'!$C:$C=$H20),0)),""),"")</f>
        <v>81</v>
      </c>
      <c r="M20" s="158">
        <v>42</v>
      </c>
      <c r="N20" s="65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65" t="str" cm="1">
        <f t="array" ref="O20">IF(E20="trim",IFERROR(INDEX('SIZE GUIDE'!$E:$E,MATCH(1,('SIZE GUIDE'!$A:$A=$E20)*('SIZE GUIDE'!$B:$B=$F20)*('SIZE GUIDE'!$C:$C=$H20),0)),""),"")</f>
        <v/>
      </c>
      <c r="P20" s="65"/>
      <c r="Q20" s="59">
        <f t="shared" si="1"/>
        <v>108</v>
      </c>
      <c r="R20" s="130">
        <f t="shared" si="1"/>
        <v>81</v>
      </c>
      <c r="S20" s="59">
        <f t="shared" si="4"/>
        <v>41.5</v>
      </c>
      <c r="T20" s="93">
        <f t="shared" si="0"/>
        <v>2521.125</v>
      </c>
      <c r="U20" s="94">
        <v>0.21179999999999999</v>
      </c>
      <c r="V20" s="95">
        <f t="shared" si="2"/>
        <v>533.97427499999992</v>
      </c>
      <c r="W20" s="102" t="str">
        <f>IF(COUNTIF($C$15:C20,C20)=1,C20 &amp; " - " &amp; TEXT(SUMIF($C:$C,C20,$T:$T),"0.00"),"")</f>
        <v/>
      </c>
      <c r="X20" s="103" t="str">
        <f>IF(COUNTIF($C$15:C20,C20)=1,ROUND(SUMIF($C:$C,C20,$V:$V),2), "")</f>
        <v/>
      </c>
    </row>
    <row r="21" spans="1:24" s="17" customFormat="1" ht="36" customHeight="1" x14ac:dyDescent="0.2">
      <c r="A21" s="57">
        <f t="shared" si="3"/>
        <v>7</v>
      </c>
      <c r="B21" s="57" t="str" cm="1">
        <f t="array" ref="B21">_xlfn.LET(_xlpm.r,_xlfn.XLOOKUP(1,
(TRIM(CODE_PRICE!$A$4:$A$2003)=TRIM($C$4))*
(TRIM(CODE_PRICE!$B$4:$B$2003)=TRIM(C21)),
CODE_PRICE!$C$4:$C$2003,
""),
IF(OR(_xlpm.r="",_xlpm.r=0),"",_xlpm.r))</f>
        <v/>
      </c>
      <c r="C21" s="57" t="s">
        <v>89</v>
      </c>
      <c r="D21" s="58" t="str">
        <f>_xlfn.XLOOKUP(B21,CODE_PRICE!C:C,CODE_PRICE!D:D,"")</f>
        <v/>
      </c>
      <c r="E21" s="58" t="s">
        <v>11</v>
      </c>
      <c r="F21" s="59" t="s">
        <v>213</v>
      </c>
      <c r="G21" s="60" t="str">
        <f>IF(COUNTIFS($C$15:C21,C21,$H$15:H21,H21)=1,
SUMIFS($I$15:$I$49,$C$15:$C$49,C21,$H$15:$H$49,H21)&amp;H21&amp;" "&amp;C21,
"")</f>
        <v/>
      </c>
      <c r="H21" s="58" t="s">
        <v>22</v>
      </c>
      <c r="I21" s="61">
        <v>1</v>
      </c>
      <c r="J21" s="158"/>
      <c r="K21" s="158" cm="1">
        <f t="array" ref="K21">IF(E21="untrim",_xlfn.XLOOKUP(1,(TRIM('SIZE GUIDE'!$A$3:$A$2015)=TRIM(E21))*(TRIM('SIZE GUIDE'!$B$3:$B$2015)=TRIM(F21))*(TRIM('SIZE GUIDE'!$C$3:$C$2015)=TRIM(H21)),'SIZE GUIDE'!$D$3:$D$2015),"")</f>
        <v>108</v>
      </c>
      <c r="L21" s="168" cm="1">
        <f t="array" ref="L21">IF(E21="untrim",IFERROR(INDEX('SIZE GUIDE'!$E:$E,MATCH(1,('SIZE GUIDE'!$A:$A=$E21)*('SIZE GUIDE'!$B:$B=$F21)*('SIZE GUIDE'!$C:$C=$H21),0)),""),"")</f>
        <v>81</v>
      </c>
      <c r="M21" s="158">
        <v>42.5</v>
      </c>
      <c r="N21" s="65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65" t="str" cm="1">
        <f t="array" ref="O21">IF(E21="trim",IFERROR(INDEX('SIZE GUIDE'!$E:$E,MATCH(1,('SIZE GUIDE'!$A:$A=$E21)*('SIZE GUIDE'!$B:$B=$F21)*('SIZE GUIDE'!$C:$C=$H21),0)),""),"")</f>
        <v/>
      </c>
      <c r="P21" s="65"/>
      <c r="Q21" s="59">
        <f t="shared" si="1"/>
        <v>108</v>
      </c>
      <c r="R21" s="130">
        <f t="shared" si="1"/>
        <v>81</v>
      </c>
      <c r="S21" s="59">
        <f t="shared" si="4"/>
        <v>42</v>
      </c>
      <c r="T21" s="93">
        <f t="shared" si="0"/>
        <v>2551.5</v>
      </c>
      <c r="U21" s="94">
        <v>0.21179999999999999</v>
      </c>
      <c r="V21" s="95">
        <f t="shared" si="2"/>
        <v>540.40769999999998</v>
      </c>
      <c r="W21" s="102" t="str">
        <f>IF(COUNTIF($C$15:C21,C21)=1,C21 &amp; " - " &amp; TEXT(SUMIF($C:$C,C21,$T:$T),"0.00"),"")</f>
        <v/>
      </c>
      <c r="X21" s="103" t="str">
        <f>IF(COUNTIF($C$15:C21,C21)=1,ROUND(SUMIF($C:$C,C21,$V:$V),2), "")</f>
        <v/>
      </c>
    </row>
    <row r="22" spans="1:24" s="17" customFormat="1" ht="36" customHeight="1" x14ac:dyDescent="0.2">
      <c r="A22" s="57">
        <f t="shared" si="3"/>
        <v>8</v>
      </c>
      <c r="B22" s="57" t="str" cm="1">
        <f t="array" ref="B22">_xlfn.LET(_xlpm.r,_xlfn.XLOOKUP(1,
(TRIM(CODE_PRICE!$A$4:$A$2003)=TRIM($C$4))*
(TRIM(CODE_PRICE!$B$4:$B$2003)=TRIM(C22)),
CODE_PRICE!$C$4:$C$2003,
""),
IF(OR(_xlpm.r="",_xlpm.r=0),"",_xlpm.r))</f>
        <v/>
      </c>
      <c r="C22" s="57" t="s">
        <v>89</v>
      </c>
      <c r="D22" s="58" t="str">
        <f>_xlfn.XLOOKUP(B22,CODE_PRICE!C:C,CODE_PRICE!D:D,"")</f>
        <v/>
      </c>
      <c r="E22" s="58" t="s">
        <v>11</v>
      </c>
      <c r="F22" s="59" t="s">
        <v>213</v>
      </c>
      <c r="G22" s="60" t="str">
        <f>IF(COUNTIFS($C$15:C22,C22,$H$15:H22,H22)=1,
SUMIFS($I$15:$I$49,$C$15:$C$49,C22,$H$15:$H$49,H22)&amp;H22&amp;" "&amp;C22,
"")</f>
        <v/>
      </c>
      <c r="H22" s="58" t="s">
        <v>22</v>
      </c>
      <c r="I22" s="61">
        <v>1</v>
      </c>
      <c r="J22" s="158"/>
      <c r="K22" s="158" cm="1">
        <f t="array" ref="K22">IF(E22="untrim",_xlfn.XLOOKUP(1,(TRIM('SIZE GUIDE'!$A$3:$A$2015)=TRIM(E22))*(TRIM('SIZE GUIDE'!$B$3:$B$2015)=TRIM(F22))*(TRIM('SIZE GUIDE'!$C$3:$C$2015)=TRIM(H22)),'SIZE GUIDE'!$D$3:$D$2015),"")</f>
        <v>108</v>
      </c>
      <c r="L22" s="168" cm="1">
        <f t="array" ref="L22">IF(E22="untrim",IFERROR(INDEX('SIZE GUIDE'!$E:$E,MATCH(1,('SIZE GUIDE'!$A:$A=$E22)*('SIZE GUIDE'!$B:$B=$F22)*('SIZE GUIDE'!$C:$C=$H22),0)),""),"")</f>
        <v>81</v>
      </c>
      <c r="M22" s="158">
        <v>31</v>
      </c>
      <c r="N22" s="65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65" t="str" cm="1">
        <f t="array" ref="O22">IF(E22="trim",IFERROR(INDEX('SIZE GUIDE'!$E:$E,MATCH(1,('SIZE GUIDE'!$A:$A=$E22)*('SIZE GUIDE'!$B:$B=$F22)*('SIZE GUIDE'!$C:$C=$H22),0)),""),"")</f>
        <v/>
      </c>
      <c r="P22" s="65"/>
      <c r="Q22" s="59">
        <f t="shared" si="1"/>
        <v>108</v>
      </c>
      <c r="R22" s="130">
        <f t="shared" si="1"/>
        <v>81</v>
      </c>
      <c r="S22" s="59">
        <f t="shared" si="4"/>
        <v>30.5</v>
      </c>
      <c r="T22" s="93">
        <f t="shared" si="0"/>
        <v>1852.875</v>
      </c>
      <c r="U22" s="94">
        <v>0.21179999999999999</v>
      </c>
      <c r="V22" s="95">
        <f t="shared" si="2"/>
        <v>392.43892499999998</v>
      </c>
      <c r="W22" s="102" t="str">
        <f>IF(COUNTIF($C$15:C22,C22)=1,C22 &amp; " - " &amp; TEXT(SUMIF($C:$C,C22,$T:$T),"0.00"),"")</f>
        <v/>
      </c>
      <c r="X22" s="103" t="str">
        <f>IF(COUNTIF($C$15:C22,C22)=1,ROUND(SUMIF($C:$C,C22,$V:$V),2), "")</f>
        <v/>
      </c>
    </row>
    <row r="23" spans="1:24" s="17" customFormat="1" ht="36" customHeight="1" x14ac:dyDescent="0.2">
      <c r="A23" s="57">
        <f t="shared" si="3"/>
        <v>9</v>
      </c>
      <c r="B23" s="57" t="str" cm="1">
        <f t="array" ref="B23">_xlfn.LET(_xlpm.r,_xlfn.XLOOKUP(1,
(TRIM(CODE_PRICE!$A$4:$A$2003)=TRIM($C$4))*
(TRIM(CODE_PRICE!$B$4:$B$2003)=TRIM(C23)),
CODE_PRICE!$C$4:$C$2003,
""),
IF(OR(_xlpm.r="",_xlpm.r=0),"",_xlpm.r))</f>
        <v/>
      </c>
      <c r="C23" s="57" t="s">
        <v>89</v>
      </c>
      <c r="D23" s="58" t="str">
        <f>_xlfn.XLOOKUP(B23,CODE_PRICE!C:C,CODE_PRICE!D:D,"")</f>
        <v/>
      </c>
      <c r="E23" s="58" t="s">
        <v>11</v>
      </c>
      <c r="F23" s="59" t="s">
        <v>213</v>
      </c>
      <c r="G23" s="60" t="str">
        <f>IF(COUNTIFS($C$15:C23,C23,$H$15:H23,H23)=1,
SUMIFS($I$15:$I$49,$C$15:$C$49,C23,$H$15:$H$49,H23)&amp;H23&amp;" "&amp;C23,
"")</f>
        <v/>
      </c>
      <c r="H23" s="58" t="s">
        <v>22</v>
      </c>
      <c r="I23" s="61">
        <v>1</v>
      </c>
      <c r="J23" s="158"/>
      <c r="K23" s="158" cm="1">
        <f t="array" ref="K23">IF(E23="untrim",_xlfn.XLOOKUP(1,(TRIM('SIZE GUIDE'!$A$3:$A$2015)=TRIM(E23))*(TRIM('SIZE GUIDE'!$B$3:$B$2015)=TRIM(F23))*(TRIM('SIZE GUIDE'!$C$3:$C$2015)=TRIM(H23)),'SIZE GUIDE'!$D$3:$D$2015),"")</f>
        <v>108</v>
      </c>
      <c r="L23" s="168" cm="1">
        <f t="array" ref="L23">IF(E23="untrim",IFERROR(INDEX('SIZE GUIDE'!$E:$E,MATCH(1,('SIZE GUIDE'!$A:$A=$E23)*('SIZE GUIDE'!$B:$B=$F23)*('SIZE GUIDE'!$C:$C=$H23),0)),""),"")</f>
        <v>81</v>
      </c>
      <c r="M23" s="158">
        <v>42</v>
      </c>
      <c r="N23" s="65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65" t="str" cm="1">
        <f t="array" ref="O23">IF(E23="trim",IFERROR(INDEX('SIZE GUIDE'!$E:$E,MATCH(1,('SIZE GUIDE'!$A:$A=$E23)*('SIZE GUIDE'!$B:$B=$F23)*('SIZE GUIDE'!$C:$C=$H23),0)),""),"")</f>
        <v/>
      </c>
      <c r="P23" s="65"/>
      <c r="Q23" s="59">
        <f t="shared" si="1"/>
        <v>108</v>
      </c>
      <c r="R23" s="130">
        <f t="shared" si="1"/>
        <v>81</v>
      </c>
      <c r="S23" s="59">
        <f t="shared" si="4"/>
        <v>41.5</v>
      </c>
      <c r="T23" s="93">
        <f t="shared" si="0"/>
        <v>2521.125</v>
      </c>
      <c r="U23" s="94">
        <v>0.21179999999999999</v>
      </c>
      <c r="V23" s="95">
        <f t="shared" si="2"/>
        <v>533.97427499999992</v>
      </c>
      <c r="W23" s="102" t="str">
        <f>IF(COUNTIF($C$15:C23,C23)=1,C23 &amp; " - " &amp; TEXT(SUMIF($C:$C,C23,$T:$T),"0.00"),"")</f>
        <v/>
      </c>
      <c r="X23" s="103" t="str">
        <f>IF(COUNTIF($C$15:C23,C23)=1,ROUND(SUMIF($C:$C,C23,$V:$V),2), "")</f>
        <v/>
      </c>
    </row>
    <row r="24" spans="1:24" s="17" customFormat="1" ht="36" customHeight="1" x14ac:dyDescent="0.2">
      <c r="A24" s="57">
        <f t="shared" si="3"/>
        <v>10</v>
      </c>
      <c r="B24" s="57" t="str" cm="1">
        <f t="array" ref="B24">_xlfn.LET(_xlpm.r,_xlfn.XLOOKUP(1,
(TRIM(CODE_PRICE!$A$4:$A$2003)=TRIM($C$4))*
(TRIM(CODE_PRICE!$B$4:$B$2003)=TRIM(C24)),
CODE_PRICE!$C$4:$C$2003,
""),
IF(OR(_xlpm.r="",_xlpm.r=0),"",_xlpm.r))</f>
        <v/>
      </c>
      <c r="C24" s="57" t="s">
        <v>89</v>
      </c>
      <c r="D24" s="58" t="str">
        <f>_xlfn.XLOOKUP(B24,CODE_PRICE!C:C,CODE_PRICE!D:D,"")</f>
        <v/>
      </c>
      <c r="E24" s="58" t="s">
        <v>11</v>
      </c>
      <c r="F24" s="59" t="s">
        <v>213</v>
      </c>
      <c r="G24" s="60" t="str">
        <f>IF(COUNTIFS($C$15:C24,C24,$H$15:H24,H24)=1,
SUMIFS($I$15:$I$49,$C$15:$C$49,C24,$H$15:$H$49,H24)&amp;H24&amp;" "&amp;C24,
"")</f>
        <v/>
      </c>
      <c r="H24" s="58" t="s">
        <v>22</v>
      </c>
      <c r="I24" s="61">
        <v>1</v>
      </c>
      <c r="J24" s="158"/>
      <c r="K24" s="158" cm="1">
        <f t="array" ref="K24">IF(E24="untrim",_xlfn.XLOOKUP(1,(TRIM('SIZE GUIDE'!$A$3:$A$2015)=TRIM(E24))*(TRIM('SIZE GUIDE'!$B$3:$B$2015)=TRIM(F24))*(TRIM('SIZE GUIDE'!$C$3:$C$2015)=TRIM(H24)),'SIZE GUIDE'!$D$3:$D$2015),"")</f>
        <v>108</v>
      </c>
      <c r="L24" s="168" cm="1">
        <f t="array" ref="L24">IF(E24="untrim",IFERROR(INDEX('SIZE GUIDE'!$E:$E,MATCH(1,('SIZE GUIDE'!$A:$A=$E24)*('SIZE GUIDE'!$B:$B=$F24)*('SIZE GUIDE'!$C:$C=$H24),0)),""),"")</f>
        <v>81</v>
      </c>
      <c r="M24" s="158">
        <v>38</v>
      </c>
      <c r="N24" s="65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65" t="str" cm="1">
        <f t="array" ref="O24">IF(E24="trim",IFERROR(INDEX('SIZE GUIDE'!$E:$E,MATCH(1,('SIZE GUIDE'!$A:$A=$E24)*('SIZE GUIDE'!$B:$B=$F24)*('SIZE GUIDE'!$C:$C=$H24),0)),""),"")</f>
        <v/>
      </c>
      <c r="P24" s="65"/>
      <c r="Q24" s="59">
        <f t="shared" si="1"/>
        <v>108</v>
      </c>
      <c r="R24" s="130">
        <f t="shared" si="1"/>
        <v>81</v>
      </c>
      <c r="S24" s="59">
        <f t="shared" si="4"/>
        <v>37.5</v>
      </c>
      <c r="T24" s="93">
        <f t="shared" si="0"/>
        <v>2278.125</v>
      </c>
      <c r="U24" s="94">
        <v>0.21179999999999999</v>
      </c>
      <c r="V24" s="95">
        <f t="shared" si="2"/>
        <v>482.50687499999998</v>
      </c>
      <c r="W24" s="102" t="str">
        <f>IF(COUNTIF($C$15:C24,C24)=1,C24 &amp; " - " &amp; TEXT(SUMIF($C:$C,C24,$T:$T),"0.00"),"")</f>
        <v/>
      </c>
      <c r="X24" s="103" t="str">
        <f>IF(COUNTIF($C$15:C24,C24)=1,ROUND(SUMIF($C:$C,C24,$V:$V),2), "")</f>
        <v/>
      </c>
    </row>
    <row r="25" spans="1:24" s="17" customFormat="1" ht="36" hidden="1" customHeight="1" x14ac:dyDescent="0.2">
      <c r="A25" s="57"/>
      <c r="B25" s="57"/>
      <c r="C25" s="57"/>
      <c r="D25" s="58"/>
      <c r="E25" s="58"/>
      <c r="F25" s="59"/>
      <c r="G25" s="60"/>
      <c r="H25" s="58"/>
      <c r="I25" s="61"/>
      <c r="J25" s="158"/>
      <c r="K25" s="158"/>
      <c r="L25" s="168"/>
      <c r="M25" s="158"/>
      <c r="N25" s="65"/>
      <c r="O25" s="65"/>
      <c r="P25" s="65"/>
      <c r="Q25" s="59"/>
      <c r="R25" s="130"/>
      <c r="S25" s="59"/>
      <c r="T25" s="93"/>
      <c r="U25" s="94"/>
      <c r="V25" s="95"/>
      <c r="W25" s="102"/>
      <c r="X25" s="103"/>
    </row>
    <row r="26" spans="1:24" s="17" customFormat="1" ht="36" hidden="1" customHeight="1" x14ac:dyDescent="0.2">
      <c r="A26" s="57"/>
      <c r="B26" s="57"/>
      <c r="C26" s="57"/>
      <c r="D26" s="58"/>
      <c r="E26" s="58"/>
      <c r="F26" s="59"/>
      <c r="G26" s="60"/>
      <c r="H26" s="58"/>
      <c r="I26" s="61"/>
      <c r="J26" s="158"/>
      <c r="K26" s="158"/>
      <c r="L26" s="168"/>
      <c r="M26" s="158"/>
      <c r="N26" s="65"/>
      <c r="O26" s="65"/>
      <c r="P26" s="65"/>
      <c r="Q26" s="59"/>
      <c r="R26" s="130"/>
      <c r="S26" s="59"/>
      <c r="T26" s="93"/>
      <c r="U26" s="94"/>
      <c r="V26" s="95"/>
      <c r="W26" s="102"/>
      <c r="X26" s="103"/>
    </row>
    <row r="27" spans="1:24" s="17" customFormat="1" ht="36" hidden="1" customHeight="1" x14ac:dyDescent="0.2">
      <c r="A27" s="57"/>
      <c r="B27" s="57"/>
      <c r="C27" s="57"/>
      <c r="D27" s="58"/>
      <c r="E27" s="58"/>
      <c r="F27" s="59"/>
      <c r="G27" s="60"/>
      <c r="H27" s="58"/>
      <c r="I27" s="61"/>
      <c r="J27" s="63"/>
      <c r="K27" s="63"/>
      <c r="L27" s="64"/>
      <c r="M27" s="63"/>
      <c r="N27" s="65"/>
      <c r="O27" s="65"/>
      <c r="P27" s="65"/>
      <c r="Q27" s="66"/>
      <c r="R27" s="59"/>
      <c r="S27" s="59"/>
      <c r="T27" s="93"/>
      <c r="U27" s="94"/>
      <c r="V27" s="95"/>
      <c r="W27" s="102"/>
      <c r="X27" s="103"/>
    </row>
    <row r="28" spans="1:24" s="17" customFormat="1" ht="36" hidden="1" customHeight="1" x14ac:dyDescent="0.2">
      <c r="A28" s="57"/>
      <c r="B28" s="57"/>
      <c r="C28" s="57"/>
      <c r="D28" s="58"/>
      <c r="E28" s="58"/>
      <c r="F28" s="59"/>
      <c r="G28" s="60"/>
      <c r="H28" s="58"/>
      <c r="I28" s="61"/>
      <c r="J28" s="63"/>
      <c r="K28" s="63"/>
      <c r="L28" s="64"/>
      <c r="M28" s="63"/>
      <c r="N28" s="65"/>
      <c r="O28" s="65"/>
      <c r="P28" s="65"/>
      <c r="Q28" s="66"/>
      <c r="R28" s="59"/>
      <c r="S28" s="59"/>
      <c r="T28" s="93"/>
      <c r="U28" s="94"/>
      <c r="V28" s="95"/>
      <c r="W28" s="102"/>
      <c r="X28" s="103"/>
    </row>
    <row r="29" spans="1:24" s="17" customFormat="1" ht="36" hidden="1" customHeight="1" x14ac:dyDescent="0.2">
      <c r="A29" s="57"/>
      <c r="B29" s="57"/>
      <c r="C29" s="57"/>
      <c r="D29" s="58"/>
      <c r="E29" s="58"/>
      <c r="F29" s="59"/>
      <c r="G29" s="60"/>
      <c r="H29" s="58"/>
      <c r="I29" s="61"/>
      <c r="J29" s="63"/>
      <c r="K29" s="63"/>
      <c r="L29" s="64"/>
      <c r="M29" s="63"/>
      <c r="N29" s="65"/>
      <c r="O29" s="65"/>
      <c r="P29" s="65"/>
      <c r="Q29" s="66"/>
      <c r="R29" s="59"/>
      <c r="S29" s="59"/>
      <c r="T29" s="93"/>
      <c r="U29" s="99"/>
      <c r="V29" s="95"/>
      <c r="W29" s="102"/>
      <c r="X29" s="103"/>
    </row>
    <row r="30" spans="1:24" s="17" customFormat="1" ht="36" hidden="1" customHeight="1" x14ac:dyDescent="0.2">
      <c r="A30" s="57"/>
      <c r="B30" s="57"/>
      <c r="C30" s="57"/>
      <c r="D30" s="58"/>
      <c r="E30" s="58"/>
      <c r="F30" s="59"/>
      <c r="G30" s="60"/>
      <c r="H30" s="58"/>
      <c r="I30" s="61"/>
      <c r="J30" s="63"/>
      <c r="K30" s="63"/>
      <c r="L30" s="64"/>
      <c r="M30" s="63"/>
      <c r="N30" s="65"/>
      <c r="O30" s="65"/>
      <c r="P30" s="65"/>
      <c r="Q30" s="66"/>
      <c r="R30" s="59"/>
      <c r="S30" s="59"/>
      <c r="T30" s="93"/>
      <c r="U30" s="99"/>
      <c r="V30" s="95"/>
      <c r="W30" s="102"/>
      <c r="X30" s="103"/>
    </row>
    <row r="31" spans="1:24" s="17" customFormat="1" ht="36" hidden="1" customHeight="1" x14ac:dyDescent="0.2">
      <c r="A31" s="57"/>
      <c r="B31" s="57"/>
      <c r="C31" s="57"/>
      <c r="D31" s="58"/>
      <c r="E31" s="58"/>
      <c r="F31" s="59"/>
      <c r="G31" s="60"/>
      <c r="H31" s="58"/>
      <c r="I31" s="61"/>
      <c r="J31" s="63"/>
      <c r="K31" s="63"/>
      <c r="L31" s="64"/>
      <c r="M31" s="63"/>
      <c r="N31" s="65"/>
      <c r="O31" s="65"/>
      <c r="P31" s="65"/>
      <c r="Q31" s="66"/>
      <c r="R31" s="59"/>
      <c r="S31" s="59"/>
      <c r="T31" s="93"/>
      <c r="U31" s="99"/>
      <c r="V31" s="95"/>
      <c r="W31" s="102"/>
      <c r="X31" s="103"/>
    </row>
    <row r="32" spans="1:24" s="17" customFormat="1" ht="36" hidden="1" customHeight="1" x14ac:dyDescent="0.2">
      <c r="A32" s="57"/>
      <c r="B32" s="57"/>
      <c r="C32" s="57"/>
      <c r="D32" s="58"/>
      <c r="E32" s="58"/>
      <c r="F32" s="59"/>
      <c r="G32" s="60"/>
      <c r="H32" s="58"/>
      <c r="I32" s="61"/>
      <c r="J32" s="63"/>
      <c r="K32" s="63"/>
      <c r="L32" s="64"/>
      <c r="M32" s="63"/>
      <c r="N32" s="65"/>
      <c r="O32" s="65"/>
      <c r="P32" s="65"/>
      <c r="Q32" s="66"/>
      <c r="R32" s="59"/>
      <c r="S32" s="59"/>
      <c r="T32" s="93"/>
      <c r="U32" s="99"/>
      <c r="V32" s="95"/>
      <c r="W32" s="102"/>
      <c r="X32" s="103"/>
    </row>
    <row r="33" spans="1:24" s="17" customFormat="1" ht="36" hidden="1" customHeight="1" x14ac:dyDescent="0.2">
      <c r="A33" s="57"/>
      <c r="B33" s="57"/>
      <c r="C33" s="57"/>
      <c r="D33" s="58"/>
      <c r="E33" s="58"/>
      <c r="F33" s="59"/>
      <c r="G33" s="60"/>
      <c r="H33" s="58"/>
      <c r="I33" s="61"/>
      <c r="J33" s="63"/>
      <c r="K33" s="63"/>
      <c r="L33" s="64"/>
      <c r="M33" s="63"/>
      <c r="N33" s="65"/>
      <c r="O33" s="65"/>
      <c r="P33" s="65"/>
      <c r="Q33" s="66"/>
      <c r="R33" s="59"/>
      <c r="S33" s="59"/>
      <c r="T33" s="93"/>
      <c r="U33" s="99"/>
      <c r="V33" s="95"/>
      <c r="W33" s="102"/>
      <c r="X33" s="103" t="str">
        <f>IF(COUNTIF($C$15:C33,C33)=1,ROUND(SUMIF($C:$C,C33,$V:$V),2), "")</f>
        <v/>
      </c>
    </row>
    <row r="34" spans="1:24" s="17" customFormat="1" ht="36" hidden="1" customHeight="1" x14ac:dyDescent="0.2">
      <c r="A34" s="57"/>
      <c r="B34" s="57"/>
      <c r="C34" s="57"/>
      <c r="D34" s="58"/>
      <c r="E34" s="58"/>
      <c r="F34" s="59"/>
      <c r="G34" s="60"/>
      <c r="H34" s="58"/>
      <c r="I34" s="61"/>
      <c r="J34" s="63"/>
      <c r="K34" s="63"/>
      <c r="L34" s="64"/>
      <c r="M34" s="63"/>
      <c r="N34" s="65"/>
      <c r="O34" s="65"/>
      <c r="P34" s="65"/>
      <c r="Q34" s="66"/>
      <c r="R34" s="59"/>
      <c r="S34" s="59"/>
      <c r="T34" s="93"/>
      <c r="U34" s="99"/>
      <c r="V34" s="95"/>
      <c r="W34" s="102"/>
      <c r="X34" s="103" t="str">
        <f>IF(COUNTIF($C$15:C34,C34)=1,ROUND(SUMIF($C:$C,C34,$V:$V),2), "")</f>
        <v/>
      </c>
    </row>
    <row r="35" spans="1:24" s="17" customFormat="1" ht="36" hidden="1" customHeight="1" x14ac:dyDescent="0.2">
      <c r="A35" s="57"/>
      <c r="B35" s="57"/>
      <c r="C35" s="57"/>
      <c r="D35" s="58"/>
      <c r="E35" s="58"/>
      <c r="F35" s="59"/>
      <c r="G35" s="60"/>
      <c r="H35" s="58"/>
      <c r="I35" s="61"/>
      <c r="J35" s="63"/>
      <c r="K35" s="63"/>
      <c r="L35" s="64"/>
      <c r="M35" s="63"/>
      <c r="N35" s="65"/>
      <c r="O35" s="65"/>
      <c r="P35" s="65"/>
      <c r="Q35" s="66"/>
      <c r="R35" s="59"/>
      <c r="S35" s="59"/>
      <c r="T35" s="93"/>
      <c r="U35" s="99"/>
      <c r="V35" s="95"/>
      <c r="W35" s="102"/>
      <c r="X35" s="103" t="str">
        <f>IF(COUNTIF($C$15:C35,C35)=1,ROUND(SUMIF($C:$C,C35,$V:$V),2), "")</f>
        <v/>
      </c>
    </row>
    <row r="36" spans="1:24" s="17" customFormat="1" ht="36" hidden="1" customHeight="1" x14ac:dyDescent="0.2">
      <c r="A36" s="57"/>
      <c r="B36" s="57"/>
      <c r="C36" s="57"/>
      <c r="D36" s="58"/>
      <c r="E36" s="58"/>
      <c r="F36" s="59"/>
      <c r="G36" s="60"/>
      <c r="H36" s="58"/>
      <c r="I36" s="61"/>
      <c r="J36" s="63"/>
      <c r="K36" s="63"/>
      <c r="L36" s="64"/>
      <c r="M36" s="63"/>
      <c r="N36" s="65"/>
      <c r="O36" s="65"/>
      <c r="P36" s="65"/>
      <c r="Q36" s="66"/>
      <c r="R36" s="59"/>
      <c r="S36" s="59"/>
      <c r="T36" s="93"/>
      <c r="U36" s="99"/>
      <c r="V36" s="95"/>
      <c r="W36" s="102"/>
      <c r="X36" s="103" t="str">
        <f>IF(COUNTIF($C$15:C36,C36)=1,ROUND(SUMIF($C:$C,C36,$V:$V),2), "")</f>
        <v/>
      </c>
    </row>
    <row r="37" spans="1:24" s="17" customFormat="1" ht="41.25" hidden="1" customHeight="1" x14ac:dyDescent="0.2">
      <c r="A37" s="57"/>
      <c r="B37" s="57"/>
      <c r="C37" s="57"/>
      <c r="D37" s="58"/>
      <c r="E37" s="58"/>
      <c r="F37" s="59"/>
      <c r="G37" s="60"/>
      <c r="H37" s="58"/>
      <c r="I37" s="61"/>
      <c r="J37" s="63"/>
      <c r="K37" s="63"/>
      <c r="L37" s="64"/>
      <c r="M37" s="63"/>
      <c r="N37" s="65"/>
      <c r="O37" s="65"/>
      <c r="P37" s="65"/>
      <c r="Q37" s="66"/>
      <c r="R37" s="59"/>
      <c r="S37" s="59"/>
      <c r="T37" s="93"/>
      <c r="U37" s="94"/>
      <c r="V37" s="95"/>
      <c r="W37" s="18"/>
      <c r="X37" s="24" t="str">
        <f>IF(COUNTIF($C$15:C37,C37)=1,ROUND(SUMIF($C:$C,C37,$V:$V),2), "")</f>
        <v/>
      </c>
    </row>
    <row r="38" spans="1:24" s="17" customFormat="1" ht="41.25" hidden="1" customHeight="1" x14ac:dyDescent="0.2">
      <c r="A38" s="57"/>
      <c r="B38" s="57"/>
      <c r="C38" s="57"/>
      <c r="D38" s="58"/>
      <c r="E38" s="58"/>
      <c r="F38" s="59"/>
      <c r="G38" s="60"/>
      <c r="H38" s="58"/>
      <c r="I38" s="61"/>
      <c r="J38" s="63"/>
      <c r="K38" s="63"/>
      <c r="L38" s="64"/>
      <c r="M38" s="63"/>
      <c r="N38" s="65"/>
      <c r="O38" s="65"/>
      <c r="P38" s="65"/>
      <c r="Q38" s="66"/>
      <c r="R38" s="59"/>
      <c r="S38" s="59"/>
      <c r="T38" s="93"/>
      <c r="U38" s="94"/>
      <c r="V38" s="95"/>
      <c r="W38" s="18"/>
      <c r="X38" s="24" t="str">
        <f>IF(COUNTIF($C$15:C38,C38)=1,ROUND(SUMIF($C:$C,C38,$V:$V),2), "")</f>
        <v/>
      </c>
    </row>
    <row r="39" spans="1:24" s="17" customFormat="1" ht="41.25" hidden="1" customHeight="1" x14ac:dyDescent="0.2">
      <c r="A39" s="57"/>
      <c r="B39" s="57"/>
      <c r="C39" s="57"/>
      <c r="D39" s="58"/>
      <c r="E39" s="58"/>
      <c r="F39" s="59"/>
      <c r="G39" s="60"/>
      <c r="H39" s="58"/>
      <c r="I39" s="61"/>
      <c r="J39" s="63"/>
      <c r="K39" s="63"/>
      <c r="L39" s="64"/>
      <c r="M39" s="63"/>
      <c r="N39" s="65"/>
      <c r="O39" s="65"/>
      <c r="P39" s="65"/>
      <c r="Q39" s="66"/>
      <c r="R39" s="59"/>
      <c r="S39" s="59"/>
      <c r="T39" s="93"/>
      <c r="U39" s="94"/>
      <c r="V39" s="95"/>
      <c r="W39" s="18"/>
      <c r="X39" s="24" t="str">
        <f>IF(COUNTIF($C$15:C39,C39)=1,ROUND(SUMIF($C:$C,C39,$V:$V),2), "")</f>
        <v/>
      </c>
    </row>
    <row r="40" spans="1:24" s="17" customFormat="1" ht="41.25" hidden="1" customHeight="1" x14ac:dyDescent="0.2">
      <c r="A40" s="57"/>
      <c r="B40" s="57"/>
      <c r="C40" s="57"/>
      <c r="D40" s="58"/>
      <c r="E40" s="58"/>
      <c r="F40" s="59"/>
      <c r="G40" s="60"/>
      <c r="H40" s="58"/>
      <c r="I40" s="61"/>
      <c r="J40" s="63"/>
      <c r="K40" s="63"/>
      <c r="L40" s="64"/>
      <c r="M40" s="63"/>
      <c r="N40" s="65"/>
      <c r="O40" s="65"/>
      <c r="P40" s="65"/>
      <c r="Q40" s="66"/>
      <c r="R40" s="59"/>
      <c r="S40" s="59"/>
      <c r="T40" s="93"/>
      <c r="U40" s="94"/>
      <c r="V40" s="95"/>
      <c r="W40" s="18"/>
      <c r="X40" s="24" t="str">
        <f>IF(COUNTIF($C$15:C40,C40)=1,ROUND(SUMIF($C:$C,C40,$V:$V),2), "")</f>
        <v/>
      </c>
    </row>
    <row r="41" spans="1:24" s="17" customFormat="1" ht="41.25" hidden="1" customHeight="1" x14ac:dyDescent="0.2">
      <c r="A41" s="57"/>
      <c r="B41" s="57"/>
      <c r="C41" s="57"/>
      <c r="D41" s="58"/>
      <c r="E41" s="58"/>
      <c r="F41" s="59"/>
      <c r="G41" s="60"/>
      <c r="H41" s="58"/>
      <c r="I41" s="61"/>
      <c r="J41" s="63"/>
      <c r="K41" s="63"/>
      <c r="L41" s="64"/>
      <c r="M41" s="63"/>
      <c r="N41" s="65" t="str" cm="1">
        <f t="array" ref="N41">IF(E41="trim",_xlfn.XLOOKUP(1,(TRIM('SIZE GUIDE'!$A$3:$A$2015)=TRIM(E41))*(TRIM('SIZE GUIDE'!$B$3:$B$2015)=TRIM(F41))*(TRIM('SIZE GUIDE'!$C$3:$C$2015)=TRIM(H41)),'SIZE GUIDE'!$D$3:$D$2015),"")</f>
        <v/>
      </c>
      <c r="O41" s="65" t="str" cm="1">
        <f t="array" ref="O41">IF(E41="trim",IFERROR(INDEX('SIZE GUIDE'!$E:$E,MATCH(1,('SIZE GUIDE'!$A:$A=$E41)*('SIZE GUIDE'!$B:$B=$F41)*('SIZE GUIDE'!$C:$C=$H41),0)),""),"")</f>
        <v/>
      </c>
      <c r="P41" s="65"/>
      <c r="Q41" s="66" t="str">
        <f>IF(E41="untrim",K41-1,N41)</f>
        <v/>
      </c>
      <c r="R41" s="59" t="str">
        <f>IF(E41="untrim",L41-1,O41)</f>
        <v/>
      </c>
      <c r="S41" s="59"/>
      <c r="T41" s="93" t="str">
        <f t="shared" ref="T41:T49" si="5">IFERROR(Q41*R41*S41/144*I41,"")</f>
        <v/>
      </c>
      <c r="U41" s="94"/>
      <c r="V41" s="95"/>
      <c r="W41" s="18"/>
      <c r="X41" s="24" t="str">
        <f>IF(COUNTIF($C$15:C41,C41)=1,ROUND(SUMIF($C:$C,C41,$V:$V),2), "")</f>
        <v/>
      </c>
    </row>
    <row r="42" spans="1:24" s="17" customFormat="1" ht="41.25" hidden="1" customHeight="1" x14ac:dyDescent="0.2">
      <c r="A42" s="57"/>
      <c r="B42" s="57"/>
      <c r="C42" s="57"/>
      <c r="D42" s="58"/>
      <c r="E42" s="58"/>
      <c r="F42" s="59"/>
      <c r="G42" s="60"/>
      <c r="H42" s="58"/>
      <c r="I42" s="61"/>
      <c r="J42" s="63"/>
      <c r="K42" s="63" t="str" cm="1">
        <f t="array" ref="K42">IF(E42="untrim",_xlfn.XLOOKUP(1,(TRIM('SIZE GUIDE'!$A$3:$A$2015)=TRIM(E42))*(TRIM('SIZE GUIDE'!$B$3:$B$2015)=TRIM(F42))*(TRIM('SIZE GUIDE'!$C$3:$C$2015)=TRIM(H42)),'SIZE GUIDE'!$D$3:$D$2015),"")</f>
        <v/>
      </c>
      <c r="L42" s="64"/>
      <c r="M42" s="63"/>
      <c r="N42" s="65" t="str" cm="1">
        <f t="array" ref="N42">IF(E42="trim",_xlfn.XLOOKUP(1,(TRIM('SIZE GUIDE'!$A$3:$A$2015)=TRIM(E42))*(TRIM('SIZE GUIDE'!$B$3:$B$2015)=TRIM(F42))*(TRIM('SIZE GUIDE'!$C$3:$C$2015)=TRIM(H42)),'SIZE GUIDE'!$D$3:$D$2015),"")</f>
        <v/>
      </c>
      <c r="O42" s="65" t="str" cm="1">
        <f t="array" ref="O42">IF(E42="trim",IFERROR(INDEX('SIZE GUIDE'!$E:$E,MATCH(1,('SIZE GUIDE'!$A:$A=$E42)*('SIZE GUIDE'!$B:$B=$F42)*('SIZE GUIDE'!$C:$C=$H42),0)),""),"")</f>
        <v/>
      </c>
      <c r="P42" s="65"/>
      <c r="Q42" s="66" t="str">
        <f t="shared" ref="Q42:Q49" si="6">IF(E42="untrim",K42-1.5,N42)</f>
        <v/>
      </c>
      <c r="R42" s="59"/>
      <c r="S42" s="59"/>
      <c r="T42" s="93" t="str">
        <f t="shared" si="5"/>
        <v/>
      </c>
      <c r="U42" s="94"/>
      <c r="V42" s="95"/>
      <c r="W42" s="18"/>
      <c r="X42" s="24" t="str">
        <f>IF(COUNTIF($C$15:C42,C42)=1,ROUND(SUMIF($C:$C,C42,$V:$V),2), "")</f>
        <v/>
      </c>
    </row>
    <row r="43" spans="1:24" s="17" customFormat="1" ht="41.25" hidden="1" customHeight="1" x14ac:dyDescent="0.2">
      <c r="A43" s="57"/>
      <c r="B43" s="57"/>
      <c r="C43" s="57"/>
      <c r="D43" s="58"/>
      <c r="E43" s="58"/>
      <c r="F43" s="59"/>
      <c r="G43" s="60"/>
      <c r="H43" s="58"/>
      <c r="I43" s="61"/>
      <c r="J43" s="63"/>
      <c r="K43" s="63" t="str" cm="1">
        <f t="array" ref="K43">IF(E43="untrim",_xlfn.XLOOKUP(1,(TRIM('SIZE GUIDE'!$A$3:$A$2015)=TRIM(E43))*(TRIM('SIZE GUIDE'!$B$3:$B$2015)=TRIM(F43))*(TRIM('SIZE GUIDE'!$C$3:$C$2015)=TRIM(H43)),'SIZE GUIDE'!$D$3:$D$2015),"")</f>
        <v/>
      </c>
      <c r="L43" s="64"/>
      <c r="M43" s="63"/>
      <c r="N43" s="65" t="str" cm="1">
        <f t="array" ref="N43">IF(E43="trim",_xlfn.XLOOKUP(1,(TRIM('SIZE GUIDE'!$A$3:$A$2015)=TRIM(E43))*(TRIM('SIZE GUIDE'!$B$3:$B$2015)=TRIM(F43))*(TRIM('SIZE GUIDE'!$C$3:$C$2015)=TRIM(H43)),'SIZE GUIDE'!$D$3:$D$2015),"")</f>
        <v/>
      </c>
      <c r="O43" s="65" t="str" cm="1">
        <f t="array" ref="O43">IF(E43="trim",IFERROR(INDEX('SIZE GUIDE'!$E:$E,MATCH(1,('SIZE GUIDE'!$A:$A=$E43)*('SIZE GUIDE'!$B:$B=$F43)*('SIZE GUIDE'!$C:$C=$H43),0)),""),"")</f>
        <v/>
      </c>
      <c r="P43" s="65"/>
      <c r="Q43" s="66" t="str">
        <f t="shared" si="6"/>
        <v/>
      </c>
      <c r="R43" s="59"/>
      <c r="S43" s="59"/>
      <c r="T43" s="93" t="str">
        <f t="shared" si="5"/>
        <v/>
      </c>
      <c r="U43" s="94"/>
      <c r="V43" s="95"/>
      <c r="W43" s="18"/>
      <c r="X43" s="24" t="str">
        <f>IF(COUNTIF($C$15:C43,C43)=1,ROUND(SUMIF($C:$C,C43,$V:$V),2), "")</f>
        <v/>
      </c>
    </row>
    <row r="44" spans="1:24" s="17" customFormat="1" ht="41.25" hidden="1" customHeight="1" x14ac:dyDescent="0.2">
      <c r="A44" s="57"/>
      <c r="B44" s="57"/>
      <c r="C44" s="57"/>
      <c r="D44" s="58"/>
      <c r="E44" s="58"/>
      <c r="F44" s="59"/>
      <c r="G44" s="60"/>
      <c r="H44" s="58"/>
      <c r="I44" s="61"/>
      <c r="J44" s="63"/>
      <c r="K44" s="63" t="str" cm="1">
        <f t="array" ref="K44">IF(E44="untrim",_xlfn.XLOOKUP(1,(TRIM('SIZE GUIDE'!$A$3:$A$2015)=TRIM(E44))*(TRIM('SIZE GUIDE'!$B$3:$B$2015)=TRIM(F44))*(TRIM('SIZE GUIDE'!$C$3:$C$2015)=TRIM(H44)),'SIZE GUIDE'!$D$3:$D$2015),"")</f>
        <v/>
      </c>
      <c r="L44" s="64"/>
      <c r="M44" s="63"/>
      <c r="N44" s="65" t="str" cm="1">
        <f t="array" ref="N44">IF(E44="trim",_xlfn.XLOOKUP(1,(TRIM('SIZE GUIDE'!$A$3:$A$2015)=TRIM(E44))*(TRIM('SIZE GUIDE'!$B$3:$B$2015)=TRIM(F44))*(TRIM('SIZE GUIDE'!$C$3:$C$2015)=TRIM(H44)),'SIZE GUIDE'!$D$3:$D$2015),"")</f>
        <v/>
      </c>
      <c r="O44" s="65" t="str" cm="1">
        <f t="array" ref="O44">IF(E44="trim",IFERROR(INDEX('SIZE GUIDE'!$E:$E,MATCH(1,('SIZE GUIDE'!$A:$A=$E44)*('SIZE GUIDE'!$B:$B=$F44)*('SIZE GUIDE'!$C:$C=$H44),0)),""),"")</f>
        <v/>
      </c>
      <c r="P44" s="65"/>
      <c r="Q44" s="66" t="str">
        <f t="shared" si="6"/>
        <v/>
      </c>
      <c r="R44" s="59"/>
      <c r="S44" s="59"/>
      <c r="T44" s="93" t="str">
        <f t="shared" si="5"/>
        <v/>
      </c>
      <c r="U44" s="94"/>
      <c r="V44" s="95"/>
      <c r="W44" s="18"/>
      <c r="X44" s="24" t="str">
        <f>IF(COUNTIF($C$15:C44,C44)=1,ROUND(SUMIF($C:$C,C44,$V:$V),2), "")</f>
        <v/>
      </c>
    </row>
    <row r="45" spans="1:24" s="17" customFormat="1" ht="41.25" hidden="1" customHeight="1" x14ac:dyDescent="0.2">
      <c r="A45" s="57"/>
      <c r="B45" s="57"/>
      <c r="C45" s="57"/>
      <c r="D45" s="58"/>
      <c r="E45" s="58"/>
      <c r="F45" s="59"/>
      <c r="G45" s="60"/>
      <c r="H45" s="58"/>
      <c r="I45" s="61"/>
      <c r="J45" s="63"/>
      <c r="K45" s="63" t="str" cm="1">
        <f t="array" ref="K45">IF(E45="untrim",_xlfn.XLOOKUP(1,(TRIM('SIZE GUIDE'!$A$3:$A$2015)=TRIM(E45))*(TRIM('SIZE GUIDE'!$B$3:$B$2015)=TRIM(F45))*(TRIM('SIZE GUIDE'!$C$3:$C$2015)=TRIM(H45)),'SIZE GUIDE'!$D$3:$D$2015),"")</f>
        <v/>
      </c>
      <c r="L45" s="64"/>
      <c r="M45" s="63"/>
      <c r="N45" s="65" t="str" cm="1">
        <f t="array" ref="N45">IF(E45="trim",_xlfn.XLOOKUP(1,(TRIM('SIZE GUIDE'!$A$3:$A$2015)=TRIM(E45))*(TRIM('SIZE GUIDE'!$B$3:$B$2015)=TRIM(F45))*(TRIM('SIZE GUIDE'!$C$3:$C$2015)=TRIM(H45)),'SIZE GUIDE'!$D$3:$D$2015),"")</f>
        <v/>
      </c>
      <c r="O45" s="65" t="str" cm="1">
        <f t="array" ref="O45">IF(E45="trim",IFERROR(INDEX('SIZE GUIDE'!$E:$E,MATCH(1,('SIZE GUIDE'!$A:$A=$E45)*('SIZE GUIDE'!$B:$B=$F45)*('SIZE GUIDE'!$C:$C=$H45),0)),""),"")</f>
        <v/>
      </c>
      <c r="P45" s="65"/>
      <c r="Q45" s="66" t="str">
        <f t="shared" si="6"/>
        <v/>
      </c>
      <c r="R45" s="59"/>
      <c r="S45" s="59"/>
      <c r="T45" s="93" t="str">
        <f t="shared" si="5"/>
        <v/>
      </c>
      <c r="U45" s="94"/>
      <c r="V45" s="95"/>
      <c r="W45" s="18"/>
      <c r="X45" s="24" t="str">
        <f>IF(COUNTIF($C$15:C45,C45)=1,ROUND(SUMIF($C:$C,C45,$V:$V),2), "")</f>
        <v/>
      </c>
    </row>
    <row r="46" spans="1:24" s="17" customFormat="1" ht="41.25" hidden="1" customHeight="1" x14ac:dyDescent="0.2">
      <c r="A46" s="57"/>
      <c r="B46" s="57"/>
      <c r="C46" s="57"/>
      <c r="D46" s="58"/>
      <c r="E46" s="58"/>
      <c r="F46" s="59"/>
      <c r="G46" s="60"/>
      <c r="H46" s="58"/>
      <c r="I46" s="61"/>
      <c r="J46" s="63"/>
      <c r="K46" s="63" t="str" cm="1">
        <f t="array" ref="K46">IF(E46="untrim",_xlfn.XLOOKUP(1,(TRIM('SIZE GUIDE'!$A$3:$A$2015)=TRIM(E46))*(TRIM('SIZE GUIDE'!$B$3:$B$2015)=TRIM(F46))*(TRIM('SIZE GUIDE'!$C$3:$C$2015)=TRIM(H46)),'SIZE GUIDE'!$D$3:$D$2015),"")</f>
        <v/>
      </c>
      <c r="L46" s="64"/>
      <c r="M46" s="63"/>
      <c r="N46" s="65" t="str" cm="1">
        <f t="array" ref="N46">IF(E46="trim",_xlfn.XLOOKUP(1,(TRIM('SIZE GUIDE'!$A$3:$A$2015)=TRIM(E46))*(TRIM('SIZE GUIDE'!$B$3:$B$2015)=TRIM(F46))*(TRIM('SIZE GUIDE'!$C$3:$C$2015)=TRIM(H46)),'SIZE GUIDE'!$D$3:$D$2015),"")</f>
        <v/>
      </c>
      <c r="O46" s="65" t="str" cm="1">
        <f t="array" ref="O46">IF(E46="trim",IFERROR(INDEX('SIZE GUIDE'!$E:$E,MATCH(1,('SIZE GUIDE'!$A:$A=$E46)*('SIZE GUIDE'!$B:$B=$F46)*('SIZE GUIDE'!$C:$C=$H46),0)),""),"")</f>
        <v/>
      </c>
      <c r="P46" s="65"/>
      <c r="Q46" s="66" t="str">
        <f t="shared" si="6"/>
        <v/>
      </c>
      <c r="R46" s="59"/>
      <c r="S46" s="59"/>
      <c r="T46" s="93" t="str">
        <f t="shared" si="5"/>
        <v/>
      </c>
      <c r="U46" s="94"/>
      <c r="V46" s="95"/>
      <c r="W46" s="18"/>
      <c r="X46" s="24" t="str">
        <f>IF(COUNTIF($C$15:C46,C46)=1,ROUND(SUMIF($C:$C,C46,$V:$V),2), "")</f>
        <v/>
      </c>
    </row>
    <row r="47" spans="1:24" s="17" customFormat="1" ht="41.25" hidden="1" customHeight="1" x14ac:dyDescent="0.2">
      <c r="A47" s="57"/>
      <c r="B47" s="57"/>
      <c r="C47" s="57"/>
      <c r="D47" s="58"/>
      <c r="E47" s="58"/>
      <c r="F47" s="59"/>
      <c r="G47" s="60"/>
      <c r="H47" s="58"/>
      <c r="I47" s="61"/>
      <c r="J47" s="63"/>
      <c r="K47" s="63" t="str" cm="1">
        <f t="array" ref="K47">IF(E47="untrim",_xlfn.XLOOKUP(1,(TRIM('SIZE GUIDE'!$A$3:$A$2015)=TRIM(E47))*(TRIM('SIZE GUIDE'!$B$3:$B$2015)=TRIM(F47))*(TRIM('SIZE GUIDE'!$C$3:$C$2015)=TRIM(H47)),'SIZE GUIDE'!$D$3:$D$2015),"")</f>
        <v/>
      </c>
      <c r="L47" s="64"/>
      <c r="M47" s="63"/>
      <c r="N47" s="65" t="str" cm="1">
        <f t="array" ref="N47">IF(E47="trim",_xlfn.XLOOKUP(1,(TRIM('SIZE GUIDE'!$A$3:$A$2015)=TRIM(E47))*(TRIM('SIZE GUIDE'!$B$3:$B$2015)=TRIM(F47))*(TRIM('SIZE GUIDE'!$C$3:$C$2015)=TRIM(H47)),'SIZE GUIDE'!$D$3:$D$2015),"")</f>
        <v/>
      </c>
      <c r="O47" s="65" t="str" cm="1">
        <f t="array" ref="O47">IF(E47="trim",IFERROR(INDEX('SIZE GUIDE'!$E:$E,MATCH(1,('SIZE GUIDE'!$A:$A=$E47)*('SIZE GUIDE'!$B:$B=$F47)*('SIZE GUIDE'!$C:$C=$H47),0)),""),"")</f>
        <v/>
      </c>
      <c r="P47" s="65"/>
      <c r="Q47" s="66" t="str">
        <f t="shared" si="6"/>
        <v/>
      </c>
      <c r="R47" s="59"/>
      <c r="S47" s="59"/>
      <c r="T47" s="93" t="str">
        <f t="shared" si="5"/>
        <v/>
      </c>
      <c r="U47" s="94"/>
      <c r="V47" s="95"/>
      <c r="W47" s="18"/>
      <c r="X47" s="24" t="str">
        <f>IF(COUNTIF($C$15:C47,C47)=1,ROUND(SUMIF($C:$C,C47,$V:$V),2), "")</f>
        <v/>
      </c>
    </row>
    <row r="48" spans="1:24" s="17" customFormat="1" ht="41.25" hidden="1" customHeight="1" x14ac:dyDescent="0.2">
      <c r="A48" s="57"/>
      <c r="B48" s="57"/>
      <c r="C48" s="57"/>
      <c r="D48" s="58"/>
      <c r="E48" s="58"/>
      <c r="F48" s="59"/>
      <c r="G48" s="60"/>
      <c r="H48" s="58"/>
      <c r="I48" s="61"/>
      <c r="J48" s="63"/>
      <c r="K48" s="63" t="str" cm="1">
        <f t="array" ref="K48">IF(E48="untrim",_xlfn.XLOOKUP(1,(TRIM('SIZE GUIDE'!$A$3:$A$2015)=TRIM(E48))*(TRIM('SIZE GUIDE'!$B$3:$B$2015)=TRIM(F48))*(TRIM('SIZE GUIDE'!$C$3:$C$2015)=TRIM(H48)),'SIZE GUIDE'!$D$3:$D$2015),"")</f>
        <v/>
      </c>
      <c r="L48" s="64"/>
      <c r="M48" s="63"/>
      <c r="N48" s="65" t="str" cm="1">
        <f t="array" ref="N48">IF(E48="trim",_xlfn.XLOOKUP(1,(TRIM('SIZE GUIDE'!$A$3:$A$2015)=TRIM(E48))*(TRIM('SIZE GUIDE'!$B$3:$B$2015)=TRIM(F48))*(TRIM('SIZE GUIDE'!$C$3:$C$2015)=TRIM(H48)),'SIZE GUIDE'!$D$3:$D$2015),"")</f>
        <v/>
      </c>
      <c r="O48" s="65" t="str" cm="1">
        <f t="array" ref="O48">IF(E48="trim",IFERROR(INDEX('SIZE GUIDE'!$E:$E,MATCH(1,('SIZE GUIDE'!$A:$A=$E48)*('SIZE GUIDE'!$B:$B=$F48)*('SIZE GUIDE'!$C:$C=$H48),0)),""),"")</f>
        <v/>
      </c>
      <c r="P48" s="65"/>
      <c r="Q48" s="66" t="str">
        <f t="shared" si="6"/>
        <v/>
      </c>
      <c r="R48" s="59"/>
      <c r="S48" s="59"/>
      <c r="T48" s="93" t="str">
        <f t="shared" si="5"/>
        <v/>
      </c>
      <c r="U48" s="94"/>
      <c r="V48" s="95"/>
      <c r="W48" s="18"/>
      <c r="X48" s="24" t="str">
        <f>IF(COUNTIF($C$15:C48,C48)=1,ROUND(SUMIF($C:$C,C48,$V:$V),2), "")</f>
        <v/>
      </c>
    </row>
    <row r="49" spans="1:25" s="17" customFormat="1" ht="41.25" hidden="1" customHeight="1" x14ac:dyDescent="0.2">
      <c r="A49" s="57"/>
      <c r="B49" s="57"/>
      <c r="C49" s="57"/>
      <c r="D49" s="58"/>
      <c r="E49" s="58"/>
      <c r="F49" s="59"/>
      <c r="G49" s="60"/>
      <c r="H49" s="58"/>
      <c r="I49" s="61"/>
      <c r="J49" s="63"/>
      <c r="K49" s="63" t="str" cm="1">
        <f t="array" ref="K49">IF(E49="untrim",_xlfn.XLOOKUP(1,(TRIM('SIZE GUIDE'!$A$3:$A$2015)=TRIM(E49))*(TRIM('SIZE GUIDE'!$B$3:$B$2015)=TRIM(F49))*(TRIM('SIZE GUIDE'!$C$3:$C$2015)=TRIM(H49)),'SIZE GUIDE'!$D$3:$D$2015),"")</f>
        <v/>
      </c>
      <c r="L49" s="64"/>
      <c r="M49" s="63"/>
      <c r="N49" s="65" t="str" cm="1">
        <f t="array" ref="N49">IF(E49="trim",_xlfn.XLOOKUP(1,(TRIM('SIZE GUIDE'!$A$3:$A$2015)=TRIM(E49))*(TRIM('SIZE GUIDE'!$B$3:$B$2015)=TRIM(F49))*(TRIM('SIZE GUIDE'!$C$3:$C$2015)=TRIM(H49)),'SIZE GUIDE'!$D$3:$D$2015),"")</f>
        <v/>
      </c>
      <c r="O49" s="65" t="str" cm="1">
        <f t="array" ref="O49">IF(E49="trim",IFERROR(INDEX('SIZE GUIDE'!$E:$E,MATCH(1,('SIZE GUIDE'!$A:$A=$E49)*('SIZE GUIDE'!$B:$B=$F49)*('SIZE GUIDE'!$C:$C=$H49),0)),""),"")</f>
        <v/>
      </c>
      <c r="P49" s="65"/>
      <c r="Q49" s="66" t="str">
        <f t="shared" si="6"/>
        <v/>
      </c>
      <c r="R49" s="59"/>
      <c r="S49" s="59"/>
      <c r="T49" s="93" t="str">
        <f t="shared" si="5"/>
        <v/>
      </c>
      <c r="U49" s="94"/>
      <c r="V49" s="95"/>
      <c r="W49" s="18"/>
      <c r="X49" s="24" t="str">
        <f>IF(COUNTIF($C$15:C49,C49)=1,ROUND(SUMIF($C:$C,C49,$V:$V),2), "")</f>
        <v/>
      </c>
    </row>
    <row r="50" spans="1:25" s="17" customFormat="1" ht="41.25" customHeight="1" thickBot="1" x14ac:dyDescent="0.25">
      <c r="A50" s="53"/>
      <c r="B50" s="53"/>
      <c r="C50" s="53"/>
      <c r="D50" s="53"/>
      <c r="E50" s="67"/>
      <c r="F50" s="68"/>
      <c r="G50" s="68"/>
      <c r="H50" s="69" t="s">
        <v>155</v>
      </c>
      <c r="I50" s="70">
        <f>SUM(I15:I49)</f>
        <v>10</v>
      </c>
      <c r="J50" s="55"/>
      <c r="K50" s="55"/>
      <c r="L50" s="55"/>
      <c r="M50" s="55"/>
      <c r="N50" s="56"/>
      <c r="O50" s="56"/>
      <c r="P50" s="122"/>
      <c r="Q50" s="67"/>
      <c r="R50" s="67"/>
      <c r="S50" s="67"/>
      <c r="T50" s="96">
        <f>SUM(T15:T49)</f>
        <v>22963.5</v>
      </c>
      <c r="U50" s="97"/>
      <c r="V50" s="92">
        <f>SUM(V15:V49)</f>
        <v>4863.6692999999996</v>
      </c>
      <c r="W50" s="109">
        <f>T50</f>
        <v>22963.5</v>
      </c>
      <c r="X50" s="104">
        <f>SUM(X15:X49)</f>
        <v>4863.67</v>
      </c>
    </row>
    <row r="51" spans="1:25" s="17" customFormat="1" ht="41.25" customHeight="1" x14ac:dyDescent="0.2">
      <c r="A51" s="57"/>
      <c r="B51" s="71"/>
      <c r="C51" s="71"/>
      <c r="D51" s="72"/>
      <c r="E51" s="72"/>
      <c r="F51" s="73"/>
      <c r="G51" s="74"/>
      <c r="H51" s="75" t="s">
        <v>156</v>
      </c>
      <c r="I51" s="76"/>
      <c r="J51" s="77"/>
      <c r="K51" s="78"/>
      <c r="L51" s="79"/>
      <c r="M51" s="78"/>
      <c r="N51" s="78"/>
      <c r="O51" s="78"/>
      <c r="P51" s="78"/>
      <c r="Q51" s="80"/>
      <c r="R51" s="80"/>
      <c r="S51" s="80"/>
      <c r="T51" s="81"/>
      <c r="U51" s="82"/>
      <c r="V51" s="83"/>
      <c r="W51" s="19"/>
      <c r="X51" s="25"/>
    </row>
    <row r="52" spans="1:25" s="17" customFormat="1" ht="41.25" customHeight="1" thickBot="1" x14ac:dyDescent="0.25">
      <c r="A52" s="53"/>
      <c r="B52" s="53"/>
      <c r="C52" s="68"/>
      <c r="D52" s="67"/>
      <c r="E52" s="67"/>
      <c r="F52" s="67"/>
      <c r="G52" s="67"/>
      <c r="H52" s="69" t="s">
        <v>162</v>
      </c>
      <c r="I52" s="70">
        <f>I50</f>
        <v>10</v>
      </c>
      <c r="J52" s="55"/>
      <c r="K52" s="55"/>
      <c r="L52" s="55"/>
      <c r="M52" s="55"/>
      <c r="N52" s="56"/>
      <c r="O52" s="56"/>
      <c r="P52" s="122"/>
      <c r="Q52" s="67"/>
      <c r="R52" s="67"/>
      <c r="S52" s="67"/>
      <c r="T52" s="96">
        <f>T50</f>
        <v>22963.5</v>
      </c>
      <c r="U52" s="97"/>
      <c r="V52" s="92">
        <f>+V50+V51</f>
        <v>4863.6692999999996</v>
      </c>
      <c r="W52" s="109">
        <f>W50</f>
        <v>22963.5</v>
      </c>
      <c r="X52" s="104">
        <f>X50</f>
        <v>4863.67</v>
      </c>
    </row>
    <row r="53" spans="1:25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8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5" ht="15" customHeight="1" x14ac:dyDescent="0.25">
      <c r="A54" s="48" t="s">
        <v>153</v>
      </c>
      <c r="B54" s="48"/>
      <c r="C54" s="48"/>
      <c r="D54" s="48"/>
      <c r="E54" s="48"/>
      <c r="F54" s="84"/>
      <c r="G54" s="48"/>
      <c r="H54" s="85"/>
      <c r="I54" s="85"/>
      <c r="J54" s="8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5" ht="15" customHeight="1" x14ac:dyDescent="0.25">
      <c r="A55" s="48"/>
      <c r="B55" s="48"/>
      <c r="C55" s="48"/>
      <c r="D55" s="48"/>
      <c r="E55" s="48"/>
      <c r="F55" s="84"/>
      <c r="G55" s="48"/>
      <c r="H55" s="85"/>
      <c r="I55" s="85"/>
      <c r="J55" s="8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5" ht="15" customHeight="1" x14ac:dyDescent="0.25">
      <c r="A56" s="48" t="s">
        <v>154</v>
      </c>
      <c r="B56" s="48"/>
      <c r="C56" s="48"/>
      <c r="D56" s="48"/>
      <c r="E56" s="48"/>
      <c r="F56" s="84"/>
      <c r="G56" s="48"/>
      <c r="H56" s="85"/>
      <c r="I56" s="85"/>
      <c r="J56" s="8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89"/>
    </row>
    <row r="57" spans="1:25" ht="15" customHeight="1" x14ac:dyDescent="0.25">
      <c r="A57" s="48"/>
      <c r="B57" s="48"/>
      <c r="C57" s="48"/>
      <c r="D57" s="48"/>
      <c r="E57" s="48"/>
      <c r="F57" s="84"/>
      <c r="G57" s="48"/>
      <c r="H57" s="85"/>
      <c r="I57" s="85"/>
      <c r="J57" s="8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89"/>
    </row>
    <row r="58" spans="1:25" ht="15" customHeight="1" x14ac:dyDescent="0.25">
      <c r="A58" s="48"/>
      <c r="B58" s="48"/>
      <c r="C58" s="48"/>
      <c r="D58" s="48"/>
      <c r="E58" s="48"/>
      <c r="F58" s="84"/>
      <c r="G58" s="48"/>
      <c r="H58" s="85"/>
      <c r="I58" s="85"/>
      <c r="J58" s="8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89"/>
    </row>
    <row r="59" spans="1:25" ht="15" customHeight="1" x14ac:dyDescent="0.25">
      <c r="A59" s="86"/>
      <c r="B59" s="318"/>
      <c r="C59" s="318"/>
      <c r="D59" s="318"/>
      <c r="E59" s="318"/>
      <c r="F59" s="318"/>
      <c r="G59" s="318"/>
      <c r="H59" s="318"/>
      <c r="I59" s="318"/>
      <c r="J59" s="318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89"/>
    </row>
    <row r="60" spans="1:25" ht="15" customHeight="1" x14ac:dyDescent="0.25">
      <c r="A60" s="86"/>
      <c r="B60" s="319"/>
      <c r="C60" s="319"/>
      <c r="D60" s="319"/>
      <c r="E60" s="319"/>
      <c r="F60" s="319"/>
      <c r="G60" s="319"/>
      <c r="H60" s="319"/>
      <c r="I60" s="319"/>
      <c r="J60" s="319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89"/>
      <c r="X60" s="16"/>
      <c r="Y60" s="23"/>
    </row>
  </sheetData>
  <mergeCells count="5">
    <mergeCell ref="A7:E7"/>
    <mergeCell ref="F7:G7"/>
    <mergeCell ref="R9:S9"/>
    <mergeCell ref="B59:J59"/>
    <mergeCell ref="B60:J60"/>
  </mergeCells>
  <pageMargins left="0" right="0" top="1" bottom="0" header="0.511811023622047" footer="0.511811023622047"/>
  <pageSetup paperSize="9" scale="56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62FD4CB9-4686-4B57-8042-306081EAD395}">
          <x14:formula1>
            <xm:f>LISTS!$B$2:$B$8</xm:f>
          </x14:formula1>
          <x14:formula2>
            <xm:f>0</xm:f>
          </x14:formula2>
          <xm:sqref>H15:H52</xm:sqref>
        </x14:dataValidation>
        <x14:dataValidation type="list" allowBlank="1" xr:uid="{69D5374E-9935-4CC0-A43F-7896667D4D36}">
          <x14:formula1>
            <xm:f>'SIZE GUIDE'!$A$3:$A$38</xm:f>
          </x14:formula1>
          <xm:sqref>E15:E52</xm:sqref>
        </x14:dataValidation>
        <x14:dataValidation type="list" errorStyle="information" allowBlank="1" showInputMessage="1" xr:uid="{3441FAA3-437D-4914-8065-4957AA48471D}">
          <x14:formula1>
            <xm:f>CODE_MASTER_AS!$A$3:$A$14</xm:f>
          </x14:formula1>
          <xm:sqref>F50:G50 C51:C52 C15:C49</xm:sqref>
        </x14:dataValidation>
        <x14:dataValidation type="list" allowBlank="1" showInputMessage="1" showErrorMessage="1" xr:uid="{2D7A535E-FCC9-4AFB-B960-3E36C921A00A}">
          <x14:formula1>
            <xm:f>'SIZE GUIDE'!$B:$B</xm:f>
          </x14:formula1>
          <xm:sqref>G50 F15:F52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8175F-6B84-46A5-A3AF-DEE6B9FA8630}">
  <sheetPr codeName="Sheet13">
    <pageSetUpPr fitToPage="1"/>
  </sheetPr>
  <dimension ref="A1:AC60"/>
  <sheetViews>
    <sheetView showGridLines="0" view="pageBreakPreview" topLeftCell="A6" zoomScale="89" zoomScaleNormal="68" zoomScaleSheetLayoutView="89" workbookViewId="0">
      <selection activeCell="S17" sqref="S17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6.5" style="16" customWidth="1"/>
    <col min="4" max="4" width="13.83203125" style="16" customWidth="1"/>
    <col min="5" max="5" width="15.1640625" style="16" customWidth="1"/>
    <col min="6" max="6" width="10.5" style="16" customWidth="1"/>
    <col min="7" max="7" width="13.6640625" style="16" hidden="1" customWidth="1"/>
    <col min="8" max="8" width="18.5" style="16" customWidth="1"/>
    <col min="9" max="10" width="8" style="16" customWidth="1"/>
    <col min="11" max="17" width="10.6640625" style="16" hidden="1" customWidth="1"/>
    <col min="18" max="20" width="8.1640625" style="16" customWidth="1"/>
    <col min="21" max="22" width="12.5" style="16" customWidth="1"/>
    <col min="23" max="23" width="13.1640625" style="98" customWidth="1"/>
    <col min="24" max="24" width="47" style="16" customWidth="1"/>
    <col min="25" max="25" width="15.33203125" style="23" hidden="1" customWidth="1"/>
    <col min="26" max="16384" width="8.6640625" style="16"/>
  </cols>
  <sheetData>
    <row r="1" spans="1:29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13"/>
      <c r="K1" s="29"/>
      <c r="L1" s="29"/>
      <c r="M1" s="29"/>
      <c r="N1" s="29"/>
      <c r="O1" s="27"/>
      <c r="P1" s="27"/>
      <c r="Q1" s="27"/>
      <c r="R1" s="13"/>
      <c r="S1" s="13"/>
      <c r="T1" s="13"/>
      <c r="U1" s="13"/>
      <c r="V1" s="13"/>
      <c r="W1" s="22"/>
      <c r="X1" s="13"/>
      <c r="Y1" s="22"/>
    </row>
    <row r="2" spans="1:29" s="14" customFormat="1" ht="33.75" customHeight="1" x14ac:dyDescent="0.2">
      <c r="A2" s="13"/>
      <c r="B2" s="13"/>
      <c r="C2" s="13"/>
      <c r="D2" s="13"/>
      <c r="E2" s="13"/>
      <c r="F2" s="13"/>
      <c r="G2" s="13"/>
      <c r="K2" s="30"/>
      <c r="L2" s="31"/>
      <c r="M2" s="29"/>
      <c r="N2" s="32" t="s">
        <v>161</v>
      </c>
      <c r="O2" s="27"/>
      <c r="P2" s="27"/>
      <c r="Q2" s="28" t="s">
        <v>160</v>
      </c>
      <c r="S2" s="20"/>
      <c r="T2" s="21"/>
      <c r="V2" s="13"/>
      <c r="X2" s="20" t="s">
        <v>151</v>
      </c>
      <c r="Y2" s="22"/>
    </row>
    <row r="3" spans="1:29" ht="15" customHeight="1" x14ac:dyDescent="0.25">
      <c r="A3" s="33" t="s">
        <v>144</v>
      </c>
      <c r="B3" s="34"/>
      <c r="C3" s="35"/>
      <c r="D3" s="35"/>
      <c r="E3" s="35"/>
      <c r="F3" s="35"/>
      <c r="G3" s="36"/>
      <c r="H3" s="35"/>
      <c r="I3" s="35"/>
      <c r="J3" s="35"/>
      <c r="K3" s="37"/>
      <c r="L3" s="37"/>
      <c r="M3" s="37"/>
      <c r="N3" s="37"/>
      <c r="O3" s="38"/>
      <c r="P3" s="38"/>
      <c r="Q3" s="38"/>
      <c r="R3" s="39"/>
      <c r="S3" s="39"/>
      <c r="T3" s="39"/>
      <c r="U3" s="35"/>
      <c r="V3" s="36"/>
      <c r="W3" s="39"/>
      <c r="X3" s="13"/>
      <c r="Y3" s="22"/>
    </row>
    <row r="4" spans="1:29" ht="21" customHeight="1" x14ac:dyDescent="0.25">
      <c r="A4" s="33" t="s">
        <v>145</v>
      </c>
      <c r="B4" s="34"/>
      <c r="C4" s="40"/>
      <c r="D4" s="40"/>
      <c r="E4" s="35"/>
      <c r="F4" s="35"/>
      <c r="G4" s="36"/>
      <c r="H4" s="35"/>
      <c r="I4" s="35"/>
      <c r="J4" s="35"/>
      <c r="K4" s="37"/>
      <c r="L4" s="37"/>
      <c r="M4" s="37"/>
      <c r="N4" s="37"/>
      <c r="O4" s="38"/>
      <c r="P4" s="38"/>
      <c r="Q4" s="38"/>
      <c r="R4" s="39"/>
      <c r="S4" s="39"/>
      <c r="T4" s="39"/>
      <c r="U4" s="35"/>
      <c r="V4" s="36"/>
      <c r="W4" s="39"/>
      <c r="X4" s="13"/>
      <c r="Y4" s="22"/>
    </row>
    <row r="5" spans="1:29" ht="21" customHeight="1" x14ac:dyDescent="0.25">
      <c r="A5" s="33" t="s">
        <v>146</v>
      </c>
      <c r="B5" s="34"/>
      <c r="C5" s="34"/>
      <c r="D5" s="34"/>
      <c r="E5" s="35"/>
      <c r="F5" s="35"/>
      <c r="G5" s="36"/>
      <c r="H5" s="35"/>
      <c r="I5" s="35"/>
      <c r="J5" s="35"/>
      <c r="K5" s="37"/>
      <c r="L5" s="37"/>
      <c r="M5" s="37"/>
      <c r="N5" s="37"/>
      <c r="O5" s="38"/>
      <c r="P5" s="38"/>
      <c r="Q5" s="38"/>
      <c r="R5" s="39"/>
      <c r="S5" s="39"/>
      <c r="T5" s="39"/>
      <c r="U5" s="35"/>
      <c r="V5" s="36"/>
      <c r="W5" s="39"/>
      <c r="X5" s="13"/>
      <c r="Y5" s="22"/>
    </row>
    <row r="6" spans="1:29" ht="21" customHeight="1" x14ac:dyDescent="0.25">
      <c r="A6" s="41"/>
      <c r="B6" s="34"/>
      <c r="C6" s="34"/>
      <c r="D6" s="34"/>
      <c r="E6" s="35"/>
      <c r="F6" s="35"/>
      <c r="G6" s="36"/>
      <c r="H6" s="35"/>
      <c r="I6" s="35"/>
      <c r="J6" s="35"/>
      <c r="K6" s="37"/>
      <c r="L6" s="37"/>
      <c r="M6" s="37"/>
      <c r="N6" s="37"/>
      <c r="O6" s="38"/>
      <c r="P6" s="38"/>
      <c r="Q6" s="38"/>
      <c r="R6" s="39"/>
      <c r="S6" s="39"/>
      <c r="T6" s="39"/>
      <c r="U6" s="35"/>
      <c r="V6" s="36"/>
      <c r="W6" s="39"/>
      <c r="X6" s="13"/>
      <c r="Y6" s="22"/>
    </row>
    <row r="7" spans="1:29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16"/>
      <c r="I7" s="35"/>
      <c r="J7" s="35"/>
      <c r="K7" s="37"/>
      <c r="L7" s="37"/>
      <c r="M7" s="37"/>
      <c r="N7" s="37"/>
      <c r="O7" s="38"/>
      <c r="P7" s="38"/>
      <c r="Q7" s="38"/>
      <c r="R7" s="43" t="s">
        <v>147</v>
      </c>
      <c r="S7" s="43"/>
      <c r="T7" s="43"/>
      <c r="U7" s="43"/>
      <c r="V7" s="43"/>
      <c r="W7" s="43" t="s">
        <v>148</v>
      </c>
      <c r="X7" s="43"/>
      <c r="Y7" s="43"/>
    </row>
    <row r="8" spans="1:29" ht="15" customHeight="1" x14ac:dyDescent="0.25">
      <c r="A8" s="44" t="s">
        <v>103</v>
      </c>
      <c r="B8" s="45"/>
      <c r="C8" s="45"/>
      <c r="D8" s="45"/>
      <c r="E8" s="46"/>
      <c r="F8" s="46"/>
      <c r="G8" s="36"/>
      <c r="H8" s="46"/>
      <c r="I8" s="35"/>
      <c r="J8" s="35"/>
      <c r="K8" s="37"/>
      <c r="L8" s="37"/>
      <c r="M8" s="37"/>
      <c r="N8" s="37"/>
      <c r="O8" s="38"/>
      <c r="P8" s="38"/>
      <c r="Q8" s="38"/>
      <c r="R8" s="105" t="s">
        <v>267</v>
      </c>
      <c r="S8" s="87"/>
      <c r="T8" s="106"/>
      <c r="U8" s="46"/>
      <c r="V8" s="107"/>
      <c r="W8" s="108">
        <v>46197</v>
      </c>
      <c r="X8" s="13"/>
      <c r="Y8" s="22"/>
    </row>
    <row r="9" spans="1:29" ht="15" customHeight="1" x14ac:dyDescent="0.25">
      <c r="A9" s="46"/>
      <c r="B9" s="45"/>
      <c r="C9" s="46"/>
      <c r="D9" s="46"/>
      <c r="E9" s="35"/>
      <c r="F9" s="46"/>
      <c r="G9" s="36"/>
      <c r="H9" s="46"/>
      <c r="I9" s="35"/>
      <c r="J9" s="35"/>
      <c r="K9" s="37"/>
      <c r="L9" s="37"/>
      <c r="M9" s="37"/>
      <c r="N9" s="37"/>
      <c r="O9" s="38"/>
      <c r="P9" s="38"/>
      <c r="Q9" s="38"/>
      <c r="R9" s="86"/>
      <c r="S9" s="320"/>
      <c r="T9" s="320"/>
      <c r="U9" s="46"/>
      <c r="V9" s="107"/>
      <c r="W9" s="33"/>
      <c r="X9" s="13"/>
      <c r="Y9" s="22"/>
    </row>
    <row r="10" spans="1:29" ht="15" customHeight="1" x14ac:dyDescent="0.25">
      <c r="A10" s="46"/>
      <c r="B10" s="45"/>
      <c r="C10" s="46"/>
      <c r="D10" s="46"/>
      <c r="E10" s="35"/>
      <c r="F10" s="46"/>
      <c r="G10" s="36"/>
      <c r="H10" s="46"/>
      <c r="I10" s="35"/>
      <c r="J10" s="35"/>
      <c r="K10" s="37"/>
      <c r="L10" s="37"/>
      <c r="M10" s="37"/>
      <c r="N10" s="37"/>
      <c r="O10" s="38"/>
      <c r="P10" s="38"/>
      <c r="Q10" s="38"/>
      <c r="R10" s="42" t="s">
        <v>149</v>
      </c>
      <c r="S10" s="43"/>
      <c r="T10" s="43"/>
      <c r="U10" s="43"/>
      <c r="V10" s="43"/>
      <c r="W10" s="43" t="s">
        <v>150</v>
      </c>
      <c r="X10" s="43"/>
      <c r="Y10" s="43"/>
    </row>
    <row r="11" spans="1:29" ht="15" customHeight="1" x14ac:dyDescent="0.25">
      <c r="A11" s="46"/>
      <c r="B11" s="34"/>
      <c r="C11" s="35"/>
      <c r="D11" s="35"/>
      <c r="E11" s="35"/>
      <c r="F11" s="46"/>
      <c r="G11" s="46"/>
      <c r="H11" s="46"/>
      <c r="I11" s="35"/>
      <c r="J11" s="35"/>
      <c r="K11" s="37"/>
      <c r="L11" s="37"/>
      <c r="M11" s="37"/>
      <c r="N11" s="37"/>
      <c r="O11" s="38"/>
      <c r="P11" s="38"/>
      <c r="Q11" s="38"/>
      <c r="R11" s="105" t="s">
        <v>264</v>
      </c>
      <c r="S11" s="86"/>
      <c r="T11" s="86"/>
      <c r="U11" s="46"/>
      <c r="V11" s="107"/>
      <c r="W11" s="86"/>
      <c r="X11" s="13"/>
      <c r="Y11" s="22"/>
    </row>
    <row r="12" spans="1:29" ht="15" customHeight="1" x14ac:dyDescent="0.25">
      <c r="A12" s="189" t="s">
        <v>231</v>
      </c>
      <c r="B12" s="34"/>
      <c r="C12" s="35"/>
      <c r="D12" s="35"/>
      <c r="E12" s="35"/>
      <c r="F12" s="46"/>
      <c r="G12" s="46"/>
      <c r="H12" s="46"/>
      <c r="I12" s="35"/>
      <c r="J12" s="35"/>
      <c r="K12" s="37"/>
      <c r="L12" s="37"/>
      <c r="M12" s="37"/>
      <c r="N12" s="37"/>
      <c r="O12" s="38"/>
      <c r="P12" s="38"/>
      <c r="Q12" s="38"/>
      <c r="R12" s="105"/>
      <c r="S12" s="48"/>
      <c r="T12" s="86"/>
      <c r="U12" s="46"/>
      <c r="V12" s="107"/>
      <c r="W12" s="86"/>
      <c r="X12" s="13"/>
      <c r="Y12" s="22"/>
    </row>
    <row r="13" spans="1:29" ht="15" customHeight="1" x14ac:dyDescent="0.25">
      <c r="A13" s="188" t="s">
        <v>246</v>
      </c>
      <c r="B13" s="34"/>
      <c r="C13" s="35"/>
      <c r="D13" s="35"/>
      <c r="E13" s="35"/>
      <c r="F13" s="46"/>
      <c r="G13" s="46"/>
      <c r="H13" s="46"/>
      <c r="I13" s="35"/>
      <c r="J13" s="35"/>
      <c r="K13" s="37"/>
      <c r="L13" s="37"/>
      <c r="M13" s="37"/>
      <c r="N13" s="37"/>
      <c r="O13" s="38"/>
      <c r="P13" s="38"/>
      <c r="Q13" s="38"/>
      <c r="R13" s="105"/>
      <c r="S13" s="35"/>
      <c r="T13" s="48"/>
      <c r="U13" s="48"/>
      <c r="V13" s="47"/>
      <c r="W13" s="49"/>
      <c r="X13" s="13"/>
      <c r="Y13" s="22"/>
    </row>
    <row r="14" spans="1:29" ht="15" customHeight="1" x14ac:dyDescent="0.25">
      <c r="A14" s="46"/>
      <c r="B14" s="34"/>
      <c r="C14" s="35"/>
      <c r="D14" s="35"/>
      <c r="E14" s="35"/>
      <c r="F14" s="46"/>
      <c r="G14" s="46"/>
      <c r="H14" s="46"/>
      <c r="I14" s="35"/>
      <c r="J14" s="35"/>
      <c r="K14" s="37"/>
      <c r="L14" s="37"/>
      <c r="M14" s="37"/>
      <c r="N14" s="37"/>
      <c r="O14" s="38"/>
      <c r="P14" s="38"/>
      <c r="Q14" s="38"/>
      <c r="R14" s="48"/>
      <c r="S14" s="48"/>
      <c r="T14" s="48"/>
      <c r="U14" s="48"/>
      <c r="V14" s="47"/>
      <c r="W14" s="49"/>
      <c r="X14" s="13"/>
      <c r="Y14" s="22"/>
    </row>
    <row r="15" spans="1:29" ht="15" hidden="1" customHeight="1" x14ac:dyDescent="0.25">
      <c r="A15" s="35"/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50"/>
      <c r="M15" s="50" t="s">
        <v>137</v>
      </c>
      <c r="N15" s="50"/>
      <c r="O15" s="51"/>
      <c r="P15" s="51" t="s">
        <v>138</v>
      </c>
      <c r="Q15" s="51"/>
      <c r="R15" s="52"/>
      <c r="S15" s="52" t="s">
        <v>134</v>
      </c>
      <c r="T15" s="52"/>
      <c r="U15" s="35"/>
      <c r="V15" s="35"/>
      <c r="W15" s="89"/>
      <c r="X15" s="16" t="s">
        <v>142</v>
      </c>
    </row>
    <row r="16" spans="1:29" s="17" customFormat="1" ht="41.25" customHeight="1" x14ac:dyDescent="0.2">
      <c r="A16" s="53" t="s">
        <v>158</v>
      </c>
      <c r="B16" s="53" t="s">
        <v>0</v>
      </c>
      <c r="C16" s="53" t="s">
        <v>1</v>
      </c>
      <c r="D16" s="54" t="s">
        <v>217</v>
      </c>
      <c r="E16" s="54" t="s">
        <v>135</v>
      </c>
      <c r="F16" s="54" t="s">
        <v>157</v>
      </c>
      <c r="G16" s="54" t="s">
        <v>3</v>
      </c>
      <c r="H16" s="54" t="s">
        <v>152</v>
      </c>
      <c r="I16" s="54" t="s">
        <v>105</v>
      </c>
      <c r="J16" s="54" t="s">
        <v>5</v>
      </c>
      <c r="K16" s="55" t="s">
        <v>64</v>
      </c>
      <c r="L16" s="55" t="s">
        <v>136</v>
      </c>
      <c r="M16" s="55" t="s">
        <v>24</v>
      </c>
      <c r="N16" s="55" t="s">
        <v>108</v>
      </c>
      <c r="O16" s="56" t="s">
        <v>136</v>
      </c>
      <c r="P16" s="56" t="s">
        <v>24</v>
      </c>
      <c r="Q16" s="56" t="s">
        <v>108</v>
      </c>
      <c r="R16" s="54" t="s">
        <v>136</v>
      </c>
      <c r="S16" s="54" t="s">
        <v>24</v>
      </c>
      <c r="T16" s="54" t="s">
        <v>108</v>
      </c>
      <c r="U16" s="131" t="s">
        <v>159</v>
      </c>
      <c r="V16" s="91" t="s">
        <v>6</v>
      </c>
      <c r="W16" s="92" t="s">
        <v>7</v>
      </c>
      <c r="X16" s="53" t="s">
        <v>214</v>
      </c>
      <c r="Y16" s="53" t="s">
        <v>141</v>
      </c>
      <c r="AC16" s="16"/>
    </row>
    <row r="17" spans="1:26" s="17" customFormat="1" ht="36" customHeight="1" x14ac:dyDescent="0.2">
      <c r="A17" s="57">
        <v>1</v>
      </c>
      <c r="B17" s="57" t="str" cm="1">
        <f t="array" ref="B17">_xlfn.LET(_xlpm.r,_xlfn.XLOOKUP(1,
(TRIM(CODE_PRICE!$A$4:$A$2003)=TRIM($C$4))*
(TRIM(CODE_PRICE!$B$4:$B$2003)=TRIM(C17)),
CODE_PRICE!$C$4:$C$2003,
""),
IF(OR(_xlpm.r="",_xlpm.r=0),"",_xlpm.r))</f>
        <v/>
      </c>
      <c r="C17" s="57" t="s">
        <v>97</v>
      </c>
      <c r="D17" s="57" t="str" cm="1">
        <f t="array" ref="D17">IFERROR(
_xlfn.XLOOKUP(1,
(CODE_PRICE!$A$3:$A$1003=$A$8)*
(CODE_PRICE!$B$3:$B$1003=C17),
CODE_PRICE!$C$3:$C$1003
),
"")</f>
        <v>FM1836</v>
      </c>
      <c r="E17" s="57" t="s">
        <v>264</v>
      </c>
      <c r="F17" s="58" t="s">
        <v>11</v>
      </c>
      <c r="G17" s="59" t="s">
        <v>123</v>
      </c>
      <c r="H17" s="60" t="str">
        <f>IF(COUNTIFS($C$17:C17,C17,$I$17:I17,I17)=1,
SUMIFS($J$17:$J$49,$C$17:$C$49,C17,$I$17:$I$49,I17)&amp;I17&amp;" "&amp;C17,
"")</f>
        <v>10S CFN39180W</v>
      </c>
      <c r="I17" s="58" t="s">
        <v>22</v>
      </c>
      <c r="J17" s="61">
        <v>1</v>
      </c>
      <c r="K17" s="62"/>
      <c r="L17" s="63">
        <v>108</v>
      </c>
      <c r="M17" s="257">
        <v>81</v>
      </c>
      <c r="N17" s="64">
        <v>38</v>
      </c>
      <c r="O17" s="65"/>
      <c r="P17" s="65" t="str" cm="1">
        <f t="array" ref="P17">IF(F17="trim",IFERROR(INDEX('SIZE GUIDE'!$E:$E,MATCH(1,('SIZE GUIDE'!$A:$A=$F17)*('SIZE GUIDE'!$B:$B=$G17)*('SIZE GUIDE'!$C:$C=$I17),0)),""),"")</f>
        <v/>
      </c>
      <c r="Q17" s="65"/>
      <c r="R17" s="59">
        <v>107</v>
      </c>
      <c r="S17" s="59">
        <f t="shared" ref="S17:S26" si="0">M17</f>
        <v>81</v>
      </c>
      <c r="T17" s="258">
        <f t="shared" ref="T17:T26" si="1">IF(F17="untrim",N17-0.5,Q17-0.5)</f>
        <v>37.5</v>
      </c>
      <c r="U17" s="93">
        <f t="shared" ref="U17:U26" si="2">IFERROR(R17*S17*T17/144*J17,"")</f>
        <v>2257.03125</v>
      </c>
      <c r="V17" s="99">
        <f>SUMIFS(CODE_PRICE!F:F,CODE_PRICE!B:B,'DICKSON-W26_02'!C17,CODE_PRICE!A:A,'DICKSON-W26_02'!$A$8)</f>
        <v>0.32900000000000001</v>
      </c>
      <c r="W17" s="95">
        <f>U17*V17</f>
        <v>742.56328125000005</v>
      </c>
      <c r="X17" s="244" t="str">
        <f>IF(OR(E17="",C17=""),"",IF(COUNTIFS($E$17:E17,E17,$C$17:C17,C17)=1,E17&amp;" - "&amp;C17&amp;" - "&amp;SUMIFS($J$17:$J$5002,$E$17:$E$5002,E17,$C$17:$C$5002,C17)&amp;I17&amp;" - "&amp;TEXT(SUMIFS($U$17:$U$5002,$E$17:$E$5002,E17,$C$17:$C$5002,C17),"0.00")&amp;" Bf",""))</f>
        <v>11-73000 - CFN39180W - 10S - 22510.13 Bf</v>
      </c>
      <c r="Y17" s="103">
        <f>IF(COUNTIF($C$17:C17,C17)=1,ROUND(SUMIF($C:$C,C17,$W:$W),2), "")</f>
        <v>7405.83</v>
      </c>
      <c r="Z17" s="17">
        <v>40.5</v>
      </c>
    </row>
    <row r="18" spans="1:26" s="17" customFormat="1" ht="36" customHeight="1" x14ac:dyDescent="0.2">
      <c r="A18" s="57">
        <f>A17+1</f>
        <v>2</v>
      </c>
      <c r="B18" s="57" t="str" cm="1">
        <f t="array" ref="B18">_xlfn.LET(_xlpm.r,_xlfn.XLOOKUP(1,
(TRIM(CODE_PRICE!$A$4:$A$2003)=TRIM($C$4))*
(TRIM(CODE_PRICE!$B$4:$B$2003)=TRIM(C18)),
CODE_PRICE!$C$4:$C$2003,
""),
IF(OR(_xlpm.r="",_xlpm.r=0),"",_xlpm.r))</f>
        <v/>
      </c>
      <c r="C18" s="57" t="s">
        <v>97</v>
      </c>
      <c r="D18" s="57" t="str" cm="1">
        <f t="array" ref="D18">IFERROR(
_xlfn.XLOOKUP(1,
(CODE_PRICE!$A$3:$A$1003=$A$8)*
(CODE_PRICE!$B$3:$B$1003=C18),
CODE_PRICE!$C$3:$C$1003
),
"")</f>
        <v>FM1836</v>
      </c>
      <c r="E18" s="57" t="s">
        <v>264</v>
      </c>
      <c r="F18" s="58" t="s">
        <v>11</v>
      </c>
      <c r="G18" s="59" t="s">
        <v>123</v>
      </c>
      <c r="H18" s="60" t="str">
        <f>IF(COUNTIFS($C$17:C18,C18,$I$17:I18,I18)=1,
SUMIFS($J$17:$J$49,$C$17:$C$49,C18,$I$17:$I$49,I18)&amp;I18&amp;" "&amp;C18,
"")</f>
        <v/>
      </c>
      <c r="I18" s="58" t="s">
        <v>22</v>
      </c>
      <c r="J18" s="61">
        <v>1</v>
      </c>
      <c r="K18" s="62"/>
      <c r="L18" s="63">
        <v>108</v>
      </c>
      <c r="M18" s="257">
        <v>81</v>
      </c>
      <c r="N18" s="64">
        <v>39.5</v>
      </c>
      <c r="O18" s="65"/>
      <c r="P18" s="65" t="str" cm="1">
        <f t="array" ref="P18">IF(F18="trim",IFERROR(INDEX('SIZE GUIDE'!$E:$E,MATCH(1,('SIZE GUIDE'!$A:$A=$F18)*('SIZE GUIDE'!$B:$B=$G18)*('SIZE GUIDE'!$C:$C=$I18),0)),""),"")</f>
        <v/>
      </c>
      <c r="Q18" s="65"/>
      <c r="R18" s="59">
        <v>107</v>
      </c>
      <c r="S18" s="59">
        <f t="shared" si="0"/>
        <v>81</v>
      </c>
      <c r="T18" s="258">
        <f t="shared" si="1"/>
        <v>39</v>
      </c>
      <c r="U18" s="93">
        <f t="shared" si="2"/>
        <v>2347.3125</v>
      </c>
      <c r="V18" s="99">
        <f>SUMIFS(CODE_PRICE!F:F,CODE_PRICE!B:B,'DICKSON-W26_02'!C18,CODE_PRICE!A:A,'DICKSON-W26_02'!$A$8)</f>
        <v>0.32900000000000001</v>
      </c>
      <c r="W18" s="95">
        <f t="shared" ref="W18:W26" si="3">U18*V18</f>
        <v>772.26581250000004</v>
      </c>
      <c r="X18" s="244" t="str">
        <f>IF(OR(E18="",C18=""),"",IF(COUNTIFS($E$17:E18,E18,$C$17:C18,C18)=1,E18&amp;" - "&amp;C18&amp;" - "&amp;SUMIFS($J$17:$J$5002,$E$17:$E$5002,E18,$C$17:$C$5002,C18)&amp;I18&amp;" - "&amp;TEXT(SUMIFS($U$17:$U$5002,$E$17:$E$5002,E18,$C$17:$C$5002,C18),"0.00")&amp;" Bf",""))</f>
        <v/>
      </c>
      <c r="Y18" s="24" t="str">
        <f>IF(COUNTIF($C$17:C18,C18)=1,ROUND(SUMIF($C:$C,C18,$W:$W),2), "")</f>
        <v/>
      </c>
      <c r="Z18" s="17">
        <v>40.5</v>
      </c>
    </row>
    <row r="19" spans="1:26" s="17" customFormat="1" ht="36" customHeight="1" x14ac:dyDescent="0.2">
      <c r="A19" s="57">
        <f t="shared" ref="A19:A26" si="4">A18+1</f>
        <v>3</v>
      </c>
      <c r="B19" s="57" t="str" cm="1">
        <f t="array" ref="B19">_xlfn.LET(_xlpm.r,_xlfn.XLOOKUP(1,
(TRIM(CODE_PRICE!$A$4:$A$2003)=TRIM($C$4))*
(TRIM(CODE_PRICE!$B$4:$B$2003)=TRIM(C19)),
CODE_PRICE!$C$4:$C$2003,
""),
IF(OR(_xlpm.r="",_xlpm.r=0),"",_xlpm.r))</f>
        <v/>
      </c>
      <c r="C19" s="57" t="s">
        <v>97</v>
      </c>
      <c r="D19" s="57" t="str" cm="1">
        <f t="array" ref="D19">IFERROR(
_xlfn.XLOOKUP(1,
(CODE_PRICE!$A$3:$A$1003=$A$8)*
(CODE_PRICE!$B$3:$B$1003=C19),
CODE_PRICE!$C$3:$C$1003
),
"")</f>
        <v>FM1836</v>
      </c>
      <c r="E19" s="57" t="s">
        <v>264</v>
      </c>
      <c r="F19" s="58" t="s">
        <v>11</v>
      </c>
      <c r="G19" s="59" t="s">
        <v>123</v>
      </c>
      <c r="H19" s="60" t="str">
        <f>IF(COUNTIFS($C$17:C19,C19,$I$17:I19,I19)=1,
SUMIFS($J$17:$J$49,$C$17:$C$49,C19,$I$17:$I$49,I19)&amp;I19&amp;" "&amp;C19,
"")</f>
        <v/>
      </c>
      <c r="I19" s="58" t="s">
        <v>22</v>
      </c>
      <c r="J19" s="61">
        <v>1</v>
      </c>
      <c r="K19" s="62"/>
      <c r="L19" s="63">
        <v>108</v>
      </c>
      <c r="M19" s="257">
        <v>81</v>
      </c>
      <c r="N19" s="64">
        <v>39</v>
      </c>
      <c r="O19" s="65"/>
      <c r="P19" s="65" t="str" cm="1">
        <f t="array" ref="P19">IF(F19="trim",IFERROR(INDEX('SIZE GUIDE'!$E:$E,MATCH(1,('SIZE GUIDE'!$A:$A=$F19)*('SIZE GUIDE'!$B:$B=$G19)*('SIZE GUIDE'!$C:$C=$I19),0)),""),"")</f>
        <v/>
      </c>
      <c r="Q19" s="65"/>
      <c r="R19" s="59">
        <v>107</v>
      </c>
      <c r="S19" s="59">
        <f t="shared" si="0"/>
        <v>81</v>
      </c>
      <c r="T19" s="258">
        <f t="shared" si="1"/>
        <v>38.5</v>
      </c>
      <c r="U19" s="93">
        <f t="shared" si="2"/>
        <v>2317.21875</v>
      </c>
      <c r="V19" s="99">
        <f>SUMIFS(CODE_PRICE!F:F,CODE_PRICE!B:B,'DICKSON-W26_02'!C19,CODE_PRICE!A:A,'DICKSON-W26_02'!$A$8)</f>
        <v>0.32900000000000001</v>
      </c>
      <c r="W19" s="95">
        <f t="shared" si="3"/>
        <v>762.36496875</v>
      </c>
      <c r="X19" s="244" t="str">
        <f>IF(OR(E19="",C19=""),"",IF(COUNTIFS($E$17:E19,E19,$C$17:C19,C19)=1,E19&amp;" - "&amp;C19&amp;" - "&amp;SUMIFS($J$17:$J$5002,$E$17:$E$5002,E19,$C$17:$C$5002,C19)&amp;I19&amp;" - "&amp;TEXT(SUMIFS($U$17:$U$5002,$E$17:$E$5002,E19,$C$17:$C$5002,C19),"0.00")&amp;" Bf",""))</f>
        <v/>
      </c>
      <c r="Y19" s="24" t="str">
        <f>IF(COUNTIF($C$17:C19,C19)=1,ROUND(SUMIF($C:$C,C19,$W:$W),2), "")</f>
        <v/>
      </c>
      <c r="Z19" s="17">
        <v>39.5</v>
      </c>
    </row>
    <row r="20" spans="1:26" s="17" customFormat="1" ht="36" customHeight="1" x14ac:dyDescent="0.2">
      <c r="A20" s="57">
        <f t="shared" si="4"/>
        <v>4</v>
      </c>
      <c r="B20" s="57" t="str" cm="1">
        <f t="array" ref="B20">_xlfn.LET(_xlpm.r,_xlfn.XLOOKUP(1,
(TRIM(CODE_PRICE!$A$4:$A$2003)=TRIM($C$4))*
(TRIM(CODE_PRICE!$B$4:$B$2003)=TRIM(C20)),
CODE_PRICE!$C$4:$C$2003,
""),
IF(OR(_xlpm.r="",_xlpm.r=0),"",_xlpm.r))</f>
        <v/>
      </c>
      <c r="C20" s="57" t="s">
        <v>97</v>
      </c>
      <c r="D20" s="57" t="str" cm="1">
        <f t="array" ref="D20">IFERROR(
_xlfn.XLOOKUP(1,
(CODE_PRICE!$A$3:$A$1003=$A$8)*
(CODE_PRICE!$B$3:$B$1003=C20),
CODE_PRICE!$C$3:$C$1003
),
"")</f>
        <v>FM1836</v>
      </c>
      <c r="E20" s="57" t="s">
        <v>264</v>
      </c>
      <c r="F20" s="58" t="s">
        <v>11</v>
      </c>
      <c r="G20" s="59" t="s">
        <v>123</v>
      </c>
      <c r="H20" s="60" t="str">
        <f>IF(COUNTIFS($C$17:C20,C20,$I$17:I20,I20)=1,
SUMIFS($J$17:$J$49,$C$17:$C$49,C20,$I$17:$I$49,I20)&amp;I20&amp;" "&amp;C20,
"")</f>
        <v/>
      </c>
      <c r="I20" s="58" t="s">
        <v>22</v>
      </c>
      <c r="J20" s="61">
        <v>1</v>
      </c>
      <c r="K20" s="62"/>
      <c r="L20" s="63">
        <v>108</v>
      </c>
      <c r="M20" s="257">
        <v>81</v>
      </c>
      <c r="N20" s="64">
        <v>38.5</v>
      </c>
      <c r="O20" s="65"/>
      <c r="P20" s="65" t="str" cm="1">
        <f t="array" ref="P20">IF(F20="trim",IFERROR(INDEX('SIZE GUIDE'!$E:$E,MATCH(1,('SIZE GUIDE'!$A:$A=$F20)*('SIZE GUIDE'!$B:$B=$G20)*('SIZE GUIDE'!$C:$C=$I20),0)),""),"")</f>
        <v/>
      </c>
      <c r="Q20" s="65"/>
      <c r="R20" s="59">
        <v>107</v>
      </c>
      <c r="S20" s="59">
        <f t="shared" si="0"/>
        <v>81</v>
      </c>
      <c r="T20" s="258">
        <f t="shared" si="1"/>
        <v>38</v>
      </c>
      <c r="U20" s="154">
        <f t="shared" si="2"/>
        <v>2287.125</v>
      </c>
      <c r="V20" s="99">
        <f>SUMIFS(CODE_PRICE!F:F,CODE_PRICE!B:B,'DICKSON-W26_02'!C20,CODE_PRICE!A:A,'DICKSON-W26_02'!$A$8)</f>
        <v>0.32900000000000001</v>
      </c>
      <c r="W20" s="155">
        <f t="shared" si="3"/>
        <v>752.46412500000008</v>
      </c>
      <c r="X20" s="244" t="str">
        <f>IF(OR(E20="",C20=""),"",IF(COUNTIFS($E$17:E20,E20,$C$17:C20,C20)=1,E20&amp;" - "&amp;C20&amp;" - "&amp;SUMIFS($J$17:$J$5002,$E$17:$E$5002,E20,$C$17:$C$5002,C20)&amp;I20&amp;" - "&amp;TEXT(SUMIFS($U$17:$U$5002,$E$17:$E$5002,E20,$C$17:$C$5002,C20),"0.00")&amp;" Bf",""))</f>
        <v/>
      </c>
      <c r="Y20" s="157" t="str">
        <f>IF(COUNTIF($C$17:C20,C20)=1,ROUND(SUMIF($C:$C,C20,$W:$W),2), "")</f>
        <v/>
      </c>
      <c r="Z20" s="17">
        <v>39.5</v>
      </c>
    </row>
    <row r="21" spans="1:26" s="17" customFormat="1" ht="36" customHeight="1" x14ac:dyDescent="0.2">
      <c r="A21" s="57">
        <f t="shared" si="4"/>
        <v>5</v>
      </c>
      <c r="B21" s="57" t="str" cm="1">
        <f t="array" ref="B21">_xlfn.LET(_xlpm.r,_xlfn.XLOOKUP(1,
(TRIM(CODE_PRICE!$A$4:$A$2003)=TRIM($C$4))*
(TRIM(CODE_PRICE!$B$4:$B$2003)=TRIM(C21)),
CODE_PRICE!$C$4:$C$2003,
""),
IF(OR(_xlpm.r="",_xlpm.r=0),"",_xlpm.r))</f>
        <v/>
      </c>
      <c r="C21" s="57" t="s">
        <v>97</v>
      </c>
      <c r="D21" s="57" t="str" cm="1">
        <f t="array" ref="D21">IFERROR(
_xlfn.XLOOKUP(1,
(CODE_PRICE!$A$3:$A$1003=$A$8)*
(CODE_PRICE!$B$3:$B$1003=C21),
CODE_PRICE!$C$3:$C$1003
),
"")</f>
        <v>FM1836</v>
      </c>
      <c r="E21" s="57" t="s">
        <v>264</v>
      </c>
      <c r="F21" s="58" t="s">
        <v>11</v>
      </c>
      <c r="G21" s="59" t="s">
        <v>123</v>
      </c>
      <c r="H21" s="60" t="str">
        <f>IF(COUNTIFS($C$17:C21,C21,$I$17:I21,I21)=1,
SUMIFS($J$17:$J$49,$C$17:$C$49,C21,$I$17:$I$49,I21)&amp;I21&amp;" "&amp;C21,
"")</f>
        <v/>
      </c>
      <c r="I21" s="58" t="s">
        <v>22</v>
      </c>
      <c r="J21" s="61">
        <v>1</v>
      </c>
      <c r="K21" s="62"/>
      <c r="L21" s="63">
        <v>108</v>
      </c>
      <c r="M21" s="257">
        <v>81</v>
      </c>
      <c r="N21" s="64">
        <v>39</v>
      </c>
      <c r="O21" s="65"/>
      <c r="P21" s="65" t="str" cm="1">
        <f t="array" ref="P21">IF(F21="trim",IFERROR(INDEX('SIZE GUIDE'!$E:$E,MATCH(1,('SIZE GUIDE'!$A:$A=$F21)*('SIZE GUIDE'!$B:$B=$G21)*('SIZE GUIDE'!$C:$C=$I21),0)),""),"")</f>
        <v/>
      </c>
      <c r="Q21" s="65"/>
      <c r="R21" s="59">
        <v>107</v>
      </c>
      <c r="S21" s="59">
        <f t="shared" si="0"/>
        <v>81</v>
      </c>
      <c r="T21" s="258">
        <f t="shared" si="1"/>
        <v>38.5</v>
      </c>
      <c r="U21" s="154">
        <f t="shared" si="2"/>
        <v>2317.21875</v>
      </c>
      <c r="V21" s="99">
        <f>SUMIFS(CODE_PRICE!F:F,CODE_PRICE!B:B,'DICKSON-W26_02'!C21,CODE_PRICE!A:A,'DICKSON-W26_02'!$A$8)</f>
        <v>0.32900000000000001</v>
      </c>
      <c r="W21" s="155">
        <f t="shared" si="3"/>
        <v>762.36496875</v>
      </c>
      <c r="X21" s="244" t="str">
        <f>IF(OR(E21="",C21=""),"",IF(COUNTIFS($E$17:E21,E21,$C$17:C21,C21)=1,E21&amp;" - "&amp;C21&amp;" - "&amp;SUMIFS($J$17:$J$5002,$E$17:$E$5002,E21,$C$17:$C$5002,C21)&amp;I21&amp;" - "&amp;TEXT(SUMIFS($U$17:$U$5002,$E$17:$E$5002,E21,$C$17:$C$5002,C21),"0.00")&amp;" Bf",""))</f>
        <v/>
      </c>
      <c r="Y21" s="157" t="str">
        <f>IF(COUNTIF($C$17:C21,C21)=1,ROUND(SUMIF($C:$C,C21,$W:$W),2), "")</f>
        <v/>
      </c>
      <c r="Z21" s="17">
        <v>40.5</v>
      </c>
    </row>
    <row r="22" spans="1:26" s="17" customFormat="1" ht="36" customHeight="1" x14ac:dyDescent="0.2">
      <c r="A22" s="57">
        <f t="shared" si="4"/>
        <v>6</v>
      </c>
      <c r="B22" s="57" t="str" cm="1">
        <f t="array" ref="B22">_xlfn.LET(_xlpm.r,_xlfn.XLOOKUP(1,
(TRIM(CODE_PRICE!$A$4:$A$2003)=TRIM($C$4))*
(TRIM(CODE_PRICE!$B$4:$B$2003)=TRIM(C22)),
CODE_PRICE!$C$4:$C$2003,
""),
IF(OR(_xlpm.r="",_xlpm.r=0),"",_xlpm.r))</f>
        <v/>
      </c>
      <c r="C22" s="57" t="s">
        <v>97</v>
      </c>
      <c r="D22" s="57" t="str" cm="1">
        <f t="array" ref="D22">IFERROR(
_xlfn.XLOOKUP(1,
(CODE_PRICE!$A$3:$A$1003=$A$8)*
(CODE_PRICE!$B$3:$B$1003=C22),
CODE_PRICE!$C$3:$C$1003
),
"")</f>
        <v>FM1836</v>
      </c>
      <c r="E22" s="57" t="s">
        <v>264</v>
      </c>
      <c r="F22" s="58" t="s">
        <v>11</v>
      </c>
      <c r="G22" s="59" t="s">
        <v>123</v>
      </c>
      <c r="H22" s="60" t="str">
        <f>IF(COUNTIFS($C$17:C22,C22,$I$17:I22,I22)=1,
SUMIFS($J$17:$J$49,$C$17:$C$49,C22,$I$17:$I$49,I22)&amp;I22&amp;" "&amp;C22,
"")</f>
        <v/>
      </c>
      <c r="I22" s="58" t="s">
        <v>22</v>
      </c>
      <c r="J22" s="61">
        <v>1</v>
      </c>
      <c r="K22" s="62"/>
      <c r="L22" s="63">
        <v>108</v>
      </c>
      <c r="M22" s="257">
        <v>81</v>
      </c>
      <c r="N22" s="64">
        <v>39</v>
      </c>
      <c r="O22" s="65"/>
      <c r="P22" s="65" t="str" cm="1">
        <f t="array" ref="P22">IF(F22="trim",IFERROR(INDEX('SIZE GUIDE'!$E:$E,MATCH(1,('SIZE GUIDE'!$A:$A=$F22)*('SIZE GUIDE'!$B:$B=$G22)*('SIZE GUIDE'!$C:$C=$I22),0)),""),"")</f>
        <v/>
      </c>
      <c r="Q22" s="65"/>
      <c r="R22" s="59">
        <v>107</v>
      </c>
      <c r="S22" s="59">
        <f t="shared" si="0"/>
        <v>81</v>
      </c>
      <c r="T22" s="258">
        <f t="shared" si="1"/>
        <v>38.5</v>
      </c>
      <c r="U22" s="154">
        <f t="shared" si="2"/>
        <v>2317.21875</v>
      </c>
      <c r="V22" s="99">
        <f>SUMIFS(CODE_PRICE!F:F,CODE_PRICE!B:B,'DICKSON-W26_02'!C22,CODE_PRICE!A:A,'DICKSON-W26_02'!$A$8)</f>
        <v>0.32900000000000001</v>
      </c>
      <c r="W22" s="155">
        <f t="shared" si="3"/>
        <v>762.36496875</v>
      </c>
      <c r="X22" s="244" t="str">
        <f>IF(OR(E22="",C22=""),"",IF(COUNTIFS($E$17:E22,E22,$C$17:C22,C22)=1,E22&amp;" - "&amp;C22&amp;" - "&amp;SUMIFS($J$17:$J$5002,$E$17:$E$5002,E22,$C$17:$C$5002,C22)&amp;I22&amp;" - "&amp;TEXT(SUMIFS($U$17:$U$5002,$E$17:$E$5002,E22,$C$17:$C$5002,C22),"0.00")&amp;" Bf",""))</f>
        <v/>
      </c>
      <c r="Y22" s="157" t="str">
        <f>IF(COUNTIF($C$17:C22,C22)=1,ROUND(SUMIF($C:$C,C22,$W:$W),2), "")</f>
        <v/>
      </c>
      <c r="Z22" s="17">
        <v>41</v>
      </c>
    </row>
    <row r="23" spans="1:26" s="17" customFormat="1" ht="36" customHeight="1" x14ac:dyDescent="0.2">
      <c r="A23" s="57">
        <f t="shared" si="4"/>
        <v>7</v>
      </c>
      <c r="B23" s="57" t="str" cm="1">
        <f t="array" ref="B23">_xlfn.LET(_xlpm.r,_xlfn.XLOOKUP(1,
(TRIM(CODE_PRICE!$A$4:$A$2003)=TRIM($C$4))*
(TRIM(CODE_PRICE!$B$4:$B$2003)=TRIM(C23)),
CODE_PRICE!$C$4:$C$2003,
""),
IF(OR(_xlpm.r="",_xlpm.r=0),"",_xlpm.r))</f>
        <v/>
      </c>
      <c r="C23" s="57" t="s">
        <v>97</v>
      </c>
      <c r="D23" s="57" t="str" cm="1">
        <f t="array" ref="D23">IFERROR(
_xlfn.XLOOKUP(1,
(CODE_PRICE!$A$3:$A$1003=$A$8)*
(CODE_PRICE!$B$3:$B$1003=C23),
CODE_PRICE!$C$3:$C$1003
),
"")</f>
        <v>FM1836</v>
      </c>
      <c r="E23" s="57" t="s">
        <v>264</v>
      </c>
      <c r="F23" s="58" t="s">
        <v>11</v>
      </c>
      <c r="G23" s="59" t="s">
        <v>123</v>
      </c>
      <c r="H23" s="60" t="str">
        <f>IF(COUNTIFS($C$17:C23,C23,$I$17:I23,I23)=1,
SUMIFS($J$17:$J$49,$C$17:$C$49,C23,$I$17:$I$49,I23)&amp;I23&amp;" "&amp;C23,
"")</f>
        <v/>
      </c>
      <c r="I23" s="58" t="s">
        <v>22</v>
      </c>
      <c r="J23" s="61">
        <v>1</v>
      </c>
      <c r="K23" s="62"/>
      <c r="L23" s="63">
        <v>108</v>
      </c>
      <c r="M23" s="257">
        <v>81</v>
      </c>
      <c r="N23" s="64">
        <v>36.5</v>
      </c>
      <c r="O23" s="65"/>
      <c r="P23" s="65" t="str" cm="1">
        <f t="array" ref="P23">IF(F23="trim",IFERROR(INDEX('SIZE GUIDE'!$E:$E,MATCH(1,('SIZE GUIDE'!$A:$A=$F23)*('SIZE GUIDE'!$B:$B=$G23)*('SIZE GUIDE'!$C:$C=$I23),0)),""),"")</f>
        <v/>
      </c>
      <c r="Q23" s="65"/>
      <c r="R23" s="59">
        <v>107</v>
      </c>
      <c r="S23" s="59">
        <f t="shared" si="0"/>
        <v>81</v>
      </c>
      <c r="T23" s="258">
        <f t="shared" si="1"/>
        <v>36</v>
      </c>
      <c r="U23" s="154">
        <f t="shared" si="2"/>
        <v>2166.75</v>
      </c>
      <c r="V23" s="99">
        <f>SUMIFS(CODE_PRICE!F:F,CODE_PRICE!B:B,'DICKSON-W26_02'!C23,CODE_PRICE!A:A,'DICKSON-W26_02'!$A$8)</f>
        <v>0.32900000000000001</v>
      </c>
      <c r="W23" s="155">
        <f t="shared" si="3"/>
        <v>712.86075000000005</v>
      </c>
      <c r="X23" s="244" t="str">
        <f>IF(OR(E23="",C23=""),"",IF(COUNTIFS($E$17:E23,E23,$C$17:C23,C23)=1,E23&amp;" - "&amp;C23&amp;" - "&amp;SUMIFS($J$17:$J$5002,$E$17:$E$5002,E23,$C$17:$C$5002,C23)&amp;I23&amp;" - "&amp;TEXT(SUMIFS($U$17:$U$5002,$E$17:$E$5002,E23,$C$17:$C$5002,C23),"0.00")&amp;" Bf",""))</f>
        <v/>
      </c>
      <c r="Y23" s="157" t="str">
        <f>IF(COUNTIF($C$17:C23,C23)=1,ROUND(SUMIF($C:$C,C23,$W:$W),2), "")</f>
        <v/>
      </c>
      <c r="Z23" s="17">
        <v>40</v>
      </c>
    </row>
    <row r="24" spans="1:26" s="17" customFormat="1" ht="36" customHeight="1" x14ac:dyDescent="0.2">
      <c r="A24" s="57">
        <f t="shared" si="4"/>
        <v>8</v>
      </c>
      <c r="B24" s="57" t="str" cm="1">
        <f t="array" ref="B24">_xlfn.LET(_xlpm.r,_xlfn.XLOOKUP(1,
(TRIM(CODE_PRICE!$A$4:$A$2003)=TRIM($C$4))*
(TRIM(CODE_PRICE!$B$4:$B$2003)=TRIM(C24)),
CODE_PRICE!$C$4:$C$2003,
""),
IF(OR(_xlpm.r="",_xlpm.r=0),"",_xlpm.r))</f>
        <v/>
      </c>
      <c r="C24" s="57" t="s">
        <v>97</v>
      </c>
      <c r="D24" s="57" t="str" cm="1">
        <f t="array" ref="D24">IFERROR(
_xlfn.XLOOKUP(1,
(CODE_PRICE!$A$3:$A$1003=$A$8)*
(CODE_PRICE!$B$3:$B$1003=C24),
CODE_PRICE!$C$3:$C$1003
),
"")</f>
        <v>FM1836</v>
      </c>
      <c r="E24" s="57" t="s">
        <v>264</v>
      </c>
      <c r="F24" s="58" t="s">
        <v>11</v>
      </c>
      <c r="G24" s="59" t="s">
        <v>123</v>
      </c>
      <c r="H24" s="60" t="str">
        <f>IF(COUNTIFS($C$17:C24,C24,$I$17:I24,I24)=1,
SUMIFS($J$17:$J$49,$C$17:$C$49,C24,$I$17:$I$49,I24)&amp;I24&amp;" "&amp;C24,
"")</f>
        <v/>
      </c>
      <c r="I24" s="58" t="s">
        <v>22</v>
      </c>
      <c r="J24" s="61">
        <v>1</v>
      </c>
      <c r="K24" s="62"/>
      <c r="L24" s="63">
        <v>108</v>
      </c>
      <c r="M24" s="257">
        <v>81</v>
      </c>
      <c r="N24" s="64">
        <v>36.5</v>
      </c>
      <c r="O24" s="65"/>
      <c r="P24" s="65" t="str" cm="1">
        <f t="array" ref="P24">IF(F24="trim",IFERROR(INDEX('SIZE GUIDE'!$E:$E,MATCH(1,('SIZE GUIDE'!$A:$A=$F24)*('SIZE GUIDE'!$B:$B=$G24)*('SIZE GUIDE'!$C:$C=$I24),0)),""),"")</f>
        <v/>
      </c>
      <c r="Q24" s="65"/>
      <c r="R24" s="59">
        <v>107</v>
      </c>
      <c r="S24" s="59">
        <f t="shared" si="0"/>
        <v>81</v>
      </c>
      <c r="T24" s="258">
        <f t="shared" si="1"/>
        <v>36</v>
      </c>
      <c r="U24" s="154">
        <f t="shared" si="2"/>
        <v>2166.75</v>
      </c>
      <c r="V24" s="99">
        <f>SUMIFS(CODE_PRICE!F:F,CODE_PRICE!B:B,'DICKSON-W26_02'!C24,CODE_PRICE!A:A,'DICKSON-W26_02'!$A$8)</f>
        <v>0.32900000000000001</v>
      </c>
      <c r="W24" s="155">
        <f t="shared" si="3"/>
        <v>712.86075000000005</v>
      </c>
      <c r="X24" s="244" t="str">
        <f>IF(OR(E24="",C24=""),"",IF(COUNTIFS($E$17:E24,E24,$C$17:C24,C24)=1,E24&amp;" - "&amp;C24&amp;" - "&amp;SUMIFS($J$17:$J$5002,$E$17:$E$5002,E24,$C$17:$C$5002,C24)&amp;I24&amp;" - "&amp;TEXT(SUMIFS($U$17:$U$5002,$E$17:$E$5002,E24,$C$17:$C$5002,C24),"0.00")&amp;" Bf",""))</f>
        <v/>
      </c>
      <c r="Y24" s="243" t="str">
        <f>IF(COUNTIF($C$17:C24,C24)=1,ROUND(SUMIF($C:$C,C24,$W:$W),2), "")</f>
        <v/>
      </c>
      <c r="Z24" s="17">
        <v>40</v>
      </c>
    </row>
    <row r="25" spans="1:26" s="17" customFormat="1" ht="36" customHeight="1" x14ac:dyDescent="0.2">
      <c r="A25" s="57">
        <f t="shared" si="4"/>
        <v>9</v>
      </c>
      <c r="B25" s="57" t="str" cm="1">
        <f t="array" ref="B25">_xlfn.LET(_xlpm.r,_xlfn.XLOOKUP(1,
(TRIM(CODE_PRICE!$A$4:$A$2003)=TRIM($C$4))*
(TRIM(CODE_PRICE!$B$4:$B$2003)=TRIM(C25)),
CODE_PRICE!$C$4:$C$2003,
""),
IF(OR(_xlpm.r="",_xlpm.r=0),"",_xlpm.r))</f>
        <v/>
      </c>
      <c r="C25" s="57" t="s">
        <v>97</v>
      </c>
      <c r="D25" s="57" t="str" cm="1">
        <f t="array" ref="D25">IFERROR(
_xlfn.XLOOKUP(1,
(CODE_PRICE!$A$3:$A$1003=$A$8)*
(CODE_PRICE!$B$3:$B$1003=C25),
CODE_PRICE!$C$3:$C$1003
),
"")</f>
        <v>FM1836</v>
      </c>
      <c r="E25" s="57" t="s">
        <v>264</v>
      </c>
      <c r="F25" s="58" t="s">
        <v>11</v>
      </c>
      <c r="G25" s="59" t="s">
        <v>123</v>
      </c>
      <c r="H25" s="60" t="str">
        <f>IF(COUNTIFS($C$17:C25,C25,$I$17:I25,I25)=1,
SUMIFS($J$17:$J$49,$C$17:$C$49,C25,$I$17:$I$49,I25)&amp;I25&amp;" "&amp;C25,
"")</f>
        <v/>
      </c>
      <c r="I25" s="58" t="s">
        <v>22</v>
      </c>
      <c r="J25" s="61">
        <v>1</v>
      </c>
      <c r="K25" s="62"/>
      <c r="L25" s="63">
        <v>108</v>
      </c>
      <c r="M25" s="257">
        <v>81</v>
      </c>
      <c r="N25" s="64">
        <v>36.5</v>
      </c>
      <c r="O25" s="65"/>
      <c r="P25" s="65" t="str" cm="1">
        <f t="array" ref="P25">IF(F25="trim",IFERROR(INDEX('SIZE GUIDE'!$E:$E,MATCH(1,('SIZE GUIDE'!$A:$A=$F25)*('SIZE GUIDE'!$B:$B=$G25)*('SIZE GUIDE'!$C:$C=$I25),0)),""),"")</f>
        <v/>
      </c>
      <c r="Q25" s="65"/>
      <c r="R25" s="59">
        <v>107</v>
      </c>
      <c r="S25" s="59">
        <f t="shared" si="0"/>
        <v>81</v>
      </c>
      <c r="T25" s="258">
        <f t="shared" si="1"/>
        <v>36</v>
      </c>
      <c r="U25" s="154">
        <f t="shared" si="2"/>
        <v>2166.75</v>
      </c>
      <c r="V25" s="99">
        <f>SUMIFS(CODE_PRICE!F:F,CODE_PRICE!B:B,'DICKSON-W26_02'!C25,CODE_PRICE!A:A,'DICKSON-W26_02'!$A$8)</f>
        <v>0.32900000000000001</v>
      </c>
      <c r="W25" s="155">
        <f t="shared" si="3"/>
        <v>712.86075000000005</v>
      </c>
      <c r="X25" s="244" t="str">
        <f>IF(OR(E25="",C25=""),"",IF(COUNTIFS($E$17:E25,E25,$C$17:C25,C25)=1,E25&amp;" - "&amp;C25&amp;" - "&amp;SUMIFS($J$17:$J$5002,$E$17:$E$5002,E25,$C$17:$C$5002,C25)&amp;I25&amp;" - "&amp;TEXT(SUMIFS($U$17:$U$5002,$E$17:$E$5002,E25,$C$17:$C$5002,C25),"0.00")&amp;" Bf",""))</f>
        <v/>
      </c>
      <c r="Y25" s="157" t="str">
        <f>IF(COUNTIF($C$17:C25,C25)=1,ROUND(SUMIF($C:$C,C25,$W:$W),2), "")</f>
        <v/>
      </c>
      <c r="Z25" s="17">
        <v>39.5</v>
      </c>
    </row>
    <row r="26" spans="1:26" s="17" customFormat="1" ht="36" customHeight="1" x14ac:dyDescent="0.2">
      <c r="A26" s="57">
        <f t="shared" si="4"/>
        <v>10</v>
      </c>
      <c r="B26" s="57" t="str" cm="1">
        <f t="array" ref="B26">_xlfn.LET(_xlpm.r,_xlfn.XLOOKUP(1,
(TRIM(CODE_PRICE!$A$4:$A$2003)=TRIM($C$4))*
(TRIM(CODE_PRICE!$B$4:$B$2003)=TRIM(C26)),
CODE_PRICE!$C$4:$C$2003,
""),
IF(OR(_xlpm.r="",_xlpm.r=0),"",_xlpm.r))</f>
        <v/>
      </c>
      <c r="C26" s="57" t="s">
        <v>97</v>
      </c>
      <c r="D26" s="57" t="str" cm="1">
        <f t="array" ref="D26">IFERROR(
_xlfn.XLOOKUP(1,
(CODE_PRICE!$A$3:$A$1003=$A$8)*
(CODE_PRICE!$B$3:$B$1003=C26),
CODE_PRICE!$C$3:$C$1003
),
"")</f>
        <v>FM1836</v>
      </c>
      <c r="E26" s="57" t="s">
        <v>264</v>
      </c>
      <c r="F26" s="58" t="s">
        <v>11</v>
      </c>
      <c r="G26" s="59" t="s">
        <v>123</v>
      </c>
      <c r="H26" s="60" t="str">
        <f>IF(COUNTIFS($C$17:C26,C26,$I$17:I26,I26)=1,
SUMIFS($J$17:$J$49,$C$17:$C$49,C26,$I$17:$I$49,I26)&amp;I26&amp;" "&amp;C26,
"")</f>
        <v/>
      </c>
      <c r="I26" s="58" t="s">
        <v>22</v>
      </c>
      <c r="J26" s="61">
        <v>1</v>
      </c>
      <c r="K26" s="62"/>
      <c r="L26" s="63">
        <v>108</v>
      </c>
      <c r="M26" s="257">
        <v>81</v>
      </c>
      <c r="N26" s="64">
        <v>36.5</v>
      </c>
      <c r="O26" s="65"/>
      <c r="P26" s="65" t="str" cm="1">
        <f t="array" ref="P26">IF(F26="trim",IFERROR(INDEX('SIZE GUIDE'!$E:$E,MATCH(1,('SIZE GUIDE'!$A:$A=$F26)*('SIZE GUIDE'!$B:$B=$G26)*('SIZE GUIDE'!$C:$C=$I26),0)),""),"")</f>
        <v/>
      </c>
      <c r="Q26" s="65"/>
      <c r="R26" s="59">
        <v>107</v>
      </c>
      <c r="S26" s="59">
        <f t="shared" si="0"/>
        <v>81</v>
      </c>
      <c r="T26" s="258">
        <f t="shared" si="1"/>
        <v>36</v>
      </c>
      <c r="U26" s="154">
        <f t="shared" si="2"/>
        <v>2166.75</v>
      </c>
      <c r="V26" s="99">
        <f>SUMIFS(CODE_PRICE!F:F,CODE_PRICE!B:B,'DICKSON-W26_02'!C26,CODE_PRICE!A:A,'DICKSON-W26_02'!$A$8)</f>
        <v>0.32900000000000001</v>
      </c>
      <c r="W26" s="155">
        <f t="shared" si="3"/>
        <v>712.86075000000005</v>
      </c>
      <c r="X26" s="244" t="str">
        <f>IF(OR(E26="",C26=""),"",IF(COUNTIFS($E$17:E26,E26,$C$17:C26,C26)=1,E26&amp;" - "&amp;C26&amp;" - "&amp;SUMIFS($J$17:$J$5002,$E$17:$E$5002,E26,$C$17:$C$5002,C26)&amp;I26&amp;" - "&amp;TEXT(SUMIFS($U$17:$U$5002,$E$17:$E$5002,E26,$C$17:$C$5002,C26),"0.00")&amp;" Bf",""))</f>
        <v/>
      </c>
      <c r="Y26" s="157" t="str">
        <f>IF(COUNTIF($C$17:C26,C26)=1,ROUND(SUMIF($C:$C,C26,$W:$W),2), "")</f>
        <v/>
      </c>
      <c r="Z26" s="17">
        <v>39.5</v>
      </c>
    </row>
    <row r="27" spans="1:26" s="17" customFormat="1" ht="36" hidden="1" customHeight="1" x14ac:dyDescent="0.2">
      <c r="A27" s="57"/>
      <c r="B27" s="57"/>
      <c r="C27" s="101"/>
      <c r="D27" s="101" t="str" cm="1">
        <f t="array" ref="D27">IFERROR(
_xlfn.XLOOKUP(1,
(CODE_PRICE!$A$3:$A$1003=$A$8)*
(CODE_PRICE!$B$3:$B$1003=C27),
CODE_PRICE!$C$3:$C$1003
),
"")</f>
        <v/>
      </c>
      <c r="E27" s="58"/>
      <c r="F27" s="58"/>
      <c r="G27" s="59"/>
      <c r="H27" s="60"/>
      <c r="I27" s="58"/>
      <c r="J27" s="61"/>
      <c r="K27" s="62"/>
      <c r="L27" s="63"/>
      <c r="M27" s="64"/>
      <c r="N27" s="63"/>
      <c r="O27" s="65"/>
      <c r="P27" s="65"/>
      <c r="Q27" s="65"/>
      <c r="R27" s="66"/>
      <c r="S27" s="59"/>
      <c r="T27" s="59"/>
      <c r="U27" s="93"/>
      <c r="V27" s="94"/>
      <c r="W27" s="95"/>
      <c r="X27" s="59" t="str">
        <f>IF(OR(E27="",C27=""),"",IF(COUNTIFS($E$17:E27,E27,$C$17:C27,C27)=1,E27&amp;" - "&amp;C27&amp;" - "&amp;SUMIFS($J$17:$J$5002,$E$17:$E$5002,E27,$C$17:$C$5002,C27)&amp;I27&amp;" - "&amp;TEXT(SUMIFS($U$17:$U$5002,$E$17:$E$5002,E27,$C$17:$C$5002,C27),"0.00")&amp;" Bf",""))</f>
        <v/>
      </c>
      <c r="Y27" s="103" t="str">
        <f>IF(COUNTIF($C$17:C27,C27)=1,ROUND(SUMIF($C:$C,C27,$W:$W),2), "")</f>
        <v/>
      </c>
    </row>
    <row r="28" spans="1:26" s="17" customFormat="1" ht="36" hidden="1" customHeight="1" x14ac:dyDescent="0.2">
      <c r="A28" s="57"/>
      <c r="B28" s="57"/>
      <c r="C28" s="57"/>
      <c r="D28" s="57" t="str" cm="1">
        <f t="array" ref="D28">IFERROR(
_xlfn.XLOOKUP(1,
(CODE_PRICE!$A$3:$A$1003=$A$8)*
(CODE_PRICE!$B$3:$B$1003=C28),
CODE_PRICE!$C$3:$C$1003
),
"")</f>
        <v/>
      </c>
      <c r="E28" s="58"/>
      <c r="F28" s="58"/>
      <c r="G28" s="59"/>
      <c r="H28" s="60"/>
      <c r="I28" s="58"/>
      <c r="J28" s="61"/>
      <c r="K28" s="62"/>
      <c r="L28" s="63"/>
      <c r="M28" s="64"/>
      <c r="N28" s="63"/>
      <c r="O28" s="65"/>
      <c r="P28" s="65"/>
      <c r="Q28" s="65"/>
      <c r="R28" s="66"/>
      <c r="S28" s="59"/>
      <c r="T28" s="59"/>
      <c r="U28" s="93"/>
      <c r="V28" s="94"/>
      <c r="W28" s="95"/>
      <c r="X28" s="59" t="str">
        <f>IF(OR(E28="",C28=""),"",IF(COUNTIFS($E$17:E28,E28,$C$17:C28,C28)=1,E28&amp;" - "&amp;C28&amp;" - "&amp;SUMIFS($J$17:$J$5002,$E$17:$E$5002,E28,$C$17:$C$5002,C28)&amp;I28&amp;" - "&amp;TEXT(SUMIFS($U$17:$U$5002,$E$17:$E$5002,E28,$C$17:$C$5002,C28),"0.00")&amp;" Bf",""))</f>
        <v/>
      </c>
      <c r="Y28" s="103" t="str">
        <f>IF(COUNTIF($C$17:C28,C28)=1,ROUND(SUMIF($C:$C,C28,$W:$W),2), "")</f>
        <v/>
      </c>
    </row>
    <row r="29" spans="1:26" s="17" customFormat="1" ht="36" hidden="1" customHeight="1" x14ac:dyDescent="0.2">
      <c r="A29" s="57"/>
      <c r="B29" s="57"/>
      <c r="C29" s="57"/>
      <c r="D29" s="57" t="str" cm="1">
        <f t="array" ref="D29">IFERROR(
_xlfn.XLOOKUP(1,
(CODE_PRICE!$A$3:$A$1003=$A$8)*
(CODE_PRICE!$B$3:$B$1003=C29),
CODE_PRICE!$C$3:$C$1003
),
"")</f>
        <v/>
      </c>
      <c r="E29" s="58"/>
      <c r="F29" s="58"/>
      <c r="G29" s="59"/>
      <c r="H29" s="60"/>
      <c r="I29" s="58"/>
      <c r="J29" s="61"/>
      <c r="K29" s="62"/>
      <c r="L29" s="63"/>
      <c r="M29" s="64"/>
      <c r="N29" s="63"/>
      <c r="O29" s="65"/>
      <c r="P29" s="65"/>
      <c r="Q29" s="65"/>
      <c r="R29" s="66"/>
      <c r="S29" s="59"/>
      <c r="T29" s="59"/>
      <c r="U29" s="93"/>
      <c r="V29" s="99"/>
      <c r="W29" s="95"/>
      <c r="X29" s="59" t="str">
        <f>IF(OR(E29="",C29=""),"",IF(COUNTIFS($E$17:E29,E29,$C$17:C29,C29)=1,E29&amp;" - "&amp;C29&amp;" - "&amp;SUMIFS($J$17:$J$5002,$E$17:$E$5002,E29,$C$17:$C$5002,C29)&amp;I29&amp;" - "&amp;TEXT(SUMIFS($U$17:$U$5002,$E$17:$E$5002,E29,$C$17:$C$5002,C29),"0.00")&amp;" Bf",""))</f>
        <v/>
      </c>
      <c r="Y29" s="103" t="str">
        <f>IF(COUNTIF($C$17:C29,C29)=1,ROUND(SUMIF($C:$C,C29,$W:$W),2), "")</f>
        <v/>
      </c>
    </row>
    <row r="30" spans="1:26" s="17" customFormat="1" ht="36" hidden="1" customHeight="1" x14ac:dyDescent="0.2">
      <c r="A30" s="57"/>
      <c r="B30" s="57"/>
      <c r="C30" s="57"/>
      <c r="D30" s="57" t="str" cm="1">
        <f t="array" ref="D30">IFERROR(
_xlfn.XLOOKUP(1,
(CODE_PRICE!$A$3:$A$1003=$A$8)*
(CODE_PRICE!$B$3:$B$1003=C30),
CODE_PRICE!$C$3:$C$1003
),
"")</f>
        <v/>
      </c>
      <c r="E30" s="58"/>
      <c r="F30" s="58"/>
      <c r="G30" s="59"/>
      <c r="H30" s="60"/>
      <c r="I30" s="58"/>
      <c r="J30" s="61"/>
      <c r="K30" s="62"/>
      <c r="L30" s="63"/>
      <c r="M30" s="64"/>
      <c r="N30" s="63"/>
      <c r="O30" s="65"/>
      <c r="P30" s="65"/>
      <c r="Q30" s="65"/>
      <c r="R30" s="66"/>
      <c r="S30" s="59"/>
      <c r="T30" s="59"/>
      <c r="U30" s="93"/>
      <c r="V30" s="99"/>
      <c r="W30" s="95"/>
      <c r="X30" s="59" t="str">
        <f>IF(OR(E30="",C30=""),"",IF(COUNTIFS($E$17:E30,E30,$C$17:C30,C30)=1,E30&amp;" - "&amp;C30&amp;" - "&amp;SUMIFS($J$17:$J$5002,$E$17:$E$5002,E30,$C$17:$C$5002,C30)&amp;I30&amp;" - "&amp;TEXT(SUMIFS($U$17:$U$5002,$E$17:$E$5002,E30,$C$17:$C$5002,C30),"0.00")&amp;" Bf",""))</f>
        <v/>
      </c>
      <c r="Y30" s="103" t="str">
        <f>IF(COUNTIF($C$17:C30,C30)=1,ROUND(SUMIF($C:$C,C30,$W:$W),2), "")</f>
        <v/>
      </c>
    </row>
    <row r="31" spans="1:26" s="17" customFormat="1" ht="36" hidden="1" customHeight="1" x14ac:dyDescent="0.2">
      <c r="A31" s="57"/>
      <c r="B31" s="57"/>
      <c r="C31" s="57"/>
      <c r="D31" s="57" t="str" cm="1">
        <f t="array" ref="D31">IFERROR(
_xlfn.XLOOKUP(1,
(CODE_PRICE!$A$3:$A$1003=$A$8)*
(CODE_PRICE!$B$3:$B$1003=C31),
CODE_PRICE!$C$3:$C$1003
),
"")</f>
        <v/>
      </c>
      <c r="E31" s="58"/>
      <c r="F31" s="58"/>
      <c r="G31" s="59"/>
      <c r="H31" s="60"/>
      <c r="I31" s="58"/>
      <c r="J31" s="61"/>
      <c r="K31" s="62"/>
      <c r="L31" s="63"/>
      <c r="M31" s="64"/>
      <c r="N31" s="63"/>
      <c r="O31" s="65"/>
      <c r="P31" s="65"/>
      <c r="Q31" s="65"/>
      <c r="R31" s="66"/>
      <c r="S31" s="59"/>
      <c r="T31" s="59"/>
      <c r="U31" s="93"/>
      <c r="V31" s="99"/>
      <c r="W31" s="95"/>
      <c r="X31" s="59" t="str">
        <f>IF(OR(E31="",C31=""),"",IF(COUNTIFS($E$17:E31,E31,$C$17:C31,C31)=1,E31&amp;" - "&amp;C31&amp;" - "&amp;SUMIFS($J$17:$J$5002,$E$17:$E$5002,E31,$C$17:$C$5002,C31)&amp;I31&amp;" - "&amp;TEXT(SUMIFS($U$17:$U$5002,$E$17:$E$5002,E31,$C$17:$C$5002,C31),"0.00")&amp;" Bf",""))</f>
        <v/>
      </c>
      <c r="Y31" s="103" t="str">
        <f>IF(COUNTIF($C$17:C31,C31)=1,ROUND(SUMIF($C:$C,C31,$W:$W),2), "")</f>
        <v/>
      </c>
    </row>
    <row r="32" spans="1:26" s="17" customFormat="1" ht="36" hidden="1" customHeight="1" x14ac:dyDescent="0.2">
      <c r="A32" s="57"/>
      <c r="B32" s="57"/>
      <c r="C32" s="57"/>
      <c r="D32" s="57" t="str" cm="1">
        <f t="array" ref="D32">IFERROR(
_xlfn.XLOOKUP(1,
(CODE_PRICE!$A$3:$A$1003=$A$8)*
(CODE_PRICE!$B$3:$B$1003=C32),
CODE_PRICE!$C$3:$C$1003
),
"")</f>
        <v/>
      </c>
      <c r="E32" s="58"/>
      <c r="F32" s="58"/>
      <c r="G32" s="59"/>
      <c r="H32" s="60"/>
      <c r="I32" s="58"/>
      <c r="J32" s="61"/>
      <c r="K32" s="62"/>
      <c r="L32" s="63"/>
      <c r="M32" s="64"/>
      <c r="N32" s="63"/>
      <c r="O32" s="65"/>
      <c r="P32" s="65"/>
      <c r="Q32" s="65"/>
      <c r="R32" s="66"/>
      <c r="S32" s="59"/>
      <c r="T32" s="59"/>
      <c r="U32" s="93"/>
      <c r="V32" s="99"/>
      <c r="W32" s="95"/>
      <c r="X32" s="59" t="str">
        <f>IF(OR(E32="",C32=""),"",IF(COUNTIFS($E$17:E32,E32,$C$17:C32,C32)=1,E32&amp;" - "&amp;C32&amp;" - "&amp;SUMIFS($J$17:$J$5002,$E$17:$E$5002,E32,$C$17:$C$5002,C32)&amp;I32&amp;" - "&amp;TEXT(SUMIFS($U$17:$U$5002,$E$17:$E$5002,E32,$C$17:$C$5002,C32),"0.00")&amp;" Bf",""))</f>
        <v/>
      </c>
      <c r="Y32" s="103" t="str">
        <f>IF(COUNTIF($C$17:C32,C32)=1,ROUND(SUMIF($C:$C,C32,$W:$W),2), "")</f>
        <v/>
      </c>
    </row>
    <row r="33" spans="1:25" s="17" customFormat="1" ht="36" hidden="1" customHeight="1" x14ac:dyDescent="0.2">
      <c r="A33" s="57"/>
      <c r="B33" s="57"/>
      <c r="C33" s="57"/>
      <c r="D33" s="57" t="str" cm="1">
        <f t="array" ref="D33">IFERROR(
_xlfn.XLOOKUP(1,
(CODE_PRICE!$A$3:$A$1003=$A$8)*
(CODE_PRICE!$B$3:$B$1003=C33),
CODE_PRICE!$C$3:$C$1003
),
"")</f>
        <v/>
      </c>
      <c r="E33" s="58"/>
      <c r="F33" s="58"/>
      <c r="G33" s="59"/>
      <c r="H33" s="60"/>
      <c r="I33" s="58"/>
      <c r="J33" s="61"/>
      <c r="K33" s="62"/>
      <c r="L33" s="63"/>
      <c r="M33" s="64"/>
      <c r="N33" s="63"/>
      <c r="O33" s="65"/>
      <c r="P33" s="65"/>
      <c r="Q33" s="65"/>
      <c r="R33" s="66"/>
      <c r="S33" s="59"/>
      <c r="T33" s="59"/>
      <c r="U33" s="93"/>
      <c r="V33" s="99"/>
      <c r="W33" s="95"/>
      <c r="X33" s="59" t="str">
        <f>IF(OR(E33="",C33=""),"",IF(COUNTIFS($E$17:E33,E33,$C$17:C33,C33)=1,E33&amp;" - "&amp;C33&amp;" - "&amp;SUMIFS($J$17:$J$5002,$E$17:$E$5002,E33,$C$17:$C$5002,C33)&amp;I33&amp;" - "&amp;TEXT(SUMIFS($U$17:$U$5002,$E$17:$E$5002,E33,$C$17:$C$5002,C33),"0.00")&amp;" Bf",""))</f>
        <v/>
      </c>
      <c r="Y33" s="103" t="str">
        <f>IF(COUNTIF($C$17:C33,C33)=1,ROUND(SUMIF($C:$C,C33,$W:$W),2), "")</f>
        <v/>
      </c>
    </row>
    <row r="34" spans="1:25" s="17" customFormat="1" ht="36" hidden="1" customHeight="1" x14ac:dyDescent="0.2">
      <c r="A34" s="57"/>
      <c r="B34" s="57"/>
      <c r="C34" s="57"/>
      <c r="D34" s="57" t="str" cm="1">
        <f t="array" ref="D34">IFERROR(
_xlfn.XLOOKUP(1,
(CODE_PRICE!$A$3:$A$1003=$A$8)*
(CODE_PRICE!$B$3:$B$1003=C34),
CODE_PRICE!$C$3:$C$1003
),
"")</f>
        <v/>
      </c>
      <c r="E34" s="58"/>
      <c r="F34" s="58"/>
      <c r="G34" s="59"/>
      <c r="H34" s="60"/>
      <c r="I34" s="58"/>
      <c r="J34" s="61"/>
      <c r="K34" s="62"/>
      <c r="L34" s="63"/>
      <c r="M34" s="64"/>
      <c r="N34" s="63"/>
      <c r="O34" s="65"/>
      <c r="P34" s="65"/>
      <c r="Q34" s="65"/>
      <c r="R34" s="66"/>
      <c r="S34" s="59"/>
      <c r="T34" s="59"/>
      <c r="U34" s="93"/>
      <c r="V34" s="99"/>
      <c r="W34" s="95"/>
      <c r="X34" s="59" t="str">
        <f>IF(OR(E34="",C34=""),"",IF(COUNTIFS($E$17:E34,E34,$C$17:C34,C34)=1,E34&amp;" - "&amp;C34&amp;" - "&amp;SUMIFS($J$17:$J$5002,$E$17:$E$5002,E34,$C$17:$C$5002,C34)&amp;I34&amp;" - "&amp;TEXT(SUMIFS($U$17:$U$5002,$E$17:$E$5002,E34,$C$17:$C$5002,C34),"0.00")&amp;" Bf",""))</f>
        <v/>
      </c>
      <c r="Y34" s="103" t="str">
        <f>IF(COUNTIF($C$17:C34,C34)=1,ROUND(SUMIF($C:$C,C34,$W:$W),2), "")</f>
        <v/>
      </c>
    </row>
    <row r="35" spans="1:25" s="17" customFormat="1" ht="36" hidden="1" customHeight="1" x14ac:dyDescent="0.2">
      <c r="A35" s="57"/>
      <c r="B35" s="57"/>
      <c r="C35" s="57"/>
      <c r="D35" s="57" t="str" cm="1">
        <f t="array" ref="D35">IFERROR(
_xlfn.XLOOKUP(1,
(CODE_PRICE!$A$3:$A$1003=$A$8)*
(CODE_PRICE!$B$3:$B$1003=C35),
CODE_PRICE!$C$3:$C$1003
),
"")</f>
        <v/>
      </c>
      <c r="E35" s="58"/>
      <c r="F35" s="58"/>
      <c r="G35" s="59"/>
      <c r="H35" s="60"/>
      <c r="I35" s="58"/>
      <c r="J35" s="61"/>
      <c r="K35" s="62"/>
      <c r="L35" s="63"/>
      <c r="M35" s="64"/>
      <c r="N35" s="63"/>
      <c r="O35" s="65"/>
      <c r="P35" s="65"/>
      <c r="Q35" s="65"/>
      <c r="R35" s="66"/>
      <c r="S35" s="59"/>
      <c r="T35" s="59"/>
      <c r="U35" s="93"/>
      <c r="V35" s="99"/>
      <c r="W35" s="95"/>
      <c r="X35" s="59" t="str">
        <f>IF(OR(E35="",C35=""),"",IF(COUNTIFS($E$17:E35,E35,$C$17:C35,C35)=1,E35&amp;" - "&amp;C35&amp;" - "&amp;SUMIFS($J$17:$J$5002,$E$17:$E$5002,E35,$C$17:$C$5002,C35)&amp;I35&amp;" - "&amp;TEXT(SUMIFS($U$17:$U$5002,$E$17:$E$5002,E35,$C$17:$C$5002,C35),"0.00")&amp;" Bf",""))</f>
        <v/>
      </c>
      <c r="Y35" s="103" t="str">
        <f>IF(COUNTIF($C$17:C35,C35)=1,ROUND(SUMIF($C:$C,C35,$W:$W),2), "")</f>
        <v/>
      </c>
    </row>
    <row r="36" spans="1:25" s="17" customFormat="1" ht="36" hidden="1" customHeight="1" x14ac:dyDescent="0.2">
      <c r="A36" s="57"/>
      <c r="B36" s="57"/>
      <c r="C36" s="57"/>
      <c r="D36" s="57" t="str" cm="1">
        <f t="array" ref="D36">IFERROR(
_xlfn.XLOOKUP(1,
(CODE_PRICE!$A$3:$A$1003=$A$8)*
(CODE_PRICE!$B$3:$B$1003=C36),
CODE_PRICE!$C$3:$C$1003
),
"")</f>
        <v/>
      </c>
      <c r="E36" s="58"/>
      <c r="F36" s="58"/>
      <c r="G36" s="59"/>
      <c r="H36" s="60"/>
      <c r="I36" s="58"/>
      <c r="J36" s="61"/>
      <c r="K36" s="62"/>
      <c r="L36" s="63"/>
      <c r="M36" s="64"/>
      <c r="N36" s="63"/>
      <c r="O36" s="65"/>
      <c r="P36" s="65"/>
      <c r="Q36" s="65"/>
      <c r="R36" s="66"/>
      <c r="S36" s="59"/>
      <c r="T36" s="59"/>
      <c r="U36" s="93"/>
      <c r="V36" s="99"/>
      <c r="W36" s="95"/>
      <c r="X36" s="59" t="str">
        <f>IF(OR(E36="",C36=""),"",IF(COUNTIFS($E$17:E36,E36,$C$17:C36,C36)=1,E36&amp;" - "&amp;C36&amp;" - "&amp;SUMIFS($J$17:$J$5002,$E$17:$E$5002,E36,$C$17:$C$5002,C36)&amp;I36&amp;" - "&amp;TEXT(SUMIFS($U$17:$U$5002,$E$17:$E$5002,E36,$C$17:$C$5002,C36),"0.00")&amp;" Bf",""))</f>
        <v/>
      </c>
      <c r="Y36" s="103" t="str">
        <f>IF(COUNTIF($C$17:C36,C36)=1,ROUND(SUMIF($C:$C,C36,$W:$W),2), "")</f>
        <v/>
      </c>
    </row>
    <row r="37" spans="1:25" s="17" customFormat="1" ht="41.25" hidden="1" customHeight="1" x14ac:dyDescent="0.2">
      <c r="A37" s="57"/>
      <c r="B37" s="57"/>
      <c r="C37" s="57"/>
      <c r="D37" s="57" t="str" cm="1">
        <f t="array" ref="D37">IFERROR(
_xlfn.XLOOKUP(1,
(CODE_PRICE!$A$3:$A$1003=$A$8)*
(CODE_PRICE!$B$3:$B$1003=C37),
CODE_PRICE!$C$3:$C$1003
),
"")</f>
        <v/>
      </c>
      <c r="E37" s="58"/>
      <c r="F37" s="58"/>
      <c r="G37" s="59"/>
      <c r="H37" s="60"/>
      <c r="I37" s="58"/>
      <c r="J37" s="61"/>
      <c r="K37" s="62"/>
      <c r="L37" s="63"/>
      <c r="M37" s="64"/>
      <c r="N37" s="63"/>
      <c r="O37" s="65"/>
      <c r="P37" s="65"/>
      <c r="Q37" s="65"/>
      <c r="R37" s="66"/>
      <c r="S37" s="59"/>
      <c r="T37" s="59"/>
      <c r="U37" s="93"/>
      <c r="V37" s="94"/>
      <c r="W37" s="95"/>
      <c r="X37" s="59" t="str">
        <f>IF(OR(E37="",C37=""),"",IF(COUNTIFS($E$17:E37,E37,$C$17:C37,C37)=1,E37&amp;" - "&amp;C37&amp;" - "&amp;SUMIFS($J$17:$J$5002,$E$17:$E$5002,E37,$C$17:$C$5002,C37)&amp;I37&amp;" - "&amp;TEXT(SUMIFS($U$17:$U$5002,$E$17:$E$5002,E37,$C$17:$C$5002,C37),"0.00")&amp;" Bf",""))</f>
        <v/>
      </c>
      <c r="Y37" s="24" t="str">
        <f>IF(COUNTIF($C$17:C37,C37)=1,ROUND(SUMIF($C:$C,C37,$W:$W),2), "")</f>
        <v/>
      </c>
    </row>
    <row r="38" spans="1:25" s="17" customFormat="1" ht="41.25" hidden="1" customHeight="1" x14ac:dyDescent="0.2">
      <c r="A38" s="57"/>
      <c r="B38" s="57"/>
      <c r="C38" s="57"/>
      <c r="D38" s="57" t="str" cm="1">
        <f t="array" ref="D38">IFERROR(
_xlfn.XLOOKUP(1,
(CODE_PRICE!$A$3:$A$1003=$A$8)*
(CODE_PRICE!$B$3:$B$1003=C38),
CODE_PRICE!$C$3:$C$1003
),
"")</f>
        <v/>
      </c>
      <c r="E38" s="58"/>
      <c r="F38" s="58"/>
      <c r="G38" s="59"/>
      <c r="H38" s="60"/>
      <c r="I38" s="58"/>
      <c r="J38" s="61"/>
      <c r="K38" s="62"/>
      <c r="L38" s="63"/>
      <c r="M38" s="64"/>
      <c r="N38" s="63"/>
      <c r="O38" s="65"/>
      <c r="P38" s="65"/>
      <c r="Q38" s="65"/>
      <c r="R38" s="66"/>
      <c r="S38" s="59"/>
      <c r="T38" s="59"/>
      <c r="U38" s="93"/>
      <c r="V38" s="94"/>
      <c r="W38" s="95"/>
      <c r="X38" s="59" t="str">
        <f>IF(OR(E38="",C38=""),"",IF(COUNTIFS($E$17:E38,E38,$C$17:C38,C38)=1,E38&amp;" - "&amp;C38&amp;" - "&amp;SUMIFS($J$17:$J$5002,$E$17:$E$5002,E38,$C$17:$C$5002,C38)&amp;I38&amp;" - "&amp;TEXT(SUMIFS($U$17:$U$5002,$E$17:$E$5002,E38,$C$17:$C$5002,C38),"0.00")&amp;" Bf",""))</f>
        <v/>
      </c>
      <c r="Y38" s="24" t="str">
        <f>IF(COUNTIF($C$17:C38,C38)=1,ROUND(SUMIF($C:$C,C38,$W:$W),2), "")</f>
        <v/>
      </c>
    </row>
    <row r="39" spans="1:25" s="17" customFormat="1" ht="41.25" hidden="1" customHeight="1" x14ac:dyDescent="0.2">
      <c r="A39" s="57"/>
      <c r="B39" s="57"/>
      <c r="C39" s="57"/>
      <c r="D39" s="57" t="str" cm="1">
        <f t="array" ref="D39">IFERROR(
_xlfn.XLOOKUP(1,
(CODE_PRICE!$A$3:$A$1003=$A$8)*
(CODE_PRICE!$B$3:$B$1003=C39),
CODE_PRICE!$C$3:$C$1003
),
"")</f>
        <v/>
      </c>
      <c r="E39" s="58"/>
      <c r="F39" s="58"/>
      <c r="G39" s="59"/>
      <c r="H39" s="60"/>
      <c r="I39" s="58"/>
      <c r="J39" s="61"/>
      <c r="K39" s="62"/>
      <c r="L39" s="63"/>
      <c r="M39" s="64"/>
      <c r="N39" s="63"/>
      <c r="O39" s="65"/>
      <c r="P39" s="65"/>
      <c r="Q39" s="65"/>
      <c r="R39" s="66"/>
      <c r="S39" s="59"/>
      <c r="T39" s="59"/>
      <c r="U39" s="93"/>
      <c r="V39" s="94"/>
      <c r="W39" s="95"/>
      <c r="X39" s="59" t="str">
        <f>IF(OR(E39="",C39=""),"",IF(COUNTIFS($E$17:E39,E39,$C$17:C39,C39)=1,E39&amp;" - "&amp;C39&amp;" - "&amp;SUMIFS($J$17:$J$5002,$E$17:$E$5002,E39,$C$17:$C$5002,C39)&amp;I39&amp;" - "&amp;TEXT(SUMIFS($U$17:$U$5002,$E$17:$E$5002,E39,$C$17:$C$5002,C39),"0.00")&amp;" Bf",""))</f>
        <v/>
      </c>
      <c r="Y39" s="24" t="str">
        <f>IF(COUNTIF($C$17:C39,C39)=1,ROUND(SUMIF($C:$C,C39,$W:$W),2), "")</f>
        <v/>
      </c>
    </row>
    <row r="40" spans="1:25" s="17" customFormat="1" ht="41.25" hidden="1" customHeight="1" x14ac:dyDescent="0.2">
      <c r="A40" s="57"/>
      <c r="B40" s="57"/>
      <c r="C40" s="57"/>
      <c r="D40" s="57" t="str" cm="1">
        <f t="array" ref="D40">IFERROR(
_xlfn.XLOOKUP(1,
(CODE_PRICE!$A$3:$A$1003=$A$8)*
(CODE_PRICE!$B$3:$B$1003=C40),
CODE_PRICE!$C$3:$C$1003
),
"")</f>
        <v/>
      </c>
      <c r="E40" s="58"/>
      <c r="F40" s="58"/>
      <c r="G40" s="59"/>
      <c r="H40" s="60"/>
      <c r="I40" s="58"/>
      <c r="J40" s="61"/>
      <c r="K40" s="62"/>
      <c r="L40" s="63"/>
      <c r="M40" s="64"/>
      <c r="N40" s="63"/>
      <c r="O40" s="65"/>
      <c r="P40" s="65"/>
      <c r="Q40" s="65"/>
      <c r="R40" s="66"/>
      <c r="S40" s="59"/>
      <c r="T40" s="59"/>
      <c r="U40" s="93"/>
      <c r="V40" s="94"/>
      <c r="W40" s="95"/>
      <c r="X40" s="59" t="str">
        <f>IF(OR(E40="",C40=""),"",IF(COUNTIFS($E$17:E40,E40,$C$17:C40,C40)=1,E40&amp;" - "&amp;C40&amp;" - "&amp;SUMIFS($J$17:$J$5002,$E$17:$E$5002,E40,$C$17:$C$5002,C40)&amp;I40&amp;" - "&amp;TEXT(SUMIFS($U$17:$U$5002,$E$17:$E$5002,E40,$C$17:$C$5002,C40),"0.00")&amp;" Bf",""))</f>
        <v/>
      </c>
      <c r="Y40" s="24" t="str">
        <f>IF(COUNTIF($C$17:C40,C40)=1,ROUND(SUMIF($C:$C,C40,$W:$W),2), "")</f>
        <v/>
      </c>
    </row>
    <row r="41" spans="1:25" s="17" customFormat="1" ht="41.25" hidden="1" customHeight="1" x14ac:dyDescent="0.2">
      <c r="A41" s="57"/>
      <c r="B41" s="57"/>
      <c r="C41" s="57"/>
      <c r="D41" s="57" t="str" cm="1">
        <f t="array" ref="D41">IFERROR(
_xlfn.XLOOKUP(1,
(CODE_PRICE!$A$3:$A$1003=$A$8)*
(CODE_PRICE!$B$3:$B$1003=C41),
CODE_PRICE!$C$3:$C$1003
),
"")</f>
        <v/>
      </c>
      <c r="E41" s="58"/>
      <c r="F41" s="58"/>
      <c r="G41" s="59"/>
      <c r="H41" s="60"/>
      <c r="I41" s="58"/>
      <c r="J41" s="61"/>
      <c r="K41" s="62"/>
      <c r="L41" s="63"/>
      <c r="M41" s="64"/>
      <c r="N41" s="63"/>
      <c r="O41" s="65"/>
      <c r="P41" s="65"/>
      <c r="Q41" s="65"/>
      <c r="R41" s="66"/>
      <c r="S41" s="59"/>
      <c r="T41" s="59"/>
      <c r="U41" s="93"/>
      <c r="V41" s="94"/>
      <c r="W41" s="95"/>
      <c r="X41" s="59" t="str">
        <f>IF(OR(E41="",C41=""),"",IF(COUNTIFS($E$17:E41,E41,$C$17:C41,C41)=1,E41&amp;" - "&amp;C41&amp;" - "&amp;SUMIFS($J$17:$J$5002,$E$17:$E$5002,E41,$C$17:$C$5002,C41)&amp;I41&amp;" - "&amp;TEXT(SUMIFS($U$17:$U$5002,$E$17:$E$5002,E41,$C$17:$C$5002,C41),"0.00")&amp;" Bf",""))</f>
        <v/>
      </c>
      <c r="Y41" s="24" t="str">
        <f>IF(COUNTIF($C$17:C41,C41)=1,ROUND(SUMIF($C:$C,C41,$W:$W),2), "")</f>
        <v/>
      </c>
    </row>
    <row r="42" spans="1:25" s="17" customFormat="1" ht="41.25" hidden="1" customHeight="1" x14ac:dyDescent="0.2">
      <c r="A42" s="57"/>
      <c r="B42" s="57"/>
      <c r="C42" s="57"/>
      <c r="D42" s="57" t="str" cm="1">
        <f t="array" ref="D42">IFERROR(
_xlfn.XLOOKUP(1,
(CODE_PRICE!$A$3:$A$1003=$A$8)*
(CODE_PRICE!$B$3:$B$1003=C42),
CODE_PRICE!$C$3:$C$1003
),
"")</f>
        <v/>
      </c>
      <c r="E42" s="58"/>
      <c r="F42" s="58"/>
      <c r="G42" s="59"/>
      <c r="H42" s="60"/>
      <c r="I42" s="58"/>
      <c r="J42" s="61"/>
      <c r="K42" s="62"/>
      <c r="L42" s="63" t="str" cm="1">
        <f t="array" ref="L42">IF(F42="untrim",_xlfn.XLOOKUP(1,(TRIM('SIZE GUIDE'!$A$3:$A$2015)=TRIM(F42))*(TRIM('SIZE GUIDE'!$B$3:$B$2015)=TRIM(G42))*(TRIM('SIZE GUIDE'!$C$3:$C$2015)=TRIM(I42)),'SIZE GUIDE'!$D$3:$D$2015),"")</f>
        <v/>
      </c>
      <c r="M42" s="64"/>
      <c r="N42" s="63"/>
      <c r="O42" s="65"/>
      <c r="P42" s="65" t="str" cm="1">
        <f t="array" ref="P42">IF(F42="trim",IFERROR(INDEX('SIZE GUIDE'!$E:$E,MATCH(1,('SIZE GUIDE'!$A:$A=$F42)*('SIZE GUIDE'!$B:$B=$G42)*('SIZE GUIDE'!$C:$C=$I42),0)),""),"")</f>
        <v/>
      </c>
      <c r="Q42" s="65"/>
      <c r="R42" s="66">
        <f t="shared" ref="R42:R49" si="5">IF(F42="untrim",L42-1.5,O42)</f>
        <v>0</v>
      </c>
      <c r="S42" s="59"/>
      <c r="T42" s="59"/>
      <c r="U42" s="93"/>
      <c r="V42" s="94"/>
      <c r="W42" s="95"/>
      <c r="X42" s="59" t="str">
        <f>IF(OR(E42="",C42=""),"",IF(COUNTIFS($E$17:E42,E42,$C$17:C42,C42)=1,E42&amp;" - "&amp;C42&amp;" - "&amp;SUMIFS($J$17:$J$5002,$E$17:$E$5002,E42,$C$17:$C$5002,C42)&amp;I42&amp;" - "&amp;TEXT(SUMIFS($U$17:$U$5002,$E$17:$E$5002,E42,$C$17:$C$5002,C42),"0.00")&amp;" Bf",""))</f>
        <v/>
      </c>
      <c r="Y42" s="24" t="str">
        <f>IF(COUNTIF($C$17:C42,C42)=1,ROUND(SUMIF($C:$C,C42,$W:$W),2), "")</f>
        <v/>
      </c>
    </row>
    <row r="43" spans="1:25" s="17" customFormat="1" ht="41.25" hidden="1" customHeight="1" x14ac:dyDescent="0.2">
      <c r="A43" s="57"/>
      <c r="B43" s="57"/>
      <c r="C43" s="57"/>
      <c r="D43" s="57" t="str" cm="1">
        <f t="array" ref="D43">IFERROR(
_xlfn.XLOOKUP(1,
(CODE_PRICE!$A$3:$A$1003=$A$8)*
(CODE_PRICE!$B$3:$B$1003=C43),
CODE_PRICE!$C$3:$C$1003
),
"")</f>
        <v/>
      </c>
      <c r="E43" s="58"/>
      <c r="F43" s="58"/>
      <c r="G43" s="59"/>
      <c r="H43" s="60"/>
      <c r="I43" s="58"/>
      <c r="J43" s="61"/>
      <c r="K43" s="62"/>
      <c r="L43" s="63" t="str" cm="1">
        <f t="array" ref="L43">IF(F43="untrim",_xlfn.XLOOKUP(1,(TRIM('SIZE GUIDE'!$A$3:$A$2015)=TRIM(F43))*(TRIM('SIZE GUIDE'!$B$3:$B$2015)=TRIM(G43))*(TRIM('SIZE GUIDE'!$C$3:$C$2015)=TRIM(I43)),'SIZE GUIDE'!$D$3:$D$2015),"")</f>
        <v/>
      </c>
      <c r="M43" s="64"/>
      <c r="N43" s="63"/>
      <c r="O43" s="65"/>
      <c r="P43" s="65" t="str" cm="1">
        <f t="array" ref="P43">IF(F43="trim",IFERROR(INDEX('SIZE GUIDE'!$E:$E,MATCH(1,('SIZE GUIDE'!$A:$A=$F43)*('SIZE GUIDE'!$B:$B=$G43)*('SIZE GUIDE'!$C:$C=$I43),0)),""),"")</f>
        <v/>
      </c>
      <c r="Q43" s="65"/>
      <c r="R43" s="66">
        <f t="shared" si="5"/>
        <v>0</v>
      </c>
      <c r="S43" s="59"/>
      <c r="T43" s="59"/>
      <c r="U43" s="93"/>
      <c r="V43" s="94"/>
      <c r="W43" s="95"/>
      <c r="X43" s="59" t="str">
        <f>IF(OR(E43="",C43=""),"",IF(COUNTIFS($E$17:E43,E43,$C$17:C43,C43)=1,E43&amp;" - "&amp;C43&amp;" - "&amp;SUMIFS($J$17:$J$5002,$E$17:$E$5002,E43,$C$17:$C$5002,C43)&amp;I43&amp;" - "&amp;TEXT(SUMIFS($U$17:$U$5002,$E$17:$E$5002,E43,$C$17:$C$5002,C43),"0.00")&amp;" Bf",""))</f>
        <v/>
      </c>
      <c r="Y43" s="24" t="str">
        <f>IF(COUNTIF($C$17:C43,C43)=1,ROUND(SUMIF($C:$C,C43,$W:$W),2), "")</f>
        <v/>
      </c>
    </row>
    <row r="44" spans="1:25" s="17" customFormat="1" ht="41.25" hidden="1" customHeight="1" x14ac:dyDescent="0.2">
      <c r="A44" s="57"/>
      <c r="B44" s="57"/>
      <c r="C44" s="57"/>
      <c r="D44" s="57" t="str" cm="1">
        <f t="array" ref="D44">IFERROR(
_xlfn.XLOOKUP(1,
(CODE_PRICE!$A$3:$A$1003=$A$8)*
(CODE_PRICE!$B$3:$B$1003=C44),
CODE_PRICE!$C$3:$C$1003
),
"")</f>
        <v/>
      </c>
      <c r="E44" s="58"/>
      <c r="F44" s="58"/>
      <c r="G44" s="59"/>
      <c r="H44" s="60"/>
      <c r="I44" s="58"/>
      <c r="J44" s="61"/>
      <c r="K44" s="62"/>
      <c r="L44" s="63" t="str" cm="1">
        <f t="array" ref="L44">IF(F44="untrim",_xlfn.XLOOKUP(1,(TRIM('SIZE GUIDE'!$A$3:$A$2015)=TRIM(F44))*(TRIM('SIZE GUIDE'!$B$3:$B$2015)=TRIM(G44))*(TRIM('SIZE GUIDE'!$C$3:$C$2015)=TRIM(I44)),'SIZE GUIDE'!$D$3:$D$2015),"")</f>
        <v/>
      </c>
      <c r="M44" s="64"/>
      <c r="N44" s="63"/>
      <c r="O44" s="65"/>
      <c r="P44" s="65" t="str" cm="1">
        <f t="array" ref="P44">IF(F44="trim",IFERROR(INDEX('SIZE GUIDE'!$E:$E,MATCH(1,('SIZE GUIDE'!$A:$A=$F44)*('SIZE GUIDE'!$B:$B=$G44)*('SIZE GUIDE'!$C:$C=$I44),0)),""),"")</f>
        <v/>
      </c>
      <c r="Q44" s="65"/>
      <c r="R44" s="66">
        <f t="shared" si="5"/>
        <v>0</v>
      </c>
      <c r="S44" s="59"/>
      <c r="T44" s="59"/>
      <c r="U44" s="93"/>
      <c r="V44" s="94"/>
      <c r="W44" s="95"/>
      <c r="X44" s="59" t="str">
        <f>IF(OR(E44="",C44=""),"",IF(COUNTIFS($E$17:E44,E44,$C$17:C44,C44)=1,E44&amp;" - "&amp;C44&amp;" - "&amp;SUMIFS($J$17:$J$5002,$E$17:$E$5002,E44,$C$17:$C$5002,C44)&amp;I44&amp;" - "&amp;TEXT(SUMIFS($U$17:$U$5002,$E$17:$E$5002,E44,$C$17:$C$5002,C44),"0.00")&amp;" Bf",""))</f>
        <v/>
      </c>
      <c r="Y44" s="24" t="str">
        <f>IF(COUNTIF($C$17:C44,C44)=1,ROUND(SUMIF($C:$C,C44,$W:$W),2), "")</f>
        <v/>
      </c>
    </row>
    <row r="45" spans="1:25" s="17" customFormat="1" ht="41.25" hidden="1" customHeight="1" x14ac:dyDescent="0.2">
      <c r="A45" s="57"/>
      <c r="B45" s="57"/>
      <c r="C45" s="57"/>
      <c r="D45" s="57" t="str" cm="1">
        <f t="array" ref="D45">IFERROR(
_xlfn.XLOOKUP(1,
(CODE_PRICE!$A$3:$A$1003=$A$8)*
(CODE_PRICE!$B$3:$B$1003=C45),
CODE_PRICE!$C$3:$C$1003
),
"")</f>
        <v/>
      </c>
      <c r="E45" s="58"/>
      <c r="F45" s="58"/>
      <c r="G45" s="59"/>
      <c r="H45" s="60"/>
      <c r="I45" s="58"/>
      <c r="J45" s="61"/>
      <c r="K45" s="62"/>
      <c r="L45" s="63" t="str" cm="1">
        <f t="array" ref="L45">IF(F45="untrim",_xlfn.XLOOKUP(1,(TRIM('SIZE GUIDE'!$A$3:$A$2015)=TRIM(F45))*(TRIM('SIZE GUIDE'!$B$3:$B$2015)=TRIM(G45))*(TRIM('SIZE GUIDE'!$C$3:$C$2015)=TRIM(I45)),'SIZE GUIDE'!$D$3:$D$2015),"")</f>
        <v/>
      </c>
      <c r="M45" s="64"/>
      <c r="N45" s="63"/>
      <c r="O45" s="65"/>
      <c r="P45" s="65" t="str" cm="1">
        <f t="array" ref="P45">IF(F45="trim",IFERROR(INDEX('SIZE GUIDE'!$E:$E,MATCH(1,('SIZE GUIDE'!$A:$A=$F45)*('SIZE GUIDE'!$B:$B=$G45)*('SIZE GUIDE'!$C:$C=$I45),0)),""),"")</f>
        <v/>
      </c>
      <c r="Q45" s="65"/>
      <c r="R45" s="66">
        <f t="shared" si="5"/>
        <v>0</v>
      </c>
      <c r="S45" s="59"/>
      <c r="T45" s="59"/>
      <c r="U45" s="93"/>
      <c r="V45" s="94"/>
      <c r="W45" s="95"/>
      <c r="X45" s="59" t="str">
        <f>IF(OR(E45="",C45=""),"",IF(COUNTIFS($E$17:E45,E45,$C$17:C45,C45)=1,E45&amp;" - "&amp;C45&amp;" - "&amp;SUMIFS($J$17:$J$5002,$E$17:$E$5002,E45,$C$17:$C$5002,C45)&amp;I45&amp;" - "&amp;TEXT(SUMIFS($U$17:$U$5002,$E$17:$E$5002,E45,$C$17:$C$5002,C45),"0.00")&amp;" Bf",""))</f>
        <v/>
      </c>
      <c r="Y45" s="24" t="str">
        <f>IF(COUNTIF($C$17:C45,C45)=1,ROUND(SUMIF($C:$C,C45,$W:$W),2), "")</f>
        <v/>
      </c>
    </row>
    <row r="46" spans="1:25" s="17" customFormat="1" ht="41.25" hidden="1" customHeight="1" x14ac:dyDescent="0.2">
      <c r="A46" s="57"/>
      <c r="B46" s="57"/>
      <c r="C46" s="57"/>
      <c r="D46" s="57" t="str" cm="1">
        <f t="array" ref="D46">IFERROR(
_xlfn.XLOOKUP(1,
(CODE_PRICE!$A$3:$A$1003=$A$8)*
(CODE_PRICE!$B$3:$B$1003=C46),
CODE_PRICE!$C$3:$C$1003
),
"")</f>
        <v/>
      </c>
      <c r="E46" s="58"/>
      <c r="F46" s="58"/>
      <c r="G46" s="59"/>
      <c r="H46" s="60"/>
      <c r="I46" s="58"/>
      <c r="J46" s="61"/>
      <c r="K46" s="62"/>
      <c r="L46" s="63" t="str" cm="1">
        <f t="array" ref="L46">IF(F46="untrim",_xlfn.XLOOKUP(1,(TRIM('SIZE GUIDE'!$A$3:$A$2015)=TRIM(F46))*(TRIM('SIZE GUIDE'!$B$3:$B$2015)=TRIM(G46))*(TRIM('SIZE GUIDE'!$C$3:$C$2015)=TRIM(I46)),'SIZE GUIDE'!$D$3:$D$2015),"")</f>
        <v/>
      </c>
      <c r="M46" s="64"/>
      <c r="N46" s="63"/>
      <c r="O46" s="65"/>
      <c r="P46" s="65" t="str" cm="1">
        <f t="array" ref="P46">IF(F46="trim",IFERROR(INDEX('SIZE GUIDE'!$E:$E,MATCH(1,('SIZE GUIDE'!$A:$A=$F46)*('SIZE GUIDE'!$B:$B=$G46)*('SIZE GUIDE'!$C:$C=$I46),0)),""),"")</f>
        <v/>
      </c>
      <c r="Q46" s="65"/>
      <c r="R46" s="66">
        <f t="shared" si="5"/>
        <v>0</v>
      </c>
      <c r="S46" s="59"/>
      <c r="T46" s="59"/>
      <c r="U46" s="93"/>
      <c r="V46" s="94"/>
      <c r="W46" s="95"/>
      <c r="X46" s="59" t="str">
        <f>IF(OR(E46="",C46=""),"",IF(COUNTIFS($E$17:E46,E46,$C$17:C46,C46)=1,E46&amp;" - "&amp;C46&amp;" - "&amp;SUMIFS($J$17:$J$5002,$E$17:$E$5002,E46,$C$17:$C$5002,C46)&amp;I46&amp;" - "&amp;TEXT(SUMIFS($U$17:$U$5002,$E$17:$E$5002,E46,$C$17:$C$5002,C46),"0.00")&amp;" Bf",""))</f>
        <v/>
      </c>
      <c r="Y46" s="24" t="str">
        <f>IF(COUNTIF($C$17:C46,C46)=1,ROUND(SUMIF($C:$C,C46,$W:$W),2), "")</f>
        <v/>
      </c>
    </row>
    <row r="47" spans="1:25" s="17" customFormat="1" ht="41.25" hidden="1" customHeight="1" x14ac:dyDescent="0.2">
      <c r="A47" s="57"/>
      <c r="B47" s="57"/>
      <c r="C47" s="57"/>
      <c r="D47" s="57" t="str" cm="1">
        <f t="array" ref="D47">IFERROR(
_xlfn.XLOOKUP(1,
(CODE_PRICE!$A$3:$A$1003=$A$8)*
(CODE_PRICE!$B$3:$B$1003=C47),
CODE_PRICE!$C$3:$C$1003
),
"")</f>
        <v/>
      </c>
      <c r="E47" s="58"/>
      <c r="F47" s="58"/>
      <c r="G47" s="59"/>
      <c r="H47" s="60"/>
      <c r="I47" s="58"/>
      <c r="J47" s="61"/>
      <c r="K47" s="62"/>
      <c r="L47" s="63" t="str" cm="1">
        <f t="array" ref="L47">IF(F47="untrim",_xlfn.XLOOKUP(1,(TRIM('SIZE GUIDE'!$A$3:$A$2015)=TRIM(F47))*(TRIM('SIZE GUIDE'!$B$3:$B$2015)=TRIM(G47))*(TRIM('SIZE GUIDE'!$C$3:$C$2015)=TRIM(I47)),'SIZE GUIDE'!$D$3:$D$2015),"")</f>
        <v/>
      </c>
      <c r="M47" s="64"/>
      <c r="N47" s="63"/>
      <c r="O47" s="65"/>
      <c r="P47" s="65" t="str" cm="1">
        <f t="array" ref="P47">IF(F47="trim",IFERROR(INDEX('SIZE GUIDE'!$E:$E,MATCH(1,('SIZE GUIDE'!$A:$A=$F47)*('SIZE GUIDE'!$B:$B=$G47)*('SIZE GUIDE'!$C:$C=$I47),0)),""),"")</f>
        <v/>
      </c>
      <c r="Q47" s="65"/>
      <c r="R47" s="66">
        <f t="shared" si="5"/>
        <v>0</v>
      </c>
      <c r="S47" s="59"/>
      <c r="T47" s="59"/>
      <c r="U47" s="93"/>
      <c r="V47" s="94"/>
      <c r="W47" s="95"/>
      <c r="X47" s="59" t="str">
        <f>IF(OR(E47="",C47=""),"",IF(COUNTIFS($E$17:E47,E47,$C$17:C47,C47)=1,E47&amp;" - "&amp;C47&amp;" - "&amp;SUMIFS($J$17:$J$5002,$E$17:$E$5002,E47,$C$17:$C$5002,C47)&amp;I47&amp;" - "&amp;TEXT(SUMIFS($U$17:$U$5002,$E$17:$E$5002,E47,$C$17:$C$5002,C47),"0.00")&amp;" Bf",""))</f>
        <v/>
      </c>
      <c r="Y47" s="24" t="str">
        <f>IF(COUNTIF($C$17:C47,C47)=1,ROUND(SUMIF($C:$C,C47,$W:$W),2), "")</f>
        <v/>
      </c>
    </row>
    <row r="48" spans="1:25" s="17" customFormat="1" ht="41.25" hidden="1" customHeight="1" x14ac:dyDescent="0.2">
      <c r="A48" s="57"/>
      <c r="B48" s="57"/>
      <c r="C48" s="57"/>
      <c r="D48" s="57" t="str" cm="1">
        <f t="array" ref="D48">IFERROR(
_xlfn.XLOOKUP(1,
(CODE_PRICE!$A$3:$A$1003=$A$8)*
(CODE_PRICE!$B$3:$B$1003=C48),
CODE_PRICE!$C$3:$C$1003
),
"")</f>
        <v/>
      </c>
      <c r="E48" s="58"/>
      <c r="F48" s="58"/>
      <c r="G48" s="59"/>
      <c r="H48" s="60"/>
      <c r="I48" s="58"/>
      <c r="J48" s="61"/>
      <c r="K48" s="62"/>
      <c r="L48" s="63" t="str" cm="1">
        <f t="array" ref="L48">IF(F48="untrim",_xlfn.XLOOKUP(1,(TRIM('SIZE GUIDE'!$A$3:$A$2015)=TRIM(F48))*(TRIM('SIZE GUIDE'!$B$3:$B$2015)=TRIM(G48))*(TRIM('SIZE GUIDE'!$C$3:$C$2015)=TRIM(I48)),'SIZE GUIDE'!$D$3:$D$2015),"")</f>
        <v/>
      </c>
      <c r="M48" s="64"/>
      <c r="N48" s="63"/>
      <c r="O48" s="65"/>
      <c r="P48" s="65" t="str" cm="1">
        <f t="array" ref="P48">IF(F48="trim",IFERROR(INDEX('SIZE GUIDE'!$E:$E,MATCH(1,('SIZE GUIDE'!$A:$A=$F48)*('SIZE GUIDE'!$B:$B=$G48)*('SIZE GUIDE'!$C:$C=$I48),0)),""),"")</f>
        <v/>
      </c>
      <c r="Q48" s="65"/>
      <c r="R48" s="66">
        <f t="shared" si="5"/>
        <v>0</v>
      </c>
      <c r="S48" s="59"/>
      <c r="T48" s="59"/>
      <c r="U48" s="93"/>
      <c r="V48" s="94"/>
      <c r="W48" s="95"/>
      <c r="X48" s="59" t="str">
        <f>IF(OR(E48="",C48=""),"",IF(COUNTIFS($E$17:E48,E48,$C$17:C48,C48)=1,E48&amp;" - "&amp;C48&amp;" - "&amp;SUMIFS($J$17:$J$5002,$E$17:$E$5002,E48,$C$17:$C$5002,C48)&amp;I48&amp;" - "&amp;TEXT(SUMIFS($U$17:$U$5002,$E$17:$E$5002,E48,$C$17:$C$5002,C48),"0.00")&amp;" Bf",""))</f>
        <v/>
      </c>
      <c r="Y48" s="24" t="str">
        <f>IF(COUNTIF($C$17:C48,C48)=1,ROUND(SUMIF($C:$C,C48,$W:$W),2), "")</f>
        <v/>
      </c>
    </row>
    <row r="49" spans="1:25" s="17" customFormat="1" ht="41.25" hidden="1" customHeight="1" x14ac:dyDescent="0.2">
      <c r="A49" s="57"/>
      <c r="B49" s="57"/>
      <c r="C49" s="57"/>
      <c r="D49" s="57" t="str" cm="1">
        <f t="array" ref="D49">IFERROR(
_xlfn.XLOOKUP(1,
(CODE_PRICE!$A$3:$A$1003=$A$8)*
(CODE_PRICE!$B$3:$B$1003=C49),
CODE_PRICE!$C$3:$C$1003
),
"")</f>
        <v/>
      </c>
      <c r="E49" s="58"/>
      <c r="F49" s="58"/>
      <c r="G49" s="59"/>
      <c r="H49" s="60"/>
      <c r="I49" s="58"/>
      <c r="J49" s="61"/>
      <c r="K49" s="62"/>
      <c r="L49" s="63" t="str" cm="1">
        <f t="array" ref="L49">IF(F49="untrim",_xlfn.XLOOKUP(1,(TRIM('SIZE GUIDE'!$A$3:$A$2015)=TRIM(F49))*(TRIM('SIZE GUIDE'!$B$3:$B$2015)=TRIM(G49))*(TRIM('SIZE GUIDE'!$C$3:$C$2015)=TRIM(I49)),'SIZE GUIDE'!$D$3:$D$2015),"")</f>
        <v/>
      </c>
      <c r="M49" s="64"/>
      <c r="N49" s="63"/>
      <c r="O49" s="65"/>
      <c r="P49" s="65" t="str" cm="1">
        <f t="array" ref="P49">IF(F49="trim",IFERROR(INDEX('SIZE GUIDE'!$E:$E,MATCH(1,('SIZE GUIDE'!$A:$A=$F49)*('SIZE GUIDE'!$B:$B=$G49)*('SIZE GUIDE'!$C:$C=$I49),0)),""),"")</f>
        <v/>
      </c>
      <c r="Q49" s="65"/>
      <c r="R49" s="66">
        <f t="shared" si="5"/>
        <v>0</v>
      </c>
      <c r="S49" s="59"/>
      <c r="T49" s="59"/>
      <c r="U49" s="93"/>
      <c r="V49" s="94"/>
      <c r="W49" s="95"/>
      <c r="X49" s="59" t="str">
        <f>IF(OR(E49="",C49=""),"",IF(COUNTIFS($E$17:E49,E49,$C$17:C49,C49)=1,E49&amp;" - "&amp;C49&amp;" - "&amp;SUMIFS($J$17:$J$5002,$E$17:$E$5002,E49,$C$17:$C$5002,C49)&amp;I49&amp;" - "&amp;TEXT(SUMIFS($U$17:$U$5002,$E$17:$E$5002,E49,$C$17:$C$5002,C49),"0.00")&amp;" Bf",""))</f>
        <v/>
      </c>
      <c r="Y49" s="24" t="str">
        <f>IF(COUNTIF($C$17:C49,C49)=1,ROUND(SUMIF($C:$C,C49,$W:$W),2), "")</f>
        <v/>
      </c>
    </row>
    <row r="50" spans="1:25" s="17" customFormat="1" ht="41.25" customHeight="1" thickBot="1" x14ac:dyDescent="0.25">
      <c r="A50" s="53"/>
      <c r="B50" s="53"/>
      <c r="C50" s="53"/>
      <c r="D50" s="53" t="str" cm="1">
        <f t="array" ref="D50">IFERROR(
_xlfn.XLOOKUP(1,
(CODE_PRICE!$A$3:$A$1003=$A$8)*
(CODE_PRICE!$B$3:$B$1003=C50),
CODE_PRICE!$C$3:$C$1003
),
"")</f>
        <v/>
      </c>
      <c r="E50" s="53"/>
      <c r="F50" s="67"/>
      <c r="G50" s="68"/>
      <c r="H50" s="68"/>
      <c r="I50" s="69" t="s">
        <v>155</v>
      </c>
      <c r="J50" s="70">
        <f>SUM(J17:J49)</f>
        <v>10</v>
      </c>
      <c r="K50" s="55"/>
      <c r="L50" s="55"/>
      <c r="M50" s="55"/>
      <c r="N50" s="55"/>
      <c r="O50" s="56"/>
      <c r="P50" s="56"/>
      <c r="Q50" s="56"/>
      <c r="R50" s="67"/>
      <c r="S50" s="67"/>
      <c r="T50" s="67"/>
      <c r="U50" s="96">
        <f>SUM(U17:U49)</f>
        <v>22510.125</v>
      </c>
      <c r="V50" s="97"/>
      <c r="W50" s="92">
        <f>SUM(W17:W49)</f>
        <v>7405.8311249999997</v>
      </c>
      <c r="X50" s="109"/>
      <c r="Y50" s="109"/>
    </row>
    <row r="51" spans="1:25" s="17" customFormat="1" ht="41.25" customHeight="1" x14ac:dyDescent="0.2">
      <c r="A51" s="57"/>
      <c r="B51" s="71"/>
      <c r="C51" s="71"/>
      <c r="D51" s="156" t="str" cm="1">
        <f t="array" ref="D51">IFERROR(
_xlfn.XLOOKUP(1,
(CODE_PRICE!$A$3:$A$1003=$A$8)*
(CODE_PRICE!$B$3:$B$1003=C51),
CODE_PRICE!$C$3:$C$1003
),
"")</f>
        <v/>
      </c>
      <c r="E51" s="72"/>
      <c r="F51" s="72"/>
      <c r="G51" s="73"/>
      <c r="H51" s="74"/>
      <c r="I51" s="75" t="s">
        <v>156</v>
      </c>
      <c r="J51" s="76"/>
      <c r="K51" s="77"/>
      <c r="L51" s="78"/>
      <c r="M51" s="79"/>
      <c r="N51" s="78"/>
      <c r="O51" s="78"/>
      <c r="P51" s="78"/>
      <c r="Q51" s="78"/>
      <c r="R51" s="80"/>
      <c r="S51" s="80"/>
      <c r="T51" s="80"/>
      <c r="U51" s="81"/>
      <c r="V51" s="82"/>
      <c r="W51" s="83">
        <v>900</v>
      </c>
      <c r="X51" s="19"/>
      <c r="Y51" s="25"/>
    </row>
    <row r="52" spans="1:25" s="17" customFormat="1" ht="41.25" customHeight="1" thickBot="1" x14ac:dyDescent="0.25">
      <c r="A52" s="53"/>
      <c r="B52" s="53"/>
      <c r="C52" s="68"/>
      <c r="D52" s="68" t="str" cm="1">
        <f t="array" ref="D52">IFERROR(
_xlfn.XLOOKUP(1,
(CODE_PRICE!$A$3:$A$1003=$A$8)*
(CODE_PRICE!$B$3:$B$1003=C52),
CODE_PRICE!$C$3:$C$1003
),
"")</f>
        <v/>
      </c>
      <c r="E52" s="67"/>
      <c r="F52" s="67"/>
      <c r="G52" s="67"/>
      <c r="H52" s="67"/>
      <c r="I52" s="69" t="s">
        <v>162</v>
      </c>
      <c r="J52" s="70">
        <f>J50</f>
        <v>10</v>
      </c>
      <c r="K52" s="55"/>
      <c r="L52" s="55"/>
      <c r="M52" s="55"/>
      <c r="N52" s="55"/>
      <c r="O52" s="56"/>
      <c r="P52" s="56"/>
      <c r="Q52" s="56"/>
      <c r="R52" s="67"/>
      <c r="S52" s="67"/>
      <c r="T52" s="67"/>
      <c r="U52" s="96">
        <f>U50</f>
        <v>22510.125</v>
      </c>
      <c r="V52" s="97"/>
      <c r="W52" s="92">
        <f>+W50+W51</f>
        <v>8305.8311250000006</v>
      </c>
      <c r="X52" s="109"/>
      <c r="Y52" s="109"/>
    </row>
    <row r="53" spans="1:25" ht="15" customHeight="1" x14ac:dyDescent="0.25">
      <c r="A53" s="48"/>
      <c r="B53" s="48"/>
      <c r="C53" s="48"/>
      <c r="D53" s="48"/>
      <c r="E53" s="48"/>
      <c r="F53" s="48"/>
      <c r="G53" s="84"/>
      <c r="H53" s="48"/>
      <c r="I53" s="85"/>
      <c r="J53" s="85"/>
      <c r="K53" s="8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89"/>
    </row>
    <row r="54" spans="1:25" ht="15" customHeight="1" x14ac:dyDescent="0.25">
      <c r="A54" s="48" t="s">
        <v>153</v>
      </c>
      <c r="B54" s="48"/>
      <c r="C54" s="48"/>
      <c r="D54" s="48"/>
      <c r="E54" s="48"/>
      <c r="F54" s="48"/>
      <c r="G54" s="84"/>
      <c r="H54" s="48"/>
      <c r="I54" s="85"/>
      <c r="J54" s="85"/>
      <c r="K54" s="8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89"/>
    </row>
    <row r="55" spans="1:25" ht="15" customHeight="1" x14ac:dyDescent="0.25">
      <c r="A55" s="48"/>
      <c r="B55" s="48"/>
      <c r="C55" s="48"/>
      <c r="D55" s="48"/>
      <c r="E55" s="48"/>
      <c r="F55" s="48"/>
      <c r="G55" s="84"/>
      <c r="H55" s="48"/>
      <c r="I55" s="85"/>
      <c r="J55" s="85"/>
      <c r="K55" s="85"/>
      <c r="L55" s="35"/>
      <c r="M55" s="35"/>
      <c r="O55" s="35"/>
      <c r="P55" s="35"/>
      <c r="Q55" s="35"/>
      <c r="R55" s="35"/>
      <c r="S55" s="35"/>
      <c r="T55" s="35"/>
      <c r="U55" s="35"/>
      <c r="V55" s="35"/>
      <c r="W55" s="89"/>
    </row>
    <row r="56" spans="1:25" ht="15" customHeight="1" x14ac:dyDescent="0.25">
      <c r="A56" s="48" t="s">
        <v>154</v>
      </c>
      <c r="B56" s="48"/>
      <c r="C56" s="48"/>
      <c r="D56" s="48"/>
      <c r="E56" s="48"/>
      <c r="F56" s="48"/>
      <c r="G56" s="84"/>
      <c r="H56" s="48"/>
      <c r="I56" s="85"/>
      <c r="J56" s="85"/>
      <c r="K56" s="85"/>
      <c r="L56" s="35"/>
      <c r="M56" s="35"/>
      <c r="O56" s="35"/>
      <c r="P56" s="35"/>
      <c r="Q56" s="35"/>
      <c r="R56" s="35"/>
      <c r="S56" s="35"/>
      <c r="T56" s="35"/>
      <c r="U56" s="35"/>
      <c r="V56" s="35"/>
      <c r="W56" s="89"/>
    </row>
    <row r="57" spans="1:25" ht="15" customHeight="1" x14ac:dyDescent="0.25">
      <c r="A57" s="48"/>
      <c r="B57" s="48"/>
      <c r="C57" s="48"/>
      <c r="D57" s="48"/>
      <c r="E57" s="48"/>
      <c r="F57" s="48"/>
      <c r="G57" s="84"/>
      <c r="H57" s="48"/>
      <c r="I57" s="85"/>
      <c r="J57" s="85"/>
      <c r="K57" s="85"/>
      <c r="L57" s="35"/>
      <c r="M57" s="35"/>
      <c r="O57" s="35"/>
      <c r="P57" s="35"/>
      <c r="Q57" s="35"/>
      <c r="R57" s="35"/>
      <c r="S57" s="35"/>
      <c r="T57" s="35"/>
      <c r="U57" s="35"/>
      <c r="V57" s="35"/>
      <c r="W57" s="89"/>
    </row>
    <row r="58" spans="1:25" ht="15" customHeight="1" x14ac:dyDescent="0.25">
      <c r="A58" s="48"/>
      <c r="B58" s="48"/>
      <c r="C58" s="48"/>
      <c r="D58" s="48"/>
      <c r="E58" s="48"/>
      <c r="F58" s="48"/>
      <c r="G58" s="84"/>
      <c r="H58" s="48"/>
      <c r="I58" s="85"/>
      <c r="J58" s="85"/>
      <c r="K58" s="85"/>
      <c r="L58" s="35"/>
      <c r="M58" s="35"/>
      <c r="O58" s="35"/>
      <c r="P58" s="35"/>
      <c r="Q58" s="35"/>
      <c r="R58" s="35"/>
      <c r="S58" s="35"/>
      <c r="T58" s="35"/>
      <c r="U58" s="35"/>
      <c r="V58" s="35"/>
      <c r="W58" s="89"/>
    </row>
    <row r="59" spans="1:25" ht="15" customHeight="1" x14ac:dyDescent="0.25">
      <c r="A59" s="86"/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5"/>
      <c r="M59" s="35"/>
      <c r="O59" s="35"/>
      <c r="P59" s="35"/>
      <c r="Q59" s="35"/>
      <c r="R59" s="35"/>
      <c r="S59" s="35"/>
      <c r="T59" s="35"/>
      <c r="U59" s="35"/>
      <c r="V59" s="35"/>
      <c r="W59" s="89"/>
    </row>
    <row r="60" spans="1:25" ht="15" customHeight="1" x14ac:dyDescent="0.25">
      <c r="A60" s="86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5"/>
      <c r="M60" s="35"/>
      <c r="O60" s="35"/>
      <c r="P60" s="35"/>
      <c r="Q60" s="35"/>
      <c r="R60" s="35"/>
      <c r="S60" s="35"/>
      <c r="T60" s="35"/>
      <c r="U60" s="35"/>
      <c r="V60" s="35"/>
      <c r="W60" s="89"/>
    </row>
  </sheetData>
  <mergeCells count="5">
    <mergeCell ref="A7:F7"/>
    <mergeCell ref="G7:H7"/>
    <mergeCell ref="S9:T9"/>
    <mergeCell ref="B59:K59"/>
    <mergeCell ref="B60:K60"/>
  </mergeCells>
  <conditionalFormatting sqref="C27:D27">
    <cfRule type="containsText" dxfId="23" priority="1" operator="containsText" text="CFN50180W">
      <formula>NOT(ISERROR(SEARCH(("CFN50180W"),(C27))))</formula>
    </cfRule>
    <cfRule type="containsText" dxfId="22" priority="2" operator="containsText" text="CFN17138W">
      <formula>NOT(ISERROR(SEARCH(("CFN17138W"),(C27))))</formula>
    </cfRule>
    <cfRule type="containsText" dxfId="21" priority="3" operator="containsText" text="CFN39180W">
      <formula>NOT(ISERROR(SEARCH(("CFN39180W"),(C27))))</formula>
    </cfRule>
    <cfRule type="containsText" dxfId="20" priority="4" operator="containsText" text="CFN34150">
      <formula>NOT(ISERROR(SEARCH(("CFN34150"),(C27))))</formula>
    </cfRule>
    <cfRule type="containsText" dxfId="19" priority="5" operator="containsText" text="CFN50131">
      <formula>NOT(ISERROR(SEARCH(("CFN50131"),(C27))))</formula>
    </cfRule>
    <cfRule type="containsText" dxfId="18" priority="6" operator="containsText" text="CFN30100W">
      <formula>NOT(ISERROR(SEARCH(("CFN30100W"),(C27))))</formula>
    </cfRule>
  </conditionalFormatting>
  <pageMargins left="0" right="0" top="1" bottom="1" header="0.511811023622047" footer="0.511811023622047"/>
  <pageSetup scale="46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xr:uid="{C70F3550-08F8-4BEF-94F9-5199479FA077}">
          <x14:formula1>
            <xm:f>CODE_MASTER_AS!$A$3:$A$14</xm:f>
          </x14:formula1>
          <xm:sqref>G50:H50 C28:C49 C51:C52 D17:D52 C17:C26</xm:sqref>
        </x14:dataValidation>
        <x14:dataValidation type="list" allowBlank="1" xr:uid="{A32D3204-8EC6-4A3A-9679-261FC5544352}">
          <x14:formula1>
            <xm:f>LISTS!$B$2:$B$8</xm:f>
          </x14:formula1>
          <x14:formula2>
            <xm:f>0</xm:f>
          </x14:formula2>
          <xm:sqref>I17:I52</xm:sqref>
        </x14:dataValidation>
        <x14:dataValidation type="list" allowBlank="1" xr:uid="{5FBC2377-167D-4FC1-8B49-0595E22A4CA9}">
          <x14:formula1>
            <xm:f>'SIZE GUIDE'!$A$3:$A$38</xm:f>
          </x14:formula1>
          <xm:sqref>F17:F52</xm:sqref>
        </x14:dataValidation>
        <x14:dataValidation type="list" allowBlank="1" showInputMessage="1" showErrorMessage="1" xr:uid="{45ED92EC-6FB7-4D40-9A7E-D1D775954602}">
          <x14:formula1>
            <xm:f>'SIZE GUIDE'!$B:$B</xm:f>
          </x14:formula1>
          <xm:sqref>H50 G17:G52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D2127-93DA-438C-922E-273F8DCE387F}">
  <sheetPr codeName="Sheet14">
    <pageSetUpPr fitToPage="1"/>
  </sheetPr>
  <dimension ref="A1:AH56"/>
  <sheetViews>
    <sheetView showGridLines="0" view="pageBreakPreview" topLeftCell="G15" zoomScale="80" zoomScaleNormal="68" zoomScaleSheetLayoutView="80" workbookViewId="0">
      <selection activeCell="N29" sqref="N29:N30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25" style="16" hidden="1" customWidth="1"/>
    <col min="5" max="5" width="16.83203125" style="16" customWidth="1"/>
    <col min="6" max="6" width="15.33203125" style="16" customWidth="1"/>
    <col min="7" max="7" width="23.5" style="16" bestFit="1" customWidth="1"/>
    <col min="8" max="9" width="10.6640625" style="16" customWidth="1"/>
    <col min="10" max="10" width="10.6640625" style="15" customWidth="1"/>
    <col min="11" max="11" width="10.6640625" style="16" customWidth="1"/>
    <col min="12" max="12" width="10.6640625" style="269" customWidth="1"/>
    <col min="13" max="19" width="10.6640625" style="16" customWidth="1"/>
    <col min="20" max="20" width="14.6640625" style="16" customWidth="1"/>
    <col min="21" max="21" width="14.1640625" style="16" customWidth="1"/>
    <col min="22" max="22" width="14.5" style="98" customWidth="1"/>
    <col min="23" max="23" width="28.1640625" style="16" customWidth="1"/>
    <col min="24" max="24" width="20.33203125" style="23" customWidth="1"/>
    <col min="25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45"/>
      <c r="K1" s="29"/>
      <c r="L1" s="261"/>
      <c r="M1" s="29" t="s">
        <v>204</v>
      </c>
      <c r="N1" s="27"/>
      <c r="O1" s="27"/>
      <c r="P1" s="27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246"/>
      <c r="K2" s="31"/>
      <c r="L2" s="261"/>
      <c r="M2" s="32" t="s">
        <v>161</v>
      </c>
      <c r="N2" s="27"/>
      <c r="O2" s="27"/>
      <c r="P2" s="28" t="s">
        <v>160</v>
      </c>
      <c r="R2" s="20"/>
      <c r="S2" s="21"/>
      <c r="U2" s="13"/>
      <c r="V2" s="20"/>
      <c r="W2" s="20"/>
      <c r="X2" s="20" t="s">
        <v>151</v>
      </c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247"/>
      <c r="K3" s="37"/>
      <c r="L3" s="262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247"/>
      <c r="K4" s="37"/>
      <c r="L4" s="262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247"/>
      <c r="K5" s="37"/>
      <c r="L5" s="262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247"/>
      <c r="K6" s="37"/>
      <c r="L6" s="262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5" t="s">
        <v>143</v>
      </c>
      <c r="B7" s="315"/>
      <c r="C7" s="315"/>
      <c r="D7" s="315"/>
      <c r="E7" s="315"/>
      <c r="F7" s="316"/>
      <c r="G7" s="316"/>
      <c r="H7" s="35"/>
      <c r="I7" s="35"/>
      <c r="J7" s="247"/>
      <c r="K7" s="37"/>
      <c r="L7" s="262"/>
      <c r="M7" s="37"/>
      <c r="N7" s="38"/>
      <c r="O7" s="38"/>
      <c r="P7" s="38"/>
      <c r="Q7" s="231" t="s">
        <v>147</v>
      </c>
      <c r="R7" s="231"/>
      <c r="S7" s="231"/>
      <c r="T7" s="231"/>
      <c r="U7" s="231"/>
      <c r="V7" s="231" t="s">
        <v>148</v>
      </c>
      <c r="W7" s="231"/>
      <c r="X7" s="231"/>
    </row>
    <row r="8" spans="1:24" ht="15" customHeight="1" x14ac:dyDescent="0.25">
      <c r="A8" s="44" t="s">
        <v>212</v>
      </c>
      <c r="B8" s="45"/>
      <c r="C8" s="45"/>
      <c r="D8" s="46"/>
      <c r="E8" s="46"/>
      <c r="F8" s="36"/>
      <c r="G8" s="46"/>
      <c r="H8" s="35"/>
      <c r="I8" s="35"/>
      <c r="J8" s="247"/>
      <c r="K8" s="37"/>
      <c r="L8" s="262"/>
      <c r="M8" s="37"/>
      <c r="N8" s="38"/>
      <c r="O8" s="38"/>
      <c r="P8" s="38"/>
      <c r="Q8" s="190" t="s">
        <v>270</v>
      </c>
      <c r="R8" s="191"/>
      <c r="S8" s="192"/>
      <c r="T8" s="193"/>
      <c r="U8" s="194"/>
      <c r="V8" s="195">
        <v>46197</v>
      </c>
      <c r="W8" s="232"/>
      <c r="X8" s="233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247"/>
      <c r="K9" s="37"/>
      <c r="L9" s="262"/>
      <c r="M9" s="37"/>
      <c r="N9" s="38"/>
      <c r="O9" s="38"/>
      <c r="P9" s="38"/>
      <c r="Q9" s="225"/>
      <c r="R9" s="317"/>
      <c r="S9" s="317"/>
      <c r="T9" s="228"/>
      <c r="U9" s="234"/>
      <c r="V9" s="235"/>
      <c r="W9" s="232"/>
      <c r="X9" s="233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247"/>
      <c r="K10" s="37"/>
      <c r="L10" s="262"/>
      <c r="M10" s="37"/>
      <c r="N10" s="38"/>
      <c r="O10" s="38"/>
      <c r="P10" s="38"/>
      <c r="Q10" s="236" t="s">
        <v>149</v>
      </c>
      <c r="R10" s="231"/>
      <c r="S10" s="231"/>
      <c r="T10" s="231"/>
      <c r="U10" s="231"/>
      <c r="V10" s="231" t="s">
        <v>150</v>
      </c>
      <c r="W10" s="231"/>
      <c r="X10" s="231"/>
    </row>
    <row r="11" spans="1:24" ht="15" customHeight="1" x14ac:dyDescent="0.25">
      <c r="A11" s="188" t="s">
        <v>233</v>
      </c>
      <c r="B11" s="34"/>
      <c r="C11" s="35"/>
      <c r="D11" s="35"/>
      <c r="E11" s="46"/>
      <c r="F11" s="46"/>
      <c r="G11" s="46"/>
      <c r="H11" s="35"/>
      <c r="I11" s="35"/>
      <c r="J11" s="247"/>
      <c r="K11" s="37"/>
      <c r="L11" s="262"/>
      <c r="M11" s="37"/>
      <c r="N11" s="38"/>
      <c r="O11" s="38"/>
      <c r="P11" s="38"/>
      <c r="Q11" s="190" t="s">
        <v>269</v>
      </c>
      <c r="R11" s="190"/>
      <c r="S11" s="190"/>
      <c r="T11" s="193"/>
      <c r="U11" s="194"/>
      <c r="V11" s="190"/>
      <c r="W11" s="232"/>
      <c r="X11" s="233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247"/>
      <c r="K12" s="37"/>
      <c r="L12" s="262"/>
      <c r="M12" s="37"/>
      <c r="N12" s="38"/>
      <c r="O12" s="38"/>
      <c r="P12" s="38"/>
      <c r="Q12" s="190"/>
      <c r="R12" s="190"/>
      <c r="S12" s="190"/>
      <c r="T12" s="190"/>
      <c r="U12" s="194"/>
      <c r="V12" s="237"/>
      <c r="W12" s="232"/>
      <c r="X12" s="233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4"/>
      <c r="K13" s="50"/>
      <c r="L13" s="263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210" customFormat="1" ht="39.75" customHeight="1" x14ac:dyDescent="0.2">
      <c r="A14" s="212" t="s">
        <v>158</v>
      </c>
      <c r="B14" s="212" t="s">
        <v>0</v>
      </c>
      <c r="C14" s="212" t="s">
        <v>1</v>
      </c>
      <c r="D14" s="213" t="s">
        <v>135</v>
      </c>
      <c r="E14" s="213" t="s">
        <v>157</v>
      </c>
      <c r="F14" s="213" t="s">
        <v>3</v>
      </c>
      <c r="G14" s="213" t="s">
        <v>152</v>
      </c>
      <c r="H14" s="213" t="s">
        <v>105</v>
      </c>
      <c r="I14" s="213" t="s">
        <v>5</v>
      </c>
      <c r="J14" s="248" t="s">
        <v>64</v>
      </c>
      <c r="K14" s="216" t="s">
        <v>136</v>
      </c>
      <c r="L14" s="264" t="s">
        <v>24</v>
      </c>
      <c r="M14" s="216" t="s">
        <v>108</v>
      </c>
      <c r="N14" s="217" t="s">
        <v>136</v>
      </c>
      <c r="O14" s="217" t="s">
        <v>24</v>
      </c>
      <c r="P14" s="259" t="s">
        <v>108</v>
      </c>
      <c r="Q14" s="213" t="s">
        <v>136</v>
      </c>
      <c r="R14" s="213" t="s">
        <v>24</v>
      </c>
      <c r="S14" s="213" t="s">
        <v>108</v>
      </c>
      <c r="T14" s="218" t="s">
        <v>159</v>
      </c>
      <c r="U14" s="219" t="s">
        <v>6</v>
      </c>
      <c r="V14" s="220" t="s">
        <v>7</v>
      </c>
      <c r="W14" s="220" t="s">
        <v>140</v>
      </c>
      <c r="X14" s="220" t="s">
        <v>141</v>
      </c>
    </row>
    <row r="15" spans="1:24" s="210" customFormat="1" ht="31.5" customHeight="1" x14ac:dyDescent="0.2">
      <c r="A15" s="196">
        <v>1</v>
      </c>
      <c r="B15" s="196"/>
      <c r="C15" s="196" t="s">
        <v>95</v>
      </c>
      <c r="D15" s="197"/>
      <c r="E15" s="197" t="s">
        <v>11</v>
      </c>
      <c r="F15" s="198" t="s">
        <v>123</v>
      </c>
      <c r="G15" s="199" t="str">
        <f>IF(COUNTIFS($C$15:C15,C15,$H$15:H15,H15)=1,
SUMIFS($I$15:$I$43,$C$15:$C$43,C15,$H$15:$H$43,H15)&amp;H15&amp;" "&amp;C15,
"")</f>
        <v>1CK CFN50131W</v>
      </c>
      <c r="H15" s="197" t="s">
        <v>20</v>
      </c>
      <c r="I15" s="200">
        <v>1</v>
      </c>
      <c r="J15" s="249"/>
      <c r="K15" s="201" cm="1">
        <f t="array" ref="K15">IF(E15="untrim",_xlfn.XLOOKUP(1,(TRIM('SIZE GUIDE'!$A$3:$A$2015)=TRIM(E15))*(TRIM('SIZE GUIDE'!$B$3:$B$2015)=TRIM(F15))*(TRIM('SIZE GUIDE'!$C$3:$C$2015)=TRIM(H15)),'SIZE GUIDE'!$D$3:$D$2015),"")</f>
        <v>86</v>
      </c>
      <c r="L15" s="265" cm="1">
        <f t="array" ref="L15">IF(E15="untrim",IFERROR(INDEX('SIZE GUIDE'!$E:$E,MATCH(1,('SIZE GUIDE'!$A:$A=$E15)*('SIZE GUIDE'!$B:$B=$F15)*('SIZE GUIDE'!$C:$C=$H15),0)),""),"")</f>
        <v>76</v>
      </c>
      <c r="M15" s="202">
        <v>35</v>
      </c>
      <c r="N15" s="203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203" t="str" cm="1">
        <f t="array" ref="O15">IF(E15="trim",IFERROR(INDEX('SIZE GUIDE'!$E:$E,MATCH(1,('SIZE GUIDE'!$A:$A=$E15)*('SIZE GUIDE'!$B:$B=$F15)*('SIZE GUIDE'!$C:$C=$H15),0)),""),"")</f>
        <v/>
      </c>
      <c r="P15" s="203"/>
      <c r="Q15" s="204">
        <v>84.5</v>
      </c>
      <c r="R15" s="198">
        <v>73.5</v>
      </c>
      <c r="S15" s="198">
        <f>IF(E15="untrim",M15-0.5,P15-0.5)</f>
        <v>34.5</v>
      </c>
      <c r="T15" s="205">
        <f>IFERROR(Q15*R15*S15/144*I15,"")</f>
        <v>1487.9921875</v>
      </c>
      <c r="U15" s="206">
        <f>SUMIFS(CODE_PRICE!F:F,CODE_PRICE!B:B,C15,CODE_PRICE!A:A,$A$8)</f>
        <v>0.2316</v>
      </c>
      <c r="V15" s="207">
        <f t="shared" ref="V15:V31" si="0">T15*U15</f>
        <v>344.61899062499998</v>
      </c>
      <c r="W15" s="208" t="str">
        <f>IF(COUNTIF($C$15:C15,C15)=1,C15 &amp; " - " &amp; TEXT(SUMIF($C:$C,C15,$T:$T),"0.00"),"")</f>
        <v>CFN50131W - 26219.28</v>
      </c>
      <c r="X15" s="209">
        <f>IF(COUNTIF($C$15:C15,C15)=1,ROUND(SUMIF($C:$C,C15,$V:$V),2), "")</f>
        <v>6072.39</v>
      </c>
    </row>
    <row r="16" spans="1:24" s="210" customFormat="1" ht="31.5" customHeight="1" x14ac:dyDescent="0.2">
      <c r="A16" s="196">
        <f>A15+1</f>
        <v>2</v>
      </c>
      <c r="B16" s="196"/>
      <c r="C16" s="196" t="s">
        <v>95</v>
      </c>
      <c r="D16" s="197"/>
      <c r="E16" s="197" t="s">
        <v>11</v>
      </c>
      <c r="F16" s="198" t="s">
        <v>123</v>
      </c>
      <c r="G16" s="199" t="str">
        <f>IF(COUNTIFS($C$15:C16,C16,$H$15:H16,H16)=1,
SUMIFS($I$15:$I$43,$C$15:$C$43,C16,$H$15:$H$43,H16)&amp;H16&amp;" "&amp;C16,
"")</f>
        <v>10K CFN50131W</v>
      </c>
      <c r="H16" s="197" t="s">
        <v>18</v>
      </c>
      <c r="I16" s="200">
        <v>1</v>
      </c>
      <c r="J16" s="249"/>
      <c r="K16" s="201" cm="1">
        <f t="array" ref="K16">IF(E16="untrim",_xlfn.XLOOKUP(1,(TRIM('SIZE GUIDE'!$A$3:$A$2015)=TRIM(E16))*(TRIM('SIZE GUIDE'!$B$3:$B$2015)=TRIM(F16))*(TRIM('SIZE GUIDE'!$C$3:$C$2015)=TRIM(H16)),'SIZE GUIDE'!$D$3:$D$2015),"")</f>
        <v>81</v>
      </c>
      <c r="L16" s="265" cm="1">
        <f t="array" ref="L16">IF(E16="untrim",IFERROR(INDEX('SIZE GUIDE'!$E:$E,MATCH(1,('SIZE GUIDE'!$A:$A=$E16)*('SIZE GUIDE'!$B:$B=$F16)*('SIZE GUIDE'!$C:$C=$H16),0)),""),"")</f>
        <v>77</v>
      </c>
      <c r="M16" s="202">
        <v>41.5</v>
      </c>
      <c r="N16" s="203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203" t="str" cm="1">
        <f t="array" ref="O16">IF(E16="trim",IFERROR(INDEX('SIZE GUIDE'!$E:$E,MATCH(1,('SIZE GUIDE'!$A:$A=$E16)*('SIZE GUIDE'!$B:$B=$F16)*('SIZE GUIDE'!$C:$C=$H16),0)),""),"")</f>
        <v/>
      </c>
      <c r="P16" s="203"/>
      <c r="Q16" s="204">
        <f t="shared" ref="Q16:Q31" si="1">IF(E16="untrim",K16-1.5,N16)</f>
        <v>79.5</v>
      </c>
      <c r="R16" s="198">
        <f t="shared" ref="R16:R31" si="2">IF(E16="untrim",L16-1.5,O16)</f>
        <v>75.5</v>
      </c>
      <c r="S16" s="198">
        <f t="shared" ref="S16:S31" si="3">IF(E16="untrim",M16-0.5,P16-0.5)</f>
        <v>41</v>
      </c>
      <c r="T16" s="205">
        <f t="shared" ref="T16:T31" si="4">IFERROR(Q16*R16*S16/144*I16,"")</f>
        <v>1708.9739583333333</v>
      </c>
      <c r="U16" s="206">
        <f>SUMIFS(CODE_PRICE!F:F,CODE_PRICE!B:B,C16,CODE_PRICE!A:A,$A$8)</f>
        <v>0.2316</v>
      </c>
      <c r="V16" s="207">
        <f t="shared" si="0"/>
        <v>395.79836875000001</v>
      </c>
      <c r="W16" s="208" t="str">
        <f>IF(COUNTIF($C$15:C16,C16)=1,C16 &amp; " - " &amp; TEXT(SUMIF($C:$C,C16,$T:$T),"0.00"),"")</f>
        <v/>
      </c>
      <c r="X16" s="209" t="str">
        <f>IF(COUNTIF($C$15:C16,C16)=1,ROUND(SUMIF($C:$C,C16,$V:$V),2), "")</f>
        <v/>
      </c>
    </row>
    <row r="17" spans="1:34" s="210" customFormat="1" ht="31.5" customHeight="1" x14ac:dyDescent="0.2">
      <c r="A17" s="196">
        <f t="shared" ref="A17:A31" si="5">A16+1</f>
        <v>3</v>
      </c>
      <c r="B17" s="196"/>
      <c r="C17" s="196" t="s">
        <v>95</v>
      </c>
      <c r="D17" s="197"/>
      <c r="E17" s="197" t="s">
        <v>11</v>
      </c>
      <c r="F17" s="198" t="s">
        <v>123</v>
      </c>
      <c r="G17" s="199" t="str">
        <f>IF(COUNTIFS($C$15:C17,C17,$H$15:H17,H17)=1,
SUMIFS($I$15:$I$43,$C$15:$C$43,C17,$H$15:$H$43,H17)&amp;H17&amp;" "&amp;C17,
"")</f>
        <v/>
      </c>
      <c r="H17" s="197" t="s">
        <v>18</v>
      </c>
      <c r="I17" s="200">
        <v>1</v>
      </c>
      <c r="J17" s="249"/>
      <c r="K17" s="201" cm="1">
        <f t="array" ref="K17">IF(E17="untrim",_xlfn.XLOOKUP(1,(TRIM('SIZE GUIDE'!$A$3:$A$2015)=TRIM(E17))*(TRIM('SIZE GUIDE'!$B$3:$B$2015)=TRIM(F17))*(TRIM('SIZE GUIDE'!$C$3:$C$2015)=TRIM(H17)),'SIZE GUIDE'!$D$3:$D$2015),"")</f>
        <v>81</v>
      </c>
      <c r="L17" s="265" cm="1">
        <f t="array" ref="L17">IF(E17="untrim",IFERROR(INDEX('SIZE GUIDE'!$E:$E,MATCH(1,('SIZE GUIDE'!$A:$A=$E17)*('SIZE GUIDE'!$B:$B=$F17)*('SIZE GUIDE'!$C:$C=$H17),0)),""),"")</f>
        <v>77</v>
      </c>
      <c r="M17" s="202">
        <v>41.5</v>
      </c>
      <c r="N17" s="203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203" t="str" cm="1">
        <f t="array" ref="O17">IF(E17="trim",IFERROR(INDEX('SIZE GUIDE'!$E:$E,MATCH(1,('SIZE GUIDE'!$A:$A=$E17)*('SIZE GUIDE'!$B:$B=$F17)*('SIZE GUIDE'!$C:$C=$H17),0)),""),"")</f>
        <v/>
      </c>
      <c r="P17" s="203"/>
      <c r="Q17" s="204">
        <f t="shared" si="1"/>
        <v>79.5</v>
      </c>
      <c r="R17" s="198">
        <f t="shared" si="2"/>
        <v>75.5</v>
      </c>
      <c r="S17" s="198">
        <f t="shared" si="3"/>
        <v>41</v>
      </c>
      <c r="T17" s="205">
        <f t="shared" si="4"/>
        <v>1708.9739583333333</v>
      </c>
      <c r="U17" s="206">
        <f>SUMIFS(CODE_PRICE!F:F,CODE_PRICE!B:B,C17,CODE_PRICE!A:A,$A$8)</f>
        <v>0.2316</v>
      </c>
      <c r="V17" s="207">
        <f t="shared" si="0"/>
        <v>395.79836875000001</v>
      </c>
      <c r="W17" s="208" t="str">
        <f>IF(COUNTIF($C$15:C17,C17)=1,C17 &amp; " - " &amp; TEXT(SUMIF($C:$C,C17,$T:$T),"0.00"),"")</f>
        <v/>
      </c>
      <c r="X17" s="209" t="str">
        <f>IF(COUNTIF($C$15:C17,C17)=1,ROUND(SUMIF($C:$C,C17,$V:$V),2), "")</f>
        <v/>
      </c>
    </row>
    <row r="18" spans="1:34" s="210" customFormat="1" ht="31.5" customHeight="1" x14ac:dyDescent="0.2">
      <c r="A18" s="196">
        <f t="shared" si="5"/>
        <v>4</v>
      </c>
      <c r="B18" s="196"/>
      <c r="C18" s="196" t="s">
        <v>95</v>
      </c>
      <c r="D18" s="197"/>
      <c r="E18" s="197" t="s">
        <v>11</v>
      </c>
      <c r="F18" s="198" t="s">
        <v>123</v>
      </c>
      <c r="G18" s="199" t="str">
        <f>IF(COUNTIFS($C$15:C18,C18,$H$15:H18,H18)=1,
SUMIFS($I$15:$I$43,$C$15:$C$43,C18,$H$15:$H$43,H18)&amp;H18&amp;" "&amp;C18,
"")</f>
        <v/>
      </c>
      <c r="H18" s="197" t="s">
        <v>18</v>
      </c>
      <c r="I18" s="200">
        <v>1</v>
      </c>
      <c r="J18" s="249"/>
      <c r="K18" s="201" cm="1">
        <f t="array" ref="K18">IF(E18="untrim",_xlfn.XLOOKUP(1,(TRIM('SIZE GUIDE'!$A$3:$A$2015)=TRIM(E18))*(TRIM('SIZE GUIDE'!$B$3:$B$2015)=TRIM(F18))*(TRIM('SIZE GUIDE'!$C$3:$C$2015)=TRIM(H18)),'SIZE GUIDE'!$D$3:$D$2015),"")</f>
        <v>81</v>
      </c>
      <c r="L18" s="265" cm="1">
        <f t="array" ref="L18">IF(E18="untrim",IFERROR(INDEX('SIZE GUIDE'!$E:$E,MATCH(1,('SIZE GUIDE'!$A:$A=$E18)*('SIZE GUIDE'!$B:$B=$F18)*('SIZE GUIDE'!$C:$C=$H18),0)),""),"")</f>
        <v>77</v>
      </c>
      <c r="M18" s="202">
        <v>41.5</v>
      </c>
      <c r="N18" s="203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203" t="str" cm="1">
        <f t="array" ref="O18">IF(E18="trim",IFERROR(INDEX('SIZE GUIDE'!$E:$E,MATCH(1,('SIZE GUIDE'!$A:$A=$E18)*('SIZE GUIDE'!$B:$B=$F18)*('SIZE GUIDE'!$C:$C=$H18),0)),""),"")</f>
        <v/>
      </c>
      <c r="P18" s="203"/>
      <c r="Q18" s="204">
        <f t="shared" si="1"/>
        <v>79.5</v>
      </c>
      <c r="R18" s="198">
        <f t="shared" si="2"/>
        <v>75.5</v>
      </c>
      <c r="S18" s="198">
        <f t="shared" si="3"/>
        <v>41</v>
      </c>
      <c r="T18" s="205">
        <f t="shared" si="4"/>
        <v>1708.9739583333333</v>
      </c>
      <c r="U18" s="206">
        <f>SUMIFS(CODE_PRICE!F:F,CODE_PRICE!B:B,C18,CODE_PRICE!A:A,$A$8)</f>
        <v>0.2316</v>
      </c>
      <c r="V18" s="207">
        <f t="shared" si="0"/>
        <v>395.79836875000001</v>
      </c>
      <c r="W18" s="208" t="str">
        <f>IF(COUNTIF($C$15:C18,C18)=1,C18 &amp; " - " &amp; TEXT(SUMIF($C:$C,C18,$T:$T),"0.00"),"")</f>
        <v/>
      </c>
      <c r="X18" s="209" t="str">
        <f>IF(COUNTIF($C$15:C18,C18)=1,ROUND(SUMIF($C:$C,C18,$V:$V),2), "")</f>
        <v/>
      </c>
      <c r="AH18" s="211"/>
    </row>
    <row r="19" spans="1:34" s="210" customFormat="1" ht="31.5" customHeight="1" x14ac:dyDescent="0.2">
      <c r="A19" s="196">
        <f t="shared" si="5"/>
        <v>5</v>
      </c>
      <c r="B19" s="196"/>
      <c r="C19" s="196" t="s">
        <v>95</v>
      </c>
      <c r="D19" s="197"/>
      <c r="E19" s="197" t="s">
        <v>11</v>
      </c>
      <c r="F19" s="198" t="s">
        <v>123</v>
      </c>
      <c r="G19" s="199" t="str">
        <f>IF(COUNTIFS($C$15:C19,C19,$H$15:H19,H19)=1,
SUMIFS($I$15:$I$43,$C$15:$C$43,C19,$H$15:$H$43,H19)&amp;H19&amp;" "&amp;C19,
"")</f>
        <v/>
      </c>
      <c r="H19" s="197" t="s">
        <v>18</v>
      </c>
      <c r="I19" s="200">
        <v>1</v>
      </c>
      <c r="J19" s="249"/>
      <c r="K19" s="201" cm="1">
        <f t="array" ref="K19">IF(E19="untrim",_xlfn.XLOOKUP(1,(TRIM('SIZE GUIDE'!$A$3:$A$2015)=TRIM(E19))*(TRIM('SIZE GUIDE'!$B$3:$B$2015)=TRIM(F19))*(TRIM('SIZE GUIDE'!$C$3:$C$2015)=TRIM(H19)),'SIZE GUIDE'!$D$3:$D$2015),"")</f>
        <v>81</v>
      </c>
      <c r="L19" s="265" cm="1">
        <f t="array" ref="L19">IF(E19="untrim",IFERROR(INDEX('SIZE GUIDE'!$E:$E,MATCH(1,('SIZE GUIDE'!$A:$A=$E19)*('SIZE GUIDE'!$B:$B=$F19)*('SIZE GUIDE'!$C:$C=$H19),0)),""),"")</f>
        <v>77</v>
      </c>
      <c r="M19" s="202">
        <v>41.5</v>
      </c>
      <c r="N19" s="203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203" t="str" cm="1">
        <f t="array" ref="O19">IF(E19="trim",IFERROR(INDEX('SIZE GUIDE'!$E:$E,MATCH(1,('SIZE GUIDE'!$A:$A=$E19)*('SIZE GUIDE'!$B:$B=$F19)*('SIZE GUIDE'!$C:$C=$H19),0)),""),"")</f>
        <v/>
      </c>
      <c r="P19" s="203"/>
      <c r="Q19" s="204">
        <f t="shared" si="1"/>
        <v>79.5</v>
      </c>
      <c r="R19" s="198">
        <f t="shared" si="2"/>
        <v>75.5</v>
      </c>
      <c r="S19" s="198">
        <f t="shared" si="3"/>
        <v>41</v>
      </c>
      <c r="T19" s="205">
        <f t="shared" si="4"/>
        <v>1708.9739583333333</v>
      </c>
      <c r="U19" s="206">
        <f>SUMIFS(CODE_PRICE!F:F,CODE_PRICE!B:B,C19,CODE_PRICE!A:A,$A$8)</f>
        <v>0.2316</v>
      </c>
      <c r="V19" s="207">
        <f t="shared" si="0"/>
        <v>395.79836875000001</v>
      </c>
      <c r="W19" s="208" t="str">
        <f>IF(COUNTIF($C$15:C19,C19)=1,C19 &amp; " - " &amp; TEXT(SUMIF($C:$C,C19,$T:$T),"0.00"),"")</f>
        <v/>
      </c>
      <c r="X19" s="209" t="str">
        <f>IF(COUNTIF($C$15:C19,C19)=1,ROUND(SUMIF($C:$C,C19,$V:$V),2), "")</f>
        <v/>
      </c>
    </row>
    <row r="20" spans="1:34" s="210" customFormat="1" ht="31.5" customHeight="1" x14ac:dyDescent="0.2">
      <c r="A20" s="196">
        <f t="shared" si="5"/>
        <v>6</v>
      </c>
      <c r="B20" s="196"/>
      <c r="C20" s="196" t="s">
        <v>95</v>
      </c>
      <c r="D20" s="197"/>
      <c r="E20" s="197" t="s">
        <v>11</v>
      </c>
      <c r="F20" s="198" t="s">
        <v>123</v>
      </c>
      <c r="G20" s="199" t="str">
        <f>IF(COUNTIFS($C$15:C20,C20,$H$15:H20,H20)=1,
SUMIFS($I$15:$I$43,$C$15:$C$43,C20,$H$15:$H$43,H20)&amp;H20&amp;" "&amp;C20,
"")</f>
        <v/>
      </c>
      <c r="H20" s="197" t="s">
        <v>18</v>
      </c>
      <c r="I20" s="200">
        <v>1</v>
      </c>
      <c r="J20" s="249"/>
      <c r="K20" s="201" cm="1">
        <f t="array" ref="K20">IF(E20="untrim",_xlfn.XLOOKUP(1,(TRIM('SIZE GUIDE'!$A$3:$A$2015)=TRIM(E20))*(TRIM('SIZE GUIDE'!$B$3:$B$2015)=TRIM(F20))*(TRIM('SIZE GUIDE'!$C$3:$C$2015)=TRIM(H20)),'SIZE GUIDE'!$D$3:$D$2015),"")</f>
        <v>81</v>
      </c>
      <c r="L20" s="265" cm="1">
        <f t="array" ref="L20">IF(E20="untrim",IFERROR(INDEX('SIZE GUIDE'!$E:$E,MATCH(1,('SIZE GUIDE'!$A:$A=$E20)*('SIZE GUIDE'!$B:$B=$F20)*('SIZE GUIDE'!$C:$C=$H20),0)),""),"")</f>
        <v>77</v>
      </c>
      <c r="M20" s="202">
        <v>41.5</v>
      </c>
      <c r="N20" s="203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203" t="str" cm="1">
        <f t="array" ref="O20">IF(E20="trim",IFERROR(INDEX('SIZE GUIDE'!$E:$E,MATCH(1,('SIZE GUIDE'!$A:$A=$E20)*('SIZE GUIDE'!$B:$B=$F20)*('SIZE GUIDE'!$C:$C=$H20),0)),""),"")</f>
        <v/>
      </c>
      <c r="P20" s="203"/>
      <c r="Q20" s="204">
        <f t="shared" si="1"/>
        <v>79.5</v>
      </c>
      <c r="R20" s="198">
        <f t="shared" si="2"/>
        <v>75.5</v>
      </c>
      <c r="S20" s="198">
        <f t="shared" si="3"/>
        <v>41</v>
      </c>
      <c r="T20" s="205">
        <f t="shared" si="4"/>
        <v>1708.9739583333333</v>
      </c>
      <c r="U20" s="206">
        <f>SUMIFS(CODE_PRICE!F:F,CODE_PRICE!B:B,C20,CODE_PRICE!A:A,$A$8)</f>
        <v>0.2316</v>
      </c>
      <c r="V20" s="207">
        <f t="shared" si="0"/>
        <v>395.79836875000001</v>
      </c>
      <c r="W20" s="208" t="str">
        <f>IF(COUNTIF($C$15:C20,C20)=1,C20 &amp; " - " &amp; TEXT(SUMIF($C:$C,C20,$T:$T),"0.00"),"")</f>
        <v/>
      </c>
      <c r="X20" s="209" t="str">
        <f>IF(COUNTIF($C$15:C20,C20)=1,ROUND(SUMIF($C:$C,C20,$V:$V),2), "")</f>
        <v/>
      </c>
    </row>
    <row r="21" spans="1:34" s="210" customFormat="1" ht="31.5" customHeight="1" x14ac:dyDescent="0.2">
      <c r="A21" s="196">
        <f t="shared" si="5"/>
        <v>7</v>
      </c>
      <c r="B21" s="196"/>
      <c r="C21" s="196" t="s">
        <v>95</v>
      </c>
      <c r="D21" s="197"/>
      <c r="E21" s="197" t="s">
        <v>11</v>
      </c>
      <c r="F21" s="198" t="s">
        <v>123</v>
      </c>
      <c r="G21" s="199" t="str">
        <f>IF(COUNTIFS($C$15:C21,C21,$H$15:H21,H21)=1,
SUMIFS($I$15:$I$43,$C$15:$C$43,C21,$H$15:$H$43,H21)&amp;H21&amp;" "&amp;C21,
"")</f>
        <v/>
      </c>
      <c r="H21" s="197" t="s">
        <v>18</v>
      </c>
      <c r="I21" s="200">
        <v>1</v>
      </c>
      <c r="J21" s="249"/>
      <c r="K21" s="201" cm="1">
        <f t="array" ref="K21">IF(E21="untrim",_xlfn.XLOOKUP(1,(TRIM('SIZE GUIDE'!$A$3:$A$2015)=TRIM(E21))*(TRIM('SIZE GUIDE'!$B$3:$B$2015)=TRIM(F21))*(TRIM('SIZE GUIDE'!$C$3:$C$2015)=TRIM(H21)),'SIZE GUIDE'!$D$3:$D$2015),"")</f>
        <v>81</v>
      </c>
      <c r="L21" s="265" cm="1">
        <f t="array" ref="L21">IF(E21="untrim",IFERROR(INDEX('SIZE GUIDE'!$E:$E,MATCH(1,('SIZE GUIDE'!$A:$A=$E21)*('SIZE GUIDE'!$B:$B=$F21)*('SIZE GUIDE'!$C:$C=$H21),0)),""),"")</f>
        <v>77</v>
      </c>
      <c r="M21" s="202">
        <v>41.5</v>
      </c>
      <c r="N21" s="203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203" t="str" cm="1">
        <f t="array" ref="O21">IF(E21="trim",IFERROR(INDEX('SIZE GUIDE'!$E:$E,MATCH(1,('SIZE GUIDE'!$A:$A=$E21)*('SIZE GUIDE'!$B:$B=$F21)*('SIZE GUIDE'!$C:$C=$H21),0)),""),"")</f>
        <v/>
      </c>
      <c r="P21" s="203"/>
      <c r="Q21" s="204">
        <f t="shared" si="1"/>
        <v>79.5</v>
      </c>
      <c r="R21" s="198">
        <f t="shared" si="2"/>
        <v>75.5</v>
      </c>
      <c r="S21" s="198">
        <f t="shared" si="3"/>
        <v>41</v>
      </c>
      <c r="T21" s="205">
        <f t="shared" si="4"/>
        <v>1708.9739583333333</v>
      </c>
      <c r="U21" s="206">
        <f>SUMIFS(CODE_PRICE!F:F,CODE_PRICE!B:B,C21,CODE_PRICE!A:A,$A$8)</f>
        <v>0.2316</v>
      </c>
      <c r="V21" s="207">
        <f t="shared" si="0"/>
        <v>395.79836875000001</v>
      </c>
      <c r="W21" s="208" t="str">
        <f>IF(COUNTIF($C$15:C21,C21)=1,C21 &amp; " - " &amp; TEXT(SUMIF($C:$C,C21,$T:$T),"0.00"),"")</f>
        <v/>
      </c>
      <c r="X21" s="209" t="str">
        <f>IF(COUNTIF($C$15:C21,C21)=1,ROUND(SUMIF($C:$C,C21,$V:$V),2), "")</f>
        <v/>
      </c>
    </row>
    <row r="22" spans="1:34" s="210" customFormat="1" ht="31.5" customHeight="1" x14ac:dyDescent="0.2">
      <c r="A22" s="196">
        <f t="shared" si="5"/>
        <v>8</v>
      </c>
      <c r="B22" s="196"/>
      <c r="C22" s="196" t="s">
        <v>95</v>
      </c>
      <c r="D22" s="197"/>
      <c r="E22" s="197" t="s">
        <v>11</v>
      </c>
      <c r="F22" s="198" t="s">
        <v>123</v>
      </c>
      <c r="G22" s="199" t="str">
        <f>IF(COUNTIFS($C$15:C22,C22,$H$15:H22,H22)=1,
SUMIFS($I$15:$I$43,$C$15:$C$43,C22,$H$15:$H$43,H22)&amp;H22&amp;" "&amp;C22,
"")</f>
        <v/>
      </c>
      <c r="H22" s="197" t="s">
        <v>18</v>
      </c>
      <c r="I22" s="200">
        <v>1</v>
      </c>
      <c r="J22" s="249"/>
      <c r="K22" s="201" cm="1">
        <f t="array" ref="K22">IF(E22="untrim",_xlfn.XLOOKUP(1,(TRIM('SIZE GUIDE'!$A$3:$A$2015)=TRIM(E22))*(TRIM('SIZE GUIDE'!$B$3:$B$2015)=TRIM(F22))*(TRIM('SIZE GUIDE'!$C$3:$C$2015)=TRIM(H22)),'SIZE GUIDE'!$D$3:$D$2015),"")</f>
        <v>81</v>
      </c>
      <c r="L22" s="265" cm="1">
        <f t="array" ref="L22">IF(E22="untrim",IFERROR(INDEX('SIZE GUIDE'!$E:$E,MATCH(1,('SIZE GUIDE'!$A:$A=$E22)*('SIZE GUIDE'!$B:$B=$F22)*('SIZE GUIDE'!$C:$C=$H22),0)),""),"")</f>
        <v>77</v>
      </c>
      <c r="M22" s="202">
        <v>41.5</v>
      </c>
      <c r="N22" s="203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203" t="str" cm="1">
        <f t="array" ref="O22">IF(E22="trim",IFERROR(INDEX('SIZE GUIDE'!$E:$E,MATCH(1,('SIZE GUIDE'!$A:$A=$E22)*('SIZE GUIDE'!$B:$B=$F22)*('SIZE GUIDE'!$C:$C=$H22),0)),""),"")</f>
        <v/>
      </c>
      <c r="P22" s="203"/>
      <c r="Q22" s="204">
        <f t="shared" si="1"/>
        <v>79.5</v>
      </c>
      <c r="R22" s="198">
        <f t="shared" si="2"/>
        <v>75.5</v>
      </c>
      <c r="S22" s="198">
        <f t="shared" si="3"/>
        <v>41</v>
      </c>
      <c r="T22" s="205">
        <f t="shared" si="4"/>
        <v>1708.9739583333333</v>
      </c>
      <c r="U22" s="206">
        <f>SUMIFS(CODE_PRICE!F:F,CODE_PRICE!B:B,C22,CODE_PRICE!A:A,$A$8)</f>
        <v>0.2316</v>
      </c>
      <c r="V22" s="207">
        <f t="shared" si="0"/>
        <v>395.79836875000001</v>
      </c>
      <c r="W22" s="208" t="str">
        <f>IF(COUNTIF($C$15:C22,C22)=1,C22 &amp; " - " &amp; TEXT(SUMIF($C:$C,C22,$T:$T),"0.00"),"")</f>
        <v/>
      </c>
      <c r="X22" s="209" t="str">
        <f>IF(COUNTIF($C$15:C22,C22)=1,ROUND(SUMIF($C:$C,C22,$V:$V),2), "")</f>
        <v/>
      </c>
      <c r="AD22" s="210" t="s">
        <v>204</v>
      </c>
    </row>
    <row r="23" spans="1:34" s="210" customFormat="1" ht="31.5" customHeight="1" x14ac:dyDescent="0.2">
      <c r="A23" s="196">
        <f t="shared" si="5"/>
        <v>9</v>
      </c>
      <c r="B23" s="196"/>
      <c r="C23" s="196" t="s">
        <v>95</v>
      </c>
      <c r="D23" s="197"/>
      <c r="E23" s="197" t="s">
        <v>11</v>
      </c>
      <c r="F23" s="198" t="s">
        <v>123</v>
      </c>
      <c r="G23" s="199" t="str">
        <f>IF(COUNTIFS($C$15:C23,C23,$H$15:H23,H23)=1,
SUMIFS($I$15:$I$43,$C$15:$C$43,C23,$H$15:$H$43,H23)&amp;H23&amp;" "&amp;C23,
"")</f>
        <v/>
      </c>
      <c r="H23" s="197" t="s">
        <v>18</v>
      </c>
      <c r="I23" s="200">
        <v>1</v>
      </c>
      <c r="J23" s="249"/>
      <c r="K23" s="201" cm="1">
        <f t="array" ref="K23">IF(E23="untrim",_xlfn.XLOOKUP(1,(TRIM('SIZE GUIDE'!$A$3:$A$2015)=TRIM(E23))*(TRIM('SIZE GUIDE'!$B$3:$B$2015)=TRIM(F23))*(TRIM('SIZE GUIDE'!$C$3:$C$2015)=TRIM(H23)),'SIZE GUIDE'!$D$3:$D$2015),"")</f>
        <v>81</v>
      </c>
      <c r="L23" s="265" cm="1">
        <f t="array" ref="L23">IF(E23="untrim",IFERROR(INDEX('SIZE GUIDE'!$E:$E,MATCH(1,('SIZE GUIDE'!$A:$A=$E23)*('SIZE GUIDE'!$B:$B=$F23)*('SIZE GUIDE'!$C:$C=$H23),0)),""),"")</f>
        <v>77</v>
      </c>
      <c r="M23" s="202">
        <v>42</v>
      </c>
      <c r="N23" s="203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203" t="str" cm="1">
        <f t="array" ref="O23">IF(E23="trim",IFERROR(INDEX('SIZE GUIDE'!$E:$E,MATCH(1,('SIZE GUIDE'!$A:$A=$E23)*('SIZE GUIDE'!$B:$B=$F23)*('SIZE GUIDE'!$C:$C=$H23),0)),""),"")</f>
        <v/>
      </c>
      <c r="P23" s="203"/>
      <c r="Q23" s="204">
        <f t="shared" si="1"/>
        <v>79.5</v>
      </c>
      <c r="R23" s="198">
        <f t="shared" si="2"/>
        <v>75.5</v>
      </c>
      <c r="S23" s="198">
        <f t="shared" si="3"/>
        <v>41.5</v>
      </c>
      <c r="T23" s="205">
        <f t="shared" si="4"/>
        <v>1729.8151041666667</v>
      </c>
      <c r="U23" s="206">
        <f>SUMIFS(CODE_PRICE!F:F,CODE_PRICE!B:B,C23,CODE_PRICE!A:A,$A$8)</f>
        <v>0.2316</v>
      </c>
      <c r="V23" s="207">
        <f t="shared" si="0"/>
        <v>400.62517812499999</v>
      </c>
      <c r="W23" s="208" t="str">
        <f>IF(COUNTIF($C$15:C23,C23)=1,C23 &amp; " - " &amp; TEXT(SUMIF($C:$C,C23,$T:$T),"0.00"),"")</f>
        <v/>
      </c>
      <c r="X23" s="209" t="str">
        <f>IF(COUNTIF($C$15:C23,C23)=1,ROUND(SUMIF($C:$C,C23,$V:$V),2), "")</f>
        <v/>
      </c>
    </row>
    <row r="24" spans="1:34" s="210" customFormat="1" ht="31.5" customHeight="1" x14ac:dyDescent="0.2">
      <c r="A24" s="196">
        <f t="shared" si="5"/>
        <v>10</v>
      </c>
      <c r="B24" s="196"/>
      <c r="C24" s="196" t="s">
        <v>95</v>
      </c>
      <c r="D24" s="197"/>
      <c r="E24" s="197" t="s">
        <v>11</v>
      </c>
      <c r="F24" s="198" t="s">
        <v>123</v>
      </c>
      <c r="G24" s="199" t="str">
        <f>IF(COUNTIFS($C$15:C24,C24,$H$15:H24,H24)=1,
SUMIFS($I$15:$I$43,$C$15:$C$43,C24,$H$15:$H$43,H24)&amp;H24&amp;" "&amp;C24,
"")</f>
        <v/>
      </c>
      <c r="H24" s="197" t="s">
        <v>18</v>
      </c>
      <c r="I24" s="200">
        <v>1</v>
      </c>
      <c r="J24" s="249"/>
      <c r="K24" s="201" cm="1">
        <f t="array" ref="K24">IF(E24="untrim",_xlfn.XLOOKUP(1,(TRIM('SIZE GUIDE'!$A$3:$A$2015)=TRIM(E24))*(TRIM('SIZE GUIDE'!$B$3:$B$2015)=TRIM(F24))*(TRIM('SIZE GUIDE'!$C$3:$C$2015)=TRIM(H24)),'SIZE GUIDE'!$D$3:$D$2015),"")</f>
        <v>81</v>
      </c>
      <c r="L24" s="265" cm="1">
        <f t="array" ref="L24">IF(E24="untrim",IFERROR(INDEX('SIZE GUIDE'!$E:$E,MATCH(1,('SIZE GUIDE'!$A:$A=$E24)*('SIZE GUIDE'!$B:$B=$F24)*('SIZE GUIDE'!$C:$C=$H24),0)),""),"")</f>
        <v>77</v>
      </c>
      <c r="M24" s="202">
        <v>42</v>
      </c>
      <c r="N24" s="203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203" t="str" cm="1">
        <f t="array" ref="O24">IF(E24="trim",IFERROR(INDEX('SIZE GUIDE'!$E:$E,MATCH(1,('SIZE GUIDE'!$A:$A=$E24)*('SIZE GUIDE'!$B:$B=$F24)*('SIZE GUIDE'!$C:$C=$H24),0)),""),"")</f>
        <v/>
      </c>
      <c r="P24" s="203"/>
      <c r="Q24" s="204">
        <f t="shared" si="1"/>
        <v>79.5</v>
      </c>
      <c r="R24" s="198">
        <f t="shared" si="2"/>
        <v>75.5</v>
      </c>
      <c r="S24" s="198">
        <f t="shared" si="3"/>
        <v>41.5</v>
      </c>
      <c r="T24" s="205">
        <f t="shared" si="4"/>
        <v>1729.8151041666667</v>
      </c>
      <c r="U24" s="206">
        <f>SUMIFS(CODE_PRICE!F:F,CODE_PRICE!B:B,C24,CODE_PRICE!A:A,$A$8)</f>
        <v>0.2316</v>
      </c>
      <c r="V24" s="207">
        <f t="shared" si="0"/>
        <v>400.62517812499999</v>
      </c>
      <c r="W24" s="208" t="str">
        <f>IF(COUNTIF($C$15:C24,C24)=1,C24 &amp; " - " &amp; TEXT(SUMIF($C:$C,C24,$T:$T),"0.00"),"")</f>
        <v/>
      </c>
      <c r="X24" s="209" t="str">
        <f>IF(COUNTIF($C$15:C24,C24)=1,ROUND(SUMIF($C:$C,C24,$V:$V),2), "")</f>
        <v/>
      </c>
    </row>
    <row r="25" spans="1:34" s="210" customFormat="1" ht="31.5" customHeight="1" x14ac:dyDescent="0.2">
      <c r="A25" s="196">
        <f t="shared" si="5"/>
        <v>11</v>
      </c>
      <c r="B25" s="196"/>
      <c r="C25" s="196" t="s">
        <v>95</v>
      </c>
      <c r="D25" s="197"/>
      <c r="E25" s="197" t="s">
        <v>11</v>
      </c>
      <c r="F25" s="198" t="s">
        <v>123</v>
      </c>
      <c r="G25" s="199" t="str">
        <f>IF(COUNTIFS($C$15:C25,C25,$H$15:H25,H25)=1,
SUMIFS($I$15:$I$43,$C$15:$C$43,C25,$H$15:$H$43,H25)&amp;H25&amp;" "&amp;C25,
"")</f>
        <v/>
      </c>
      <c r="H25" s="197" t="s">
        <v>18</v>
      </c>
      <c r="I25" s="200">
        <v>1</v>
      </c>
      <c r="J25" s="249"/>
      <c r="K25" s="201" cm="1">
        <f t="array" ref="K25">IF(E25="untrim",_xlfn.XLOOKUP(1,(TRIM('SIZE GUIDE'!$A$3:$A$2015)=TRIM(E25))*(TRIM('SIZE GUIDE'!$B$3:$B$2015)=TRIM(F25))*(TRIM('SIZE GUIDE'!$C$3:$C$2015)=TRIM(H25)),'SIZE GUIDE'!$D$3:$D$2015),"")</f>
        <v>81</v>
      </c>
      <c r="L25" s="265" cm="1">
        <f t="array" ref="L25">IF(E25="untrim",IFERROR(INDEX('SIZE GUIDE'!$E:$E,MATCH(1,('SIZE GUIDE'!$A:$A=$E25)*('SIZE GUIDE'!$B:$B=$F25)*('SIZE GUIDE'!$C:$C=$H25),0)),""),"")</f>
        <v>77</v>
      </c>
      <c r="M25" s="202">
        <v>42</v>
      </c>
      <c r="N25" s="203"/>
      <c r="O25" s="203" t="str" cm="1">
        <f t="array" ref="O25">IF(E25="trim",IFERROR(INDEX('SIZE GUIDE'!$E:$E,MATCH(1,('SIZE GUIDE'!$A:$A=$E25)*('SIZE GUIDE'!$B:$B=$F25)*('SIZE GUIDE'!$C:$C=$H25),0)),""),"")</f>
        <v/>
      </c>
      <c r="P25" s="203"/>
      <c r="Q25" s="204">
        <f t="shared" si="1"/>
        <v>79.5</v>
      </c>
      <c r="R25" s="198">
        <f t="shared" si="2"/>
        <v>75.5</v>
      </c>
      <c r="S25" s="198">
        <f t="shared" si="3"/>
        <v>41.5</v>
      </c>
      <c r="T25" s="205">
        <f t="shared" si="4"/>
        <v>1729.8151041666667</v>
      </c>
      <c r="U25" s="206">
        <f>SUMIFS(CODE_PRICE!F:F,CODE_PRICE!B:B,C25,CODE_PRICE!A:A,$A$8)</f>
        <v>0.2316</v>
      </c>
      <c r="V25" s="207">
        <f t="shared" si="0"/>
        <v>400.62517812499999</v>
      </c>
      <c r="W25" s="208" t="str">
        <f>IF(COUNTIF($C$15:C25,C25)=1,C25 &amp; " - " &amp; TEXT(SUMIF($C:$C,C25,$T:$T),"0.00"),"")</f>
        <v/>
      </c>
      <c r="X25" s="209" t="str">
        <f>IF(COUNTIF($C$15:C25,C25)=1,ROUND(SUMIF($C:$C,C25,$V:$V),2), "")</f>
        <v/>
      </c>
    </row>
    <row r="26" spans="1:34" s="210" customFormat="1" ht="31.5" customHeight="1" x14ac:dyDescent="0.2">
      <c r="A26" s="196">
        <f t="shared" si="5"/>
        <v>12</v>
      </c>
      <c r="B26" s="196"/>
      <c r="C26" s="196" t="s">
        <v>95</v>
      </c>
      <c r="D26" s="197"/>
      <c r="E26" s="197" t="s">
        <v>11</v>
      </c>
      <c r="F26" s="198" t="s">
        <v>123</v>
      </c>
      <c r="G26" s="199" t="str">
        <f>IF(COUNTIFS($C$15:C26,C26,$H$15:H26,H26)=1,
SUMIFS($I$15:$I$43,$C$15:$C$43,C26,$H$15:$H$43,H26)&amp;H26&amp;" "&amp;C26,
"")</f>
        <v>4Q CFN50131W</v>
      </c>
      <c r="H26" s="197" t="s">
        <v>16</v>
      </c>
      <c r="I26" s="200">
        <v>1</v>
      </c>
      <c r="J26" s="249"/>
      <c r="K26" s="201" cm="1">
        <f t="array" ref="K26">IF(E26="untrim",_xlfn.XLOOKUP(1,(TRIM('SIZE GUIDE'!$A$3:$A$2015)=TRIM(E26))*(TRIM('SIZE GUIDE'!$B$3:$B$2015)=TRIM(F26))*(TRIM('SIZE GUIDE'!$C$3:$C$2015)=TRIM(H26)),'SIZE GUIDE'!$D$3:$D$2015),"")</f>
        <v>81</v>
      </c>
      <c r="L26" s="265" cm="1">
        <f t="array" ref="L26">IF(E26="untrim",IFERROR(INDEX('SIZE GUIDE'!$E:$E,MATCH(1,('SIZE GUIDE'!$A:$A=$E26)*('SIZE GUIDE'!$B:$B=$F26)*('SIZE GUIDE'!$C:$C=$H26),0)),""),"")</f>
        <v>61</v>
      </c>
      <c r="M26" s="202">
        <v>41.5</v>
      </c>
      <c r="N26" s="203" t="str" cm="1">
        <f t="array" ref="N26">IF(E26="trim",_xlfn.XLOOKUP(1,(TRIM('SIZE GUIDE'!$A$3:$A$2015)=TRIM(E26))*(TRIM('SIZE GUIDE'!$B$3:$B$2015)=TRIM(F26))*(TRIM('SIZE GUIDE'!$C$3:$C$2015)=TRIM(H26)),'SIZE GUIDE'!$D$3:$D$2015),"")</f>
        <v/>
      </c>
      <c r="O26" s="203" t="str" cm="1">
        <f t="array" ref="O26">IF(E26="trim",IFERROR(INDEX('SIZE GUIDE'!$E:$E,MATCH(1,('SIZE GUIDE'!$A:$A=$E26)*('SIZE GUIDE'!$B:$B=$F26)*('SIZE GUIDE'!$C:$C=$H26),0)),""),"")</f>
        <v/>
      </c>
      <c r="P26" s="203"/>
      <c r="Q26" s="204">
        <f t="shared" si="1"/>
        <v>79.5</v>
      </c>
      <c r="R26" s="198">
        <f t="shared" si="2"/>
        <v>59.5</v>
      </c>
      <c r="S26" s="198">
        <f t="shared" si="3"/>
        <v>41</v>
      </c>
      <c r="T26" s="205">
        <f t="shared" si="4"/>
        <v>1346.8072916666667</v>
      </c>
      <c r="U26" s="206">
        <f>SUMIFS(CODE_PRICE!F:F,CODE_PRICE!B:B,C26,CODE_PRICE!A:A,$A$8)</f>
        <v>0.2316</v>
      </c>
      <c r="V26" s="207">
        <f t="shared" si="0"/>
        <v>311.92056875000003</v>
      </c>
      <c r="W26" s="208" t="str">
        <f>IF(COUNTIF($C$15:C26,C26)=1,C26 &amp; " - " &amp; TEXT(SUMIF($C:$C,C26,$T:$T),"0.00"),"")</f>
        <v/>
      </c>
      <c r="X26" s="209" t="str">
        <f>IF(COUNTIF($C$15:C26,C26)=1,ROUND(SUMIF($C:$C,C26,$V:$V),2), "")</f>
        <v/>
      </c>
    </row>
    <row r="27" spans="1:34" s="210" customFormat="1" ht="31.5" customHeight="1" x14ac:dyDescent="0.2">
      <c r="A27" s="196">
        <f t="shared" si="5"/>
        <v>13</v>
      </c>
      <c r="B27" s="196"/>
      <c r="C27" s="196" t="s">
        <v>95</v>
      </c>
      <c r="D27" s="197"/>
      <c r="E27" s="197" t="s">
        <v>11</v>
      </c>
      <c r="F27" s="198" t="s">
        <v>123</v>
      </c>
      <c r="G27" s="199" t="str">
        <f>IF(COUNTIFS($C$15:C27,C27,$H$15:H27,H27)=1,
SUMIFS($I$15:$I$43,$C$15:$C$43,C27,$H$15:$H$43,H27)&amp;H27&amp;" "&amp;C27,
"")</f>
        <v/>
      </c>
      <c r="H27" s="197" t="s">
        <v>16</v>
      </c>
      <c r="I27" s="200">
        <v>1</v>
      </c>
      <c r="J27" s="249"/>
      <c r="K27" s="201" cm="1">
        <f t="array" ref="K27">IF(E27="untrim",_xlfn.XLOOKUP(1,(TRIM('SIZE GUIDE'!$A$3:$A$2015)=TRIM(E27))*(TRIM('SIZE GUIDE'!$B$3:$B$2015)=TRIM(F27))*(TRIM('SIZE GUIDE'!$C$3:$C$2015)=TRIM(H27)),'SIZE GUIDE'!$D$3:$D$2015),"")</f>
        <v>81</v>
      </c>
      <c r="L27" s="265" cm="1">
        <f t="array" ref="L27">IF(E27="untrim",IFERROR(INDEX('SIZE GUIDE'!$E:$E,MATCH(1,('SIZE GUIDE'!$A:$A=$E27)*('SIZE GUIDE'!$B:$B=$F27)*('SIZE GUIDE'!$C:$C=$H27),0)),""),"")</f>
        <v>61</v>
      </c>
      <c r="M27" s="202">
        <v>41.5</v>
      </c>
      <c r="N27" s="203" t="str" cm="1">
        <f t="array" ref="N27">IF(E27="trim",_xlfn.XLOOKUP(1,(TRIM('SIZE GUIDE'!$A$3:$A$2015)=TRIM(E27))*(TRIM('SIZE GUIDE'!$B$3:$B$2015)=TRIM(F27))*(TRIM('SIZE GUIDE'!$C$3:$C$2015)=TRIM(H27)),'SIZE GUIDE'!$D$3:$D$2015),"")</f>
        <v/>
      </c>
      <c r="O27" s="203" t="str" cm="1">
        <f t="array" ref="O27">IF(E27="trim",IFERROR(INDEX('SIZE GUIDE'!$E:$E,MATCH(1,('SIZE GUIDE'!$A:$A=$E27)*('SIZE GUIDE'!$B:$B=$F27)*('SIZE GUIDE'!$C:$C=$H27),0)),""),"")</f>
        <v/>
      </c>
      <c r="P27" s="203"/>
      <c r="Q27" s="204">
        <f t="shared" si="1"/>
        <v>79.5</v>
      </c>
      <c r="R27" s="198">
        <f t="shared" si="2"/>
        <v>59.5</v>
      </c>
      <c r="S27" s="198">
        <f t="shared" si="3"/>
        <v>41</v>
      </c>
      <c r="T27" s="205">
        <f t="shared" si="4"/>
        <v>1346.8072916666667</v>
      </c>
      <c r="U27" s="206">
        <f>SUMIFS(CODE_PRICE!F:F,CODE_PRICE!B:B,C27,CODE_PRICE!A:A,$A$8)</f>
        <v>0.2316</v>
      </c>
      <c r="V27" s="207">
        <f t="shared" si="0"/>
        <v>311.92056875000003</v>
      </c>
      <c r="W27" s="208" t="str">
        <f>IF(COUNTIF($C$15:C27,C27)=1,C27 &amp; " - " &amp; TEXT(SUMIF($C:$C,C27,$T:$T),"0.00"),"")</f>
        <v/>
      </c>
      <c r="X27" s="209" t="str">
        <f>IF(COUNTIF($C$15:C27,C27)=1,ROUND(SUMIF($C:$C,C27,$V:$V),2), "")</f>
        <v/>
      </c>
    </row>
    <row r="28" spans="1:34" s="210" customFormat="1" ht="31.5" customHeight="1" x14ac:dyDescent="0.2">
      <c r="A28" s="196">
        <f t="shared" si="5"/>
        <v>14</v>
      </c>
      <c r="B28" s="196"/>
      <c r="C28" s="196" t="s">
        <v>95</v>
      </c>
      <c r="D28" s="197"/>
      <c r="E28" s="197" t="s">
        <v>11</v>
      </c>
      <c r="F28" s="198" t="s">
        <v>123</v>
      </c>
      <c r="G28" s="199" t="str">
        <f>IF(COUNTIFS($C$15:C28,C28,$H$15:H28,H28)=1,
SUMIFS($I$15:$I$43,$C$15:$C$43,C28,$H$15:$H$43,H28)&amp;H28&amp;" "&amp;C28,
"")</f>
        <v/>
      </c>
      <c r="H28" s="197" t="s">
        <v>16</v>
      </c>
      <c r="I28" s="200">
        <v>1</v>
      </c>
      <c r="J28" s="249"/>
      <c r="K28" s="201" cm="1">
        <f t="array" ref="K28">IF(E28="untrim",_xlfn.XLOOKUP(1,(TRIM('SIZE GUIDE'!$A$3:$A$2015)=TRIM(E28))*(TRIM('SIZE GUIDE'!$B$3:$B$2015)=TRIM(F28))*(TRIM('SIZE GUIDE'!$C$3:$C$2015)=TRIM(H28)),'SIZE GUIDE'!$D$3:$D$2015),"")</f>
        <v>81</v>
      </c>
      <c r="L28" s="265" cm="1">
        <f t="array" ref="L28">IF(E28="untrim",IFERROR(INDEX('SIZE GUIDE'!$E:$E,MATCH(1,('SIZE GUIDE'!$A:$A=$E28)*('SIZE GUIDE'!$B:$B=$F28)*('SIZE GUIDE'!$C:$C=$H28),0)),""),"")</f>
        <v>61</v>
      </c>
      <c r="M28" s="202">
        <v>42</v>
      </c>
      <c r="N28" s="203" t="str" cm="1">
        <f t="array" ref="N28">IF(E28="trim",_xlfn.XLOOKUP(1,(TRIM('SIZE GUIDE'!$A$3:$A$2015)=TRIM(E28))*(TRIM('SIZE GUIDE'!$B$3:$B$2015)=TRIM(F28))*(TRIM('SIZE GUIDE'!$C$3:$C$2015)=TRIM(H28)),'SIZE GUIDE'!$D$3:$D$2015),"")</f>
        <v/>
      </c>
      <c r="O28" s="203" t="str" cm="1">
        <f t="array" ref="O28">IF(E28="trim",IFERROR(INDEX('SIZE GUIDE'!$E:$E,MATCH(1,('SIZE GUIDE'!$A:$A=$E28)*('SIZE GUIDE'!$B:$B=$F28)*('SIZE GUIDE'!$C:$C=$H28),0)),""),"")</f>
        <v/>
      </c>
      <c r="P28" s="203"/>
      <c r="Q28" s="204">
        <f t="shared" si="1"/>
        <v>79.5</v>
      </c>
      <c r="R28" s="198">
        <f t="shared" si="2"/>
        <v>59.5</v>
      </c>
      <c r="S28" s="198">
        <f t="shared" si="3"/>
        <v>41.5</v>
      </c>
      <c r="T28" s="205">
        <f t="shared" si="4"/>
        <v>1363.2317708333333</v>
      </c>
      <c r="U28" s="206">
        <f>SUMIFS(CODE_PRICE!F:F,CODE_PRICE!B:B,C28,CODE_PRICE!A:A,$A$8)</f>
        <v>0.2316</v>
      </c>
      <c r="V28" s="207">
        <f t="shared" si="0"/>
        <v>315.72447812499996</v>
      </c>
      <c r="W28" s="208" t="str">
        <f>IF(COUNTIF($C$15:C28,C28)=1,C28 &amp; " - " &amp; TEXT(SUMIF($C:$C,C28,$T:$T),"0.00"),"")</f>
        <v/>
      </c>
      <c r="X28" s="209" t="str">
        <f>IF(COUNTIF($C$15:C28,C28)=1,ROUND(SUMIF($C:$C,C28,$V:$V),2), "")</f>
        <v/>
      </c>
    </row>
    <row r="29" spans="1:34" s="210" customFormat="1" ht="31.5" customHeight="1" x14ac:dyDescent="0.2">
      <c r="A29" s="196">
        <f t="shared" si="5"/>
        <v>15</v>
      </c>
      <c r="B29" s="196"/>
      <c r="C29" s="196" t="s">
        <v>95</v>
      </c>
      <c r="D29" s="197"/>
      <c r="E29" s="197" t="s">
        <v>11</v>
      </c>
      <c r="F29" s="198" t="s">
        <v>123</v>
      </c>
      <c r="G29" s="199" t="str">
        <f>IF(COUNTIFS($C$15:C29,C29,$H$15:H29,H29)=1,
SUMIFS($I$15:$I$43,$C$15:$C$43,C29,$H$15:$H$43,H29)&amp;H29&amp;" "&amp;C29,
"")</f>
        <v/>
      </c>
      <c r="H29" s="197" t="s">
        <v>16</v>
      </c>
      <c r="I29" s="200">
        <v>1</v>
      </c>
      <c r="J29" s="249"/>
      <c r="K29" s="201" cm="1">
        <f t="array" ref="K29">IF(E29="untrim",_xlfn.XLOOKUP(1,(TRIM('SIZE GUIDE'!$A$3:$A$2015)=TRIM(E29))*(TRIM('SIZE GUIDE'!$B$3:$B$2015)=TRIM(F29))*(TRIM('SIZE GUIDE'!$C$3:$C$2015)=TRIM(H29)),'SIZE GUIDE'!$D$3:$D$2015),"")</f>
        <v>81</v>
      </c>
      <c r="L29" s="265" cm="1">
        <f t="array" ref="L29">IF(E29="untrim",IFERROR(INDEX('SIZE GUIDE'!$E:$E,MATCH(1,('SIZE GUIDE'!$A:$A=$E29)*('SIZE GUIDE'!$B:$B=$F29)*('SIZE GUIDE'!$C:$C=$H29),0)),""),"")</f>
        <v>61</v>
      </c>
      <c r="M29" s="202">
        <v>42</v>
      </c>
      <c r="N29" s="203" t="str" cm="1">
        <f t="array" ref="N29">IF(E29="trim",_xlfn.XLOOKUP(1,(TRIM('SIZE GUIDE'!$A$3:$A$2015)=TRIM(E29))*(TRIM('SIZE GUIDE'!$B$3:$B$2015)=TRIM(F29))*(TRIM('SIZE GUIDE'!$C$3:$C$2015)=TRIM(H29)),'SIZE GUIDE'!$D$3:$D$2015),"")</f>
        <v/>
      </c>
      <c r="O29" s="203" t="str" cm="1">
        <f t="array" ref="O29">IF(E29="trim",IFERROR(INDEX('SIZE GUIDE'!$E:$E,MATCH(1,('SIZE GUIDE'!$A:$A=$E29)*('SIZE GUIDE'!$B:$B=$F29)*('SIZE GUIDE'!$C:$C=$H29),0)),""),"")</f>
        <v/>
      </c>
      <c r="P29" s="203"/>
      <c r="Q29" s="204">
        <f t="shared" si="1"/>
        <v>79.5</v>
      </c>
      <c r="R29" s="198">
        <f t="shared" si="2"/>
        <v>59.5</v>
      </c>
      <c r="S29" s="198">
        <f t="shared" si="3"/>
        <v>41.5</v>
      </c>
      <c r="T29" s="205">
        <f t="shared" si="4"/>
        <v>1363.2317708333333</v>
      </c>
      <c r="U29" s="206">
        <f>SUMIFS(CODE_PRICE!F:F,CODE_PRICE!B:B,C29,CODE_PRICE!A:A,$A$8)</f>
        <v>0.2316</v>
      </c>
      <c r="V29" s="207">
        <f t="shared" si="0"/>
        <v>315.72447812499996</v>
      </c>
      <c r="W29" s="208" t="str">
        <f>IF(COUNTIF($C$15:C29,C29)=1,C29 &amp; " - " &amp; TEXT(SUMIF($C:$C,C29,$T:$T),"0.00"),"")</f>
        <v/>
      </c>
      <c r="X29" s="209"/>
    </row>
    <row r="30" spans="1:34" s="210" customFormat="1" ht="31.5" customHeight="1" x14ac:dyDescent="0.2">
      <c r="A30" s="196">
        <f t="shared" si="5"/>
        <v>16</v>
      </c>
      <c r="B30" s="196"/>
      <c r="C30" s="196" t="s">
        <v>95</v>
      </c>
      <c r="D30" s="197"/>
      <c r="E30" s="197" t="s">
        <v>11</v>
      </c>
      <c r="F30" s="198" t="s">
        <v>123</v>
      </c>
      <c r="G30" s="199" t="str">
        <f>IF(COUNTIFS($C$15:C30,C30,$H$15:H30,H30)=1,
SUMIFS($I$15:$I$43,$C$15:$C$43,C30,$H$15:$H$43,H30)&amp;H30&amp;" "&amp;C30,
"")</f>
        <v>2F CFN50131W</v>
      </c>
      <c r="H30" s="197" t="s">
        <v>14</v>
      </c>
      <c r="I30" s="200">
        <v>1</v>
      </c>
      <c r="J30" s="285"/>
      <c r="K30" s="201" cm="1">
        <f t="array" ref="K30">IF(E30="untrim",_xlfn.XLOOKUP(1,(TRIM('SIZE GUIDE'!$A$3:$A$2015)=TRIM(E30))*(TRIM('SIZE GUIDE'!$B$3:$B$2015)=TRIM(F30))*(TRIM('SIZE GUIDE'!$C$3:$C$2015)=TRIM(H30)),'SIZE GUIDE'!$D$3:$D$2015),"")</f>
        <v>76</v>
      </c>
      <c r="L30" s="265" cm="1">
        <f t="array" ref="L30">IF(E30="untrim",IFERROR(INDEX('SIZE GUIDE'!$E:$E,MATCH(1,('SIZE GUIDE'!$A:$A=$E30)*('SIZE GUIDE'!$B:$B=$F30)*('SIZE GUIDE'!$C:$C=$H30),0)),""),"")</f>
        <v>55</v>
      </c>
      <c r="M30" s="202">
        <v>35</v>
      </c>
      <c r="N30" s="203" t="str" cm="1">
        <f t="array" ref="N30">IF(E30="trim",_xlfn.XLOOKUP(1,(TRIM('SIZE GUIDE'!$A$3:$A$2015)=TRIM(E30))*(TRIM('SIZE GUIDE'!$B$3:$B$2015)=TRIM(F30))*(TRIM('SIZE GUIDE'!$C$3:$C$2015)=TRIM(H30)),'SIZE GUIDE'!$D$3:$D$2015),"")</f>
        <v/>
      </c>
      <c r="O30" s="203" t="str" cm="1">
        <f t="array" ref="O30">IF(E30="trim",IFERROR(INDEX('SIZE GUIDE'!$E:$E,MATCH(1,('SIZE GUIDE'!$A:$A=$E30)*('SIZE GUIDE'!$B:$B=$F30)*('SIZE GUIDE'!$C:$C=$H30),0)),""),"")</f>
        <v/>
      </c>
      <c r="P30" s="203"/>
      <c r="Q30" s="204">
        <f t="shared" si="1"/>
        <v>74.5</v>
      </c>
      <c r="R30" s="198">
        <f t="shared" si="2"/>
        <v>53.5</v>
      </c>
      <c r="S30" s="198">
        <f t="shared" si="3"/>
        <v>34.5</v>
      </c>
      <c r="T30" s="205">
        <f t="shared" si="4"/>
        <v>954.91927083333337</v>
      </c>
      <c r="U30" s="206">
        <f>SUMIFS(CODE_PRICE!F:F,CODE_PRICE!B:B,C30,CODE_PRICE!A:A,$A$8)</f>
        <v>0.2316</v>
      </c>
      <c r="V30" s="207">
        <f t="shared" si="0"/>
        <v>221.15930312500001</v>
      </c>
      <c r="W30" s="208" t="str">
        <f>IF(COUNTIF($C$15:C30,C30)=1,C30 &amp; " - " &amp; TEXT(SUMIF($C:$C,C30,$T:$T),"0.00"),"")</f>
        <v/>
      </c>
      <c r="X30" s="209"/>
    </row>
    <row r="31" spans="1:34" s="210" customFormat="1" ht="31.5" customHeight="1" x14ac:dyDescent="0.2">
      <c r="A31" s="196">
        <f t="shared" si="5"/>
        <v>17</v>
      </c>
      <c r="B31" s="196"/>
      <c r="C31" s="196" t="s">
        <v>95</v>
      </c>
      <c r="D31" s="197"/>
      <c r="E31" s="197" t="s">
        <v>11</v>
      </c>
      <c r="F31" s="198" t="s">
        <v>123</v>
      </c>
      <c r="G31" s="199" t="str">
        <f>IF(COUNTIFS($C$15:C31,C31,$H$15:H31,H31)=1,
SUMIFS($I$15:$I$43,$C$15:$C$43,C31,$H$15:$H$43,H31)&amp;H31&amp;" "&amp;C31,
"")</f>
        <v/>
      </c>
      <c r="H31" s="197" t="s">
        <v>14</v>
      </c>
      <c r="I31" s="200">
        <v>1</v>
      </c>
      <c r="J31" s="249"/>
      <c r="K31" s="201" cm="1">
        <f t="array" ref="K31">IF(E31="untrim",_xlfn.XLOOKUP(1,(TRIM('SIZE GUIDE'!$A$3:$A$2015)=TRIM(E31))*(TRIM('SIZE GUIDE'!$B$3:$B$2015)=TRIM(F31))*(TRIM('SIZE GUIDE'!$C$3:$C$2015)=TRIM(H31)),'SIZE GUIDE'!$D$3:$D$2015),"")</f>
        <v>76</v>
      </c>
      <c r="L31" s="265" cm="1">
        <f t="array" ref="L31">IF(E31="untrim",IFERROR(INDEX('SIZE GUIDE'!$E:$E,MATCH(1,('SIZE GUIDE'!$A:$A=$E31)*('SIZE GUIDE'!$B:$B=$F31)*('SIZE GUIDE'!$C:$C=$H31),0)),""),"")</f>
        <v>55</v>
      </c>
      <c r="M31" s="202">
        <v>44</v>
      </c>
      <c r="N31" s="203" t="str" cm="1">
        <f t="array" ref="N31">IF(E31="trim",_xlfn.XLOOKUP(1,(TRIM('SIZE GUIDE'!$A$3:$A$2015)=TRIM(E31))*(TRIM('SIZE GUIDE'!$B$3:$B$2015)=TRIM(F31))*(TRIM('SIZE GUIDE'!$C$3:$C$2015)=TRIM(H31)),'SIZE GUIDE'!$D$3:$D$2015),"")</f>
        <v/>
      </c>
      <c r="O31" s="203" t="str" cm="1">
        <f t="array" ref="O31">IF(E31="trim",IFERROR(INDEX('SIZE GUIDE'!$E:$E,MATCH(1,('SIZE GUIDE'!$A:$A=$E31)*('SIZE GUIDE'!$B:$B=$F31)*('SIZE GUIDE'!$C:$C=$H31),0)),""),"")</f>
        <v/>
      </c>
      <c r="P31" s="203"/>
      <c r="Q31" s="204">
        <f t="shared" si="1"/>
        <v>74.5</v>
      </c>
      <c r="R31" s="198">
        <f t="shared" si="2"/>
        <v>53.5</v>
      </c>
      <c r="S31" s="198">
        <f t="shared" si="3"/>
        <v>43.5</v>
      </c>
      <c r="T31" s="205">
        <f t="shared" si="4"/>
        <v>1204.0286458333333</v>
      </c>
      <c r="U31" s="206">
        <f>SUMIFS(CODE_PRICE!F:F,CODE_PRICE!B:B,C31,CODE_PRICE!A:A,$A$8)</f>
        <v>0.2316</v>
      </c>
      <c r="V31" s="207">
        <f t="shared" si="0"/>
        <v>278.85303437499999</v>
      </c>
      <c r="W31" s="208" t="str">
        <f>IF(COUNTIF($C$15:C31,C31)=1,C31 &amp; " - " &amp; TEXT(SUMIF($C:$C,C31,$T:$T),"0.00"),"")</f>
        <v/>
      </c>
      <c r="X31" s="209"/>
    </row>
    <row r="32" spans="1:34" s="210" customFormat="1" ht="31.5" hidden="1" customHeight="1" x14ac:dyDescent="0.2">
      <c r="A32" s="196"/>
      <c r="B32" s="196"/>
      <c r="C32" s="196"/>
      <c r="D32" s="197"/>
      <c r="E32" s="197"/>
      <c r="F32" s="198"/>
      <c r="G32" s="199"/>
      <c r="H32" s="197"/>
      <c r="I32" s="200"/>
      <c r="J32" s="249"/>
      <c r="K32" s="201"/>
      <c r="L32" s="265"/>
      <c r="M32" s="202"/>
      <c r="N32" s="203"/>
      <c r="O32" s="203"/>
      <c r="P32" s="203"/>
      <c r="Q32" s="204"/>
      <c r="R32" s="198"/>
      <c r="S32" s="198"/>
      <c r="T32" s="205"/>
      <c r="U32" s="206"/>
      <c r="V32" s="207"/>
      <c r="W32" s="208"/>
      <c r="X32" s="209"/>
    </row>
    <row r="33" spans="1:24" s="210" customFormat="1" ht="31.5" hidden="1" customHeight="1" x14ac:dyDescent="0.2">
      <c r="A33" s="196"/>
      <c r="B33" s="196"/>
      <c r="C33" s="196"/>
      <c r="D33" s="197"/>
      <c r="E33" s="197"/>
      <c r="F33" s="198"/>
      <c r="G33" s="199"/>
      <c r="H33" s="197"/>
      <c r="I33" s="200"/>
      <c r="J33" s="249"/>
      <c r="K33" s="201"/>
      <c r="L33" s="265"/>
      <c r="M33" s="202"/>
      <c r="N33" s="203"/>
      <c r="O33" s="203"/>
      <c r="P33" s="203"/>
      <c r="Q33" s="204"/>
      <c r="R33" s="198"/>
      <c r="S33" s="198"/>
      <c r="T33" s="205"/>
      <c r="U33" s="206"/>
      <c r="V33" s="207"/>
      <c r="W33" s="208"/>
      <c r="X33" s="209"/>
    </row>
    <row r="34" spans="1:24" s="210" customFormat="1" ht="31.5" hidden="1" customHeight="1" x14ac:dyDescent="0.2">
      <c r="A34" s="196"/>
      <c r="B34" s="196"/>
      <c r="C34" s="196"/>
      <c r="D34" s="197"/>
      <c r="E34" s="197"/>
      <c r="F34" s="198"/>
      <c r="G34" s="199"/>
      <c r="H34" s="197"/>
      <c r="I34" s="200"/>
      <c r="J34" s="249"/>
      <c r="K34" s="201"/>
      <c r="L34" s="265"/>
      <c r="M34" s="202"/>
      <c r="N34" s="203"/>
      <c r="O34" s="203"/>
      <c r="P34" s="203"/>
      <c r="Q34" s="204"/>
      <c r="R34" s="198"/>
      <c r="S34" s="198"/>
      <c r="T34" s="205"/>
      <c r="U34" s="206"/>
      <c r="V34" s="207"/>
      <c r="W34" s="208"/>
      <c r="X34" s="209"/>
    </row>
    <row r="35" spans="1:24" s="210" customFormat="1" ht="31.5" hidden="1" customHeight="1" x14ac:dyDescent="0.2">
      <c r="A35" s="196"/>
      <c r="B35" s="196"/>
      <c r="C35" s="196"/>
      <c r="D35" s="197"/>
      <c r="E35" s="197"/>
      <c r="F35" s="198"/>
      <c r="G35" s="199"/>
      <c r="H35" s="197"/>
      <c r="I35" s="200"/>
      <c r="J35" s="249"/>
      <c r="K35" s="201"/>
      <c r="L35" s="265"/>
      <c r="M35" s="202"/>
      <c r="N35" s="203"/>
      <c r="O35" s="203"/>
      <c r="P35" s="203"/>
      <c r="Q35" s="204"/>
      <c r="R35" s="198"/>
      <c r="S35" s="198"/>
      <c r="T35" s="205"/>
      <c r="U35" s="206"/>
      <c r="V35" s="207"/>
      <c r="W35" s="208"/>
      <c r="X35" s="209"/>
    </row>
    <row r="36" spans="1:24" s="210" customFormat="1" ht="31.5" hidden="1" customHeight="1" x14ac:dyDescent="0.2">
      <c r="A36" s="196"/>
      <c r="B36" s="196"/>
      <c r="C36" s="196"/>
      <c r="D36" s="197"/>
      <c r="E36" s="197"/>
      <c r="F36" s="198"/>
      <c r="G36" s="199"/>
      <c r="H36" s="197"/>
      <c r="I36" s="200"/>
      <c r="J36" s="249"/>
      <c r="K36" s="201"/>
      <c r="L36" s="265"/>
      <c r="M36" s="202"/>
      <c r="N36" s="203"/>
      <c r="O36" s="203"/>
      <c r="P36" s="203"/>
      <c r="Q36" s="204"/>
      <c r="R36" s="198"/>
      <c r="S36" s="198"/>
      <c r="T36" s="205"/>
      <c r="U36" s="206"/>
      <c r="V36" s="207"/>
      <c r="W36" s="208"/>
      <c r="X36" s="209"/>
    </row>
    <row r="37" spans="1:24" s="210" customFormat="1" ht="31.5" hidden="1" customHeight="1" x14ac:dyDescent="0.2">
      <c r="A37" s="196"/>
      <c r="B37" s="196"/>
      <c r="C37" s="196"/>
      <c r="D37" s="197"/>
      <c r="E37" s="197"/>
      <c r="F37" s="198"/>
      <c r="G37" s="199"/>
      <c r="H37" s="197"/>
      <c r="I37" s="200"/>
      <c r="J37" s="249"/>
      <c r="K37" s="201"/>
      <c r="L37" s="265"/>
      <c r="M37" s="202"/>
      <c r="N37" s="203"/>
      <c r="O37" s="203"/>
      <c r="P37" s="203"/>
      <c r="Q37" s="204"/>
      <c r="R37" s="198"/>
      <c r="S37" s="198"/>
      <c r="T37" s="205"/>
      <c r="U37" s="206"/>
      <c r="V37" s="207"/>
      <c r="W37" s="208"/>
      <c r="X37" s="209"/>
    </row>
    <row r="38" spans="1:24" s="210" customFormat="1" ht="31.5" hidden="1" customHeight="1" x14ac:dyDescent="0.2">
      <c r="A38" s="196"/>
      <c r="B38" s="196"/>
      <c r="C38" s="196"/>
      <c r="D38" s="197"/>
      <c r="E38" s="197"/>
      <c r="F38" s="198"/>
      <c r="G38" s="199"/>
      <c r="H38" s="197"/>
      <c r="I38" s="200"/>
      <c r="J38" s="249"/>
      <c r="K38" s="201"/>
      <c r="L38" s="265"/>
      <c r="M38" s="202"/>
      <c r="N38" s="203"/>
      <c r="O38" s="203"/>
      <c r="P38" s="203"/>
      <c r="Q38" s="204"/>
      <c r="R38" s="198"/>
      <c r="S38" s="198"/>
      <c r="T38" s="205"/>
      <c r="U38" s="206"/>
      <c r="V38" s="207"/>
      <c r="W38" s="208"/>
      <c r="X38" s="209"/>
    </row>
    <row r="39" spans="1:24" s="210" customFormat="1" ht="31.5" hidden="1" customHeight="1" x14ac:dyDescent="0.2">
      <c r="A39" s="196"/>
      <c r="B39" s="196"/>
      <c r="C39" s="196"/>
      <c r="D39" s="197"/>
      <c r="E39" s="197"/>
      <c r="F39" s="198"/>
      <c r="G39" s="199"/>
      <c r="H39" s="197"/>
      <c r="I39" s="200"/>
      <c r="J39" s="249"/>
      <c r="K39" s="201"/>
      <c r="L39" s="265"/>
      <c r="M39" s="202"/>
      <c r="N39" s="203"/>
      <c r="O39" s="203"/>
      <c r="P39" s="203"/>
      <c r="Q39" s="204"/>
      <c r="R39" s="198"/>
      <c r="S39" s="198"/>
      <c r="T39" s="205"/>
      <c r="U39" s="206"/>
      <c r="V39" s="207"/>
      <c r="W39" s="208"/>
      <c r="X39" s="209"/>
    </row>
    <row r="40" spans="1:24" s="210" customFormat="1" ht="31.5" hidden="1" customHeight="1" x14ac:dyDescent="0.2">
      <c r="A40" s="196"/>
      <c r="B40" s="196"/>
      <c r="C40" s="196"/>
      <c r="D40" s="197"/>
      <c r="E40" s="197"/>
      <c r="F40" s="198"/>
      <c r="G40" s="199"/>
      <c r="H40" s="197"/>
      <c r="I40" s="200"/>
      <c r="J40" s="249"/>
      <c r="K40" s="201"/>
      <c r="L40" s="265"/>
      <c r="M40" s="202"/>
      <c r="N40" s="203"/>
      <c r="O40" s="203"/>
      <c r="P40" s="203"/>
      <c r="Q40" s="204"/>
      <c r="R40" s="198"/>
      <c r="S40" s="198"/>
      <c r="T40" s="205"/>
      <c r="U40" s="206"/>
      <c r="V40" s="207"/>
      <c r="W40" s="208"/>
      <c r="X40" s="209"/>
    </row>
    <row r="41" spans="1:24" s="210" customFormat="1" ht="31.5" hidden="1" customHeight="1" x14ac:dyDescent="0.2">
      <c r="A41" s="196"/>
      <c r="B41" s="196"/>
      <c r="C41" s="196"/>
      <c r="D41" s="260"/>
      <c r="E41" s="197"/>
      <c r="F41" s="198"/>
      <c r="G41" s="199"/>
      <c r="H41" s="197"/>
      <c r="I41" s="200"/>
      <c r="J41" s="249"/>
      <c r="K41" s="201"/>
      <c r="L41" s="265"/>
      <c r="M41" s="202"/>
      <c r="N41" s="203"/>
      <c r="O41" s="203"/>
      <c r="P41" s="203"/>
      <c r="Q41" s="204"/>
      <c r="R41" s="198"/>
      <c r="S41" s="198"/>
      <c r="T41" s="205"/>
      <c r="U41" s="206"/>
      <c r="V41" s="207"/>
      <c r="W41" s="198"/>
      <c r="X41" s="238"/>
    </row>
    <row r="42" spans="1:24" s="210" customFormat="1" ht="31.5" hidden="1" customHeight="1" x14ac:dyDescent="0.2">
      <c r="A42" s="196"/>
      <c r="B42" s="196"/>
      <c r="C42" s="196"/>
      <c r="D42" s="260"/>
      <c r="E42" s="197"/>
      <c r="F42" s="198"/>
      <c r="G42" s="199"/>
      <c r="H42" s="197"/>
      <c r="I42" s="200"/>
      <c r="J42" s="249"/>
      <c r="K42" s="201"/>
      <c r="L42" s="265"/>
      <c r="M42" s="202"/>
      <c r="N42" s="203"/>
      <c r="O42" s="203"/>
      <c r="P42" s="203"/>
      <c r="Q42" s="204"/>
      <c r="R42" s="198"/>
      <c r="S42" s="198"/>
      <c r="T42" s="205"/>
      <c r="U42" s="206"/>
      <c r="V42" s="207"/>
      <c r="W42" s="198"/>
      <c r="X42" s="238"/>
    </row>
    <row r="43" spans="1:24" s="210" customFormat="1" ht="31.5" hidden="1" customHeight="1" x14ac:dyDescent="0.2">
      <c r="A43" s="196"/>
      <c r="B43" s="196"/>
      <c r="C43" s="196"/>
      <c r="D43" s="260"/>
      <c r="E43" s="197"/>
      <c r="F43" s="198"/>
      <c r="G43" s="199"/>
      <c r="H43" s="197"/>
      <c r="I43" s="200"/>
      <c r="J43" s="249"/>
      <c r="K43" s="201"/>
      <c r="L43" s="265"/>
      <c r="M43" s="202"/>
      <c r="N43" s="203"/>
      <c r="O43" s="203"/>
      <c r="P43" s="203"/>
      <c r="Q43" s="204"/>
      <c r="R43" s="198"/>
      <c r="S43" s="198"/>
      <c r="T43" s="205"/>
      <c r="U43" s="206"/>
      <c r="V43" s="207"/>
      <c r="W43" s="198"/>
      <c r="X43" s="238"/>
    </row>
    <row r="44" spans="1:24" s="284" customFormat="1" ht="31.5" hidden="1" customHeight="1" x14ac:dyDescent="0.2">
      <c r="A44" s="270"/>
      <c r="B44" s="270"/>
      <c r="C44" s="270"/>
      <c r="D44" s="271"/>
      <c r="E44" s="272"/>
      <c r="F44" s="273"/>
      <c r="G44" s="274"/>
      <c r="H44" s="197"/>
      <c r="I44" s="275"/>
      <c r="J44" s="276"/>
      <c r="K44" s="277"/>
      <c r="L44" s="278"/>
      <c r="M44" s="279"/>
      <c r="N44" s="277"/>
      <c r="O44" s="277"/>
      <c r="P44" s="277"/>
      <c r="Q44" s="277"/>
      <c r="R44" s="273"/>
      <c r="S44" s="273"/>
      <c r="T44" s="280"/>
      <c r="U44" s="281"/>
      <c r="V44" s="282"/>
      <c r="W44" s="273"/>
      <c r="X44" s="283"/>
    </row>
    <row r="45" spans="1:24" s="284" customFormat="1" ht="31.5" hidden="1" customHeight="1" x14ac:dyDescent="0.2">
      <c r="A45" s="270"/>
      <c r="B45" s="270"/>
      <c r="C45" s="270"/>
      <c r="D45" s="271"/>
      <c r="E45" s="272"/>
      <c r="F45" s="273"/>
      <c r="G45" s="274"/>
      <c r="H45" s="197"/>
      <c r="I45" s="275"/>
      <c r="J45" s="276"/>
      <c r="K45" s="277"/>
      <c r="L45" s="278"/>
      <c r="M45" s="279"/>
      <c r="N45" s="277"/>
      <c r="O45" s="277"/>
      <c r="P45" s="277"/>
      <c r="Q45" s="277"/>
      <c r="R45" s="273"/>
      <c r="S45" s="273"/>
      <c r="T45" s="280"/>
      <c r="U45" s="281"/>
      <c r="V45" s="282"/>
      <c r="W45" s="273"/>
      <c r="X45" s="283"/>
    </row>
    <row r="46" spans="1:24" s="210" customFormat="1" ht="31.5" customHeight="1" x14ac:dyDescent="0.2">
      <c r="A46" s="212"/>
      <c r="B46" s="212"/>
      <c r="C46" s="212"/>
      <c r="D46" s="212"/>
      <c r="E46" s="213"/>
      <c r="F46" s="212"/>
      <c r="G46" s="212"/>
      <c r="H46" s="214" t="s">
        <v>155</v>
      </c>
      <c r="I46" s="215">
        <f>SUM(I13:I43)</f>
        <v>17</v>
      </c>
      <c r="J46" s="248"/>
      <c r="K46" s="216"/>
      <c r="L46" s="264"/>
      <c r="M46" s="216"/>
      <c r="N46" s="217"/>
      <c r="O46" s="217"/>
      <c r="P46" s="217"/>
      <c r="Q46" s="213"/>
      <c r="R46" s="213"/>
      <c r="S46" s="213"/>
      <c r="T46" s="218">
        <f>SUM(T13:T45)</f>
        <v>26219.28125</v>
      </c>
      <c r="U46" s="219"/>
      <c r="V46" s="220">
        <f>SUM(V13:V45)</f>
        <v>6072.3855375000003</v>
      </c>
      <c r="W46" s="219"/>
      <c r="X46" s="220"/>
    </row>
    <row r="47" spans="1:24" s="210" customFormat="1" ht="31.5" customHeight="1" x14ac:dyDescent="0.2">
      <c r="A47" s="196"/>
      <c r="B47" s="196"/>
      <c r="C47" s="196"/>
      <c r="D47" s="197"/>
      <c r="E47" s="197"/>
      <c r="F47" s="198"/>
      <c r="G47" s="199"/>
      <c r="H47" s="221" t="s">
        <v>156</v>
      </c>
      <c r="I47" s="222"/>
      <c r="J47" s="250"/>
      <c r="K47" s="204"/>
      <c r="L47" s="266"/>
      <c r="M47" s="223"/>
      <c r="N47" s="204"/>
      <c r="O47" s="204"/>
      <c r="P47" s="204"/>
      <c r="Q47" s="224"/>
      <c r="R47" s="224"/>
      <c r="S47" s="224"/>
      <c r="T47" s="205"/>
      <c r="U47" s="224"/>
      <c r="V47" s="207"/>
      <c r="W47" s="224"/>
      <c r="X47" s="207"/>
    </row>
    <row r="48" spans="1:24" s="210" customFormat="1" ht="31.5" customHeight="1" x14ac:dyDescent="0.2">
      <c r="A48" s="212"/>
      <c r="B48" s="212"/>
      <c r="C48" s="212"/>
      <c r="D48" s="213"/>
      <c r="E48" s="213"/>
      <c r="F48" s="213"/>
      <c r="G48" s="213"/>
      <c r="H48" s="214" t="s">
        <v>162</v>
      </c>
      <c r="I48" s="215">
        <f>SUM(I15:I43)</f>
        <v>17</v>
      </c>
      <c r="J48" s="248"/>
      <c r="K48" s="216"/>
      <c r="L48" s="264"/>
      <c r="M48" s="216"/>
      <c r="N48" s="217"/>
      <c r="O48" s="217"/>
      <c r="P48" s="217"/>
      <c r="Q48" s="213"/>
      <c r="R48" s="213"/>
      <c r="S48" s="213"/>
      <c r="T48" s="218">
        <f>SUM(T15:T45)</f>
        <v>26219.28125</v>
      </c>
      <c r="U48" s="219"/>
      <c r="V48" s="220">
        <f>+V46+V47</f>
        <v>6072.3855375000003</v>
      </c>
      <c r="W48" s="219"/>
      <c r="X48" s="220"/>
    </row>
    <row r="49" spans="1:24" s="228" customFormat="1" ht="15" customHeight="1" x14ac:dyDescent="0.25">
      <c r="A49" s="225"/>
      <c r="B49" s="225"/>
      <c r="C49" s="225"/>
      <c r="D49" s="225"/>
      <c r="E49" s="225"/>
      <c r="F49" s="226"/>
      <c r="G49" s="225"/>
      <c r="H49" s="227"/>
      <c r="I49" s="227"/>
      <c r="J49" s="251"/>
      <c r="L49" s="267"/>
      <c r="V49" s="229"/>
      <c r="X49" s="230"/>
    </row>
    <row r="50" spans="1:24" s="228" customFormat="1" ht="15" customHeight="1" x14ac:dyDescent="0.25">
      <c r="A50" s="225" t="s">
        <v>218</v>
      </c>
      <c r="B50" s="225"/>
      <c r="C50" s="225"/>
      <c r="D50" s="225"/>
      <c r="E50" s="225"/>
      <c r="F50" s="226"/>
      <c r="G50" s="225"/>
      <c r="H50" s="227"/>
      <c r="I50" s="227"/>
      <c r="J50" s="251"/>
      <c r="L50" s="267"/>
      <c r="V50" s="229"/>
      <c r="X50" s="230"/>
    </row>
    <row r="51" spans="1:24" s="228" customFormat="1" ht="15" customHeight="1" x14ac:dyDescent="0.25">
      <c r="A51" s="225"/>
      <c r="B51" s="225"/>
      <c r="C51" s="225"/>
      <c r="D51" s="225"/>
      <c r="E51" s="225"/>
      <c r="F51" s="226"/>
      <c r="G51" s="225"/>
      <c r="H51" s="227"/>
      <c r="I51" s="227"/>
      <c r="J51" s="251"/>
      <c r="L51" s="267"/>
      <c r="V51" s="229"/>
      <c r="X51" s="230"/>
    </row>
    <row r="52" spans="1:24" s="228" customFormat="1" ht="15" customHeight="1" x14ac:dyDescent="0.25">
      <c r="A52" s="225" t="s">
        <v>219</v>
      </c>
      <c r="B52" s="225"/>
      <c r="C52" s="225"/>
      <c r="D52" s="225"/>
      <c r="E52" s="225"/>
      <c r="F52" s="226"/>
      <c r="G52" s="225"/>
      <c r="H52" s="227"/>
      <c r="I52" s="227"/>
      <c r="J52" s="251"/>
      <c r="L52" s="267"/>
      <c r="V52" s="229"/>
      <c r="X52" s="230"/>
    </row>
    <row r="53" spans="1:24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252"/>
      <c r="K53" s="35"/>
      <c r="L53" s="268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4" ht="15" customHeight="1" x14ac:dyDescent="0.25">
      <c r="A54" s="48"/>
      <c r="B54" s="48"/>
      <c r="C54" s="48"/>
      <c r="D54" s="48"/>
      <c r="E54" s="48"/>
      <c r="F54" s="84"/>
      <c r="G54" s="48"/>
      <c r="H54" s="85"/>
      <c r="I54" s="85"/>
      <c r="J54" s="252"/>
      <c r="K54" s="35"/>
      <c r="L54" s="268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4" ht="15" customHeight="1" x14ac:dyDescent="0.25">
      <c r="A55" s="86"/>
      <c r="B55" s="318"/>
      <c r="C55" s="318"/>
      <c r="D55" s="318"/>
      <c r="E55" s="318"/>
      <c r="F55" s="318"/>
      <c r="G55" s="318"/>
      <c r="H55" s="318"/>
      <c r="I55" s="318"/>
      <c r="J55" s="318"/>
      <c r="K55" s="35"/>
      <c r="L55" s="268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4" ht="15" customHeight="1" x14ac:dyDescent="0.25">
      <c r="A56" s="86"/>
      <c r="B56" s="319"/>
      <c r="C56" s="319"/>
      <c r="D56" s="319"/>
      <c r="E56" s="319"/>
      <c r="F56" s="319"/>
      <c r="G56" s="319"/>
      <c r="H56" s="319"/>
      <c r="I56" s="319"/>
      <c r="J56" s="319"/>
      <c r="K56" s="35"/>
      <c r="L56" s="268"/>
      <c r="M56" s="35"/>
      <c r="N56" s="35"/>
      <c r="O56" s="35"/>
      <c r="P56" s="35"/>
      <c r="Q56" s="35"/>
      <c r="R56" s="35"/>
      <c r="S56" s="35"/>
      <c r="T56" s="35"/>
      <c r="U56" s="35"/>
      <c r="V56" s="89"/>
    </row>
  </sheetData>
  <mergeCells count="5">
    <mergeCell ref="A7:E7"/>
    <mergeCell ref="F7:G7"/>
    <mergeCell ref="R9:S9"/>
    <mergeCell ref="B55:J55"/>
    <mergeCell ref="B56:J56"/>
  </mergeCells>
  <pageMargins left="0" right="0" top="1" bottom="0" header="0.511811023622047" footer="0.511811023622047"/>
  <pageSetup paperSize="9" scale="31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colBreaks count="2" manualBreakCount="2">
    <brk id="4" max="1048575" man="1"/>
    <brk id="6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xr:uid="{C2FA2646-C2EA-4A82-AD56-E12C886306EA}">
          <x14:formula1>
            <xm:f>CODE_MASTER_AS!$A$3:$A$14</xm:f>
          </x14:formula1>
          <xm:sqref>C47:C48 F46:G46 C15:C45</xm:sqref>
        </x14:dataValidation>
        <x14:dataValidation type="list" allowBlank="1" xr:uid="{35B10B3E-564C-4C38-A079-5C9B8BAB83AD}">
          <x14:formula1>
            <xm:f>LISTS!$B$2:$B$8</xm:f>
          </x14:formula1>
          <x14:formula2>
            <xm:f>0</xm:f>
          </x14:formula2>
          <xm:sqref>H15:H48</xm:sqref>
        </x14:dataValidation>
        <x14:dataValidation type="list" allowBlank="1" xr:uid="{8977AE91-51E6-4B5A-9ECD-A0129A10808C}">
          <x14:formula1>
            <xm:f>'SIZE GUIDE'!$A$3:$A$38</xm:f>
          </x14:formula1>
          <xm:sqref>E15:E48</xm:sqref>
        </x14:dataValidation>
        <x14:dataValidation type="list" allowBlank="1" showInputMessage="1" showErrorMessage="1" xr:uid="{CB1D4A63-5FC8-474E-916D-25B7DD47B99E}">
          <x14:formula1>
            <xm:f>'SIZE GUIDE'!$B:$B</xm:f>
          </x14:formula1>
          <xm:sqref>G46 F15:F48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C505B-2657-47AE-B38B-D9C6B76D1121}">
  <sheetPr codeName="Sheet15">
    <pageSetUpPr fitToPage="1"/>
  </sheetPr>
  <dimension ref="A1:AH56"/>
  <sheetViews>
    <sheetView showGridLines="0" view="pageBreakPreview" topLeftCell="A22" zoomScale="80" zoomScaleNormal="68" zoomScaleSheetLayoutView="80" workbookViewId="0">
      <selection activeCell="H37" sqref="H37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25" style="16" hidden="1" customWidth="1"/>
    <col min="5" max="5" width="16.83203125" style="16" customWidth="1"/>
    <col min="6" max="6" width="15.33203125" style="16" hidden="1" customWidth="1"/>
    <col min="7" max="7" width="23.5" style="16" bestFit="1" customWidth="1"/>
    <col min="8" max="8" width="18.6640625" style="16" customWidth="1"/>
    <col min="9" max="9" width="10.6640625" style="16" customWidth="1"/>
    <col min="10" max="10" width="10.6640625" style="15" hidden="1" customWidth="1"/>
    <col min="11" max="11" width="10.6640625" style="16" hidden="1" customWidth="1"/>
    <col min="12" max="12" width="10.6640625" style="269" hidden="1" customWidth="1"/>
    <col min="13" max="16" width="10.6640625" style="16" hidden="1" customWidth="1"/>
    <col min="17" max="19" width="10.6640625" style="16" customWidth="1"/>
    <col min="20" max="20" width="14.6640625" style="16" customWidth="1"/>
    <col min="21" max="21" width="14.1640625" style="16" customWidth="1"/>
    <col min="22" max="22" width="14.5" style="98" customWidth="1"/>
    <col min="23" max="23" width="28.1640625" style="16" customWidth="1"/>
    <col min="24" max="24" width="20.33203125" style="23" customWidth="1"/>
    <col min="25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45"/>
      <c r="K1" s="29"/>
      <c r="L1" s="261"/>
      <c r="M1" s="29" t="s">
        <v>204</v>
      </c>
      <c r="N1" s="27"/>
      <c r="O1" s="27"/>
      <c r="P1" s="27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246"/>
      <c r="K2" s="31"/>
      <c r="L2" s="261"/>
      <c r="M2" s="32" t="s">
        <v>161</v>
      </c>
      <c r="N2" s="27"/>
      <c r="O2" s="27"/>
      <c r="P2" s="28" t="s">
        <v>160</v>
      </c>
      <c r="R2" s="20"/>
      <c r="S2" s="21"/>
      <c r="U2" s="13"/>
      <c r="V2" s="20"/>
      <c r="W2" s="20"/>
      <c r="X2" s="20" t="s">
        <v>151</v>
      </c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247"/>
      <c r="K3" s="37"/>
      <c r="L3" s="262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247"/>
      <c r="K4" s="37"/>
      <c r="L4" s="262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247"/>
      <c r="K5" s="37"/>
      <c r="L5" s="262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247"/>
      <c r="K6" s="37"/>
      <c r="L6" s="262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5" t="s">
        <v>143</v>
      </c>
      <c r="B7" s="315"/>
      <c r="C7" s="315"/>
      <c r="D7" s="315"/>
      <c r="E7" s="315"/>
      <c r="F7" s="316"/>
      <c r="G7" s="316"/>
      <c r="H7" s="35"/>
      <c r="I7" s="35"/>
      <c r="J7" s="247"/>
      <c r="K7" s="37"/>
      <c r="L7" s="262"/>
      <c r="M7" s="37"/>
      <c r="N7" s="38"/>
      <c r="O7" s="38"/>
      <c r="P7" s="38"/>
      <c r="Q7" s="231" t="s">
        <v>147</v>
      </c>
      <c r="R7" s="231"/>
      <c r="S7" s="231"/>
      <c r="T7" s="231"/>
      <c r="U7" s="231"/>
      <c r="V7" s="231" t="s">
        <v>148</v>
      </c>
      <c r="W7" s="231"/>
      <c r="X7" s="231"/>
    </row>
    <row r="8" spans="1:24" ht="15" customHeight="1" x14ac:dyDescent="0.25">
      <c r="A8" s="44" t="s">
        <v>212</v>
      </c>
      <c r="B8" s="45"/>
      <c r="C8" s="45"/>
      <c r="D8" s="46"/>
      <c r="E8" s="46"/>
      <c r="F8" s="36"/>
      <c r="G8" s="46"/>
      <c r="H8" s="35"/>
      <c r="I8" s="35"/>
      <c r="J8" s="247"/>
      <c r="K8" s="37"/>
      <c r="L8" s="262"/>
      <c r="M8" s="37"/>
      <c r="N8" s="38"/>
      <c r="O8" s="38"/>
      <c r="P8" s="38"/>
      <c r="Q8" s="190" t="s">
        <v>272</v>
      </c>
      <c r="R8" s="191"/>
      <c r="S8" s="192"/>
      <c r="T8" s="193"/>
      <c r="U8" s="194"/>
      <c r="V8" s="195">
        <v>46197</v>
      </c>
      <c r="W8" s="232"/>
      <c r="X8" s="233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247"/>
      <c r="K9" s="37"/>
      <c r="L9" s="262"/>
      <c r="M9" s="37"/>
      <c r="N9" s="38"/>
      <c r="O9" s="38"/>
      <c r="P9" s="38"/>
      <c r="Q9" s="225"/>
      <c r="R9" s="317"/>
      <c r="S9" s="317"/>
      <c r="T9" s="228"/>
      <c r="U9" s="234"/>
      <c r="V9" s="235"/>
      <c r="W9" s="232"/>
      <c r="X9" s="233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247"/>
      <c r="K10" s="37"/>
      <c r="L10" s="262"/>
      <c r="M10" s="37"/>
      <c r="N10" s="38"/>
      <c r="O10" s="38"/>
      <c r="P10" s="38"/>
      <c r="Q10" s="236" t="s">
        <v>149</v>
      </c>
      <c r="R10" s="231"/>
      <c r="S10" s="231"/>
      <c r="T10" s="231"/>
      <c r="U10" s="231"/>
      <c r="V10" s="231" t="s">
        <v>150</v>
      </c>
      <c r="W10" s="231"/>
      <c r="X10" s="231"/>
    </row>
    <row r="11" spans="1:24" ht="15" customHeight="1" x14ac:dyDescent="0.25">
      <c r="A11" s="188" t="s">
        <v>233</v>
      </c>
      <c r="B11" s="34"/>
      <c r="C11" s="35"/>
      <c r="D11" s="35"/>
      <c r="E11" s="46"/>
      <c r="F11" s="46"/>
      <c r="G11" s="46"/>
      <c r="H11" s="35"/>
      <c r="I11" s="35"/>
      <c r="J11" s="247"/>
      <c r="K11" s="37"/>
      <c r="L11" s="262"/>
      <c r="M11" s="37"/>
      <c r="N11" s="38"/>
      <c r="O11" s="38"/>
      <c r="P11" s="38"/>
      <c r="Q11" s="190" t="s">
        <v>271</v>
      </c>
      <c r="R11" s="190"/>
      <c r="S11" s="190"/>
      <c r="T11" s="193"/>
      <c r="U11" s="194"/>
      <c r="V11" s="190"/>
      <c r="W11" s="232"/>
      <c r="X11" s="233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247"/>
      <c r="K12" s="37"/>
      <c r="L12" s="262"/>
      <c r="M12" s="37"/>
      <c r="N12" s="38"/>
      <c r="O12" s="38"/>
      <c r="P12" s="38"/>
      <c r="Q12" s="190"/>
      <c r="R12" s="190"/>
      <c r="S12" s="190"/>
      <c r="T12" s="190"/>
      <c r="U12" s="194"/>
      <c r="V12" s="237"/>
      <c r="W12" s="232"/>
      <c r="X12" s="233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4"/>
      <c r="K13" s="50"/>
      <c r="L13" s="263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210" customFormat="1" ht="39.75" customHeight="1" x14ac:dyDescent="0.2">
      <c r="A14" s="212" t="s">
        <v>158</v>
      </c>
      <c r="B14" s="212" t="s">
        <v>0</v>
      </c>
      <c r="C14" s="212" t="s">
        <v>1</v>
      </c>
      <c r="D14" s="213" t="s">
        <v>135</v>
      </c>
      <c r="E14" s="213" t="s">
        <v>157</v>
      </c>
      <c r="F14" s="213" t="s">
        <v>3</v>
      </c>
      <c r="G14" s="213" t="s">
        <v>152</v>
      </c>
      <c r="H14" s="213" t="s">
        <v>105</v>
      </c>
      <c r="I14" s="213" t="s">
        <v>5</v>
      </c>
      <c r="J14" s="248" t="s">
        <v>64</v>
      </c>
      <c r="K14" s="216" t="s">
        <v>136</v>
      </c>
      <c r="L14" s="264" t="s">
        <v>24</v>
      </c>
      <c r="M14" s="216" t="s">
        <v>108</v>
      </c>
      <c r="N14" s="217" t="s">
        <v>136</v>
      </c>
      <c r="O14" s="217" t="s">
        <v>24</v>
      </c>
      <c r="P14" s="259" t="s">
        <v>108</v>
      </c>
      <c r="Q14" s="213" t="s">
        <v>136</v>
      </c>
      <c r="R14" s="213" t="s">
        <v>24</v>
      </c>
      <c r="S14" s="213" t="s">
        <v>108</v>
      </c>
      <c r="T14" s="218" t="s">
        <v>159</v>
      </c>
      <c r="U14" s="219" t="s">
        <v>6</v>
      </c>
      <c r="V14" s="220" t="s">
        <v>7</v>
      </c>
      <c r="W14" s="220" t="s">
        <v>140</v>
      </c>
      <c r="X14" s="220" t="s">
        <v>141</v>
      </c>
    </row>
    <row r="15" spans="1:24" s="210" customFormat="1" ht="31.5" customHeight="1" x14ac:dyDescent="0.2">
      <c r="A15" s="196">
        <v>1</v>
      </c>
      <c r="B15" s="196"/>
      <c r="C15" s="196" t="s">
        <v>89</v>
      </c>
      <c r="D15" s="197"/>
      <c r="E15" s="197" t="s">
        <v>11</v>
      </c>
      <c r="F15" s="198" t="s">
        <v>123</v>
      </c>
      <c r="G15" s="199" t="str">
        <f>IF(COUNTIFS($C$15:C15,C15,$H$15:H15,H15)=1,
SUMIFS($I$15:$I$43,$C$15:$C$43,C15,$H$15:$H$43,H15)&amp;H15&amp;" "&amp;C15,
"")</f>
        <v>4K CFN30100W</v>
      </c>
      <c r="H15" s="197" t="s">
        <v>18</v>
      </c>
      <c r="I15" s="200">
        <v>1</v>
      </c>
      <c r="J15" s="249"/>
      <c r="K15" s="201" cm="1">
        <f t="array" ref="K15">IF(E15="untrim",_xlfn.XLOOKUP(1,(TRIM('SIZE GUIDE'!$A$3:$A$2015)=TRIM(E15))*(TRIM('SIZE GUIDE'!$B$3:$B$2015)=TRIM(F15))*(TRIM('SIZE GUIDE'!$C$3:$C$2015)=TRIM(H15)),'SIZE GUIDE'!$D$3:$D$2015),"")</f>
        <v>81</v>
      </c>
      <c r="L15" s="265" cm="1">
        <f t="array" ref="L15">IF(E15="untrim",IFERROR(INDEX('SIZE GUIDE'!$E:$E,MATCH(1,('SIZE GUIDE'!$A:$A=$E15)*('SIZE GUIDE'!$B:$B=$F15)*('SIZE GUIDE'!$C:$C=$H15),0)),""),"")</f>
        <v>77</v>
      </c>
      <c r="M15" s="202">
        <v>39</v>
      </c>
      <c r="N15" s="203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203" t="str" cm="1">
        <f t="array" ref="O15">IF(E15="trim",IFERROR(INDEX('SIZE GUIDE'!$E:$E,MATCH(1,('SIZE GUIDE'!$A:$A=$E15)*('SIZE GUIDE'!$B:$B=$F15)*('SIZE GUIDE'!$C:$C=$H15),0)),""),"")</f>
        <v/>
      </c>
      <c r="P15" s="203"/>
      <c r="Q15" s="204">
        <v>84.5</v>
      </c>
      <c r="R15" s="198">
        <v>73.5</v>
      </c>
      <c r="S15" s="198">
        <f>IF(E15="untrim",M15-0.5,P15-0.5)</f>
        <v>38.5</v>
      </c>
      <c r="T15" s="205">
        <f>IFERROR(Q15*R15*S15/144*I15,"")</f>
        <v>1660.5130208333333</v>
      </c>
      <c r="U15" s="206">
        <f>SUMIFS(CODE_PRICE!F:F,CODE_PRICE!B:B,C15,CODE_PRICE!A:A,$A$8)</f>
        <v>0.1895</v>
      </c>
      <c r="V15" s="207">
        <f t="shared" ref="V15:V31" si="0">T15*U15</f>
        <v>314.66721744791664</v>
      </c>
      <c r="W15" s="208" t="str">
        <f>IF(COUNTIF($C$15:C15,C15)=1,C15 &amp; " - " &amp; TEXT(SUMIF($C:$C,C15,$T:$T),"0.00"),"")</f>
        <v>CFN30100W - 25865.84</v>
      </c>
      <c r="X15" s="209">
        <f>IF(COUNTIF($C$15:C15,C15)=1,ROUND(SUMIF($C:$C,C15,$V:$V),2), "")</f>
        <v>4901.58</v>
      </c>
    </row>
    <row r="16" spans="1:24" s="210" customFormat="1" ht="31.5" customHeight="1" x14ac:dyDescent="0.2">
      <c r="A16" s="196">
        <f>A15+1</f>
        <v>2</v>
      </c>
      <c r="B16" s="196"/>
      <c r="C16" s="196" t="s">
        <v>89</v>
      </c>
      <c r="D16" s="197"/>
      <c r="E16" s="197" t="s">
        <v>11</v>
      </c>
      <c r="F16" s="198" t="s">
        <v>123</v>
      </c>
      <c r="G16" s="199" t="str">
        <f>IF(COUNTIFS($C$15:C16,C16,$H$15:H16,H16)=1,
SUMIFS($I$15:$I$43,$C$15:$C$43,C16,$H$15:$H$43,H16)&amp;H16&amp;" "&amp;C16,
"")</f>
        <v/>
      </c>
      <c r="H16" s="197" t="s">
        <v>18</v>
      </c>
      <c r="I16" s="200">
        <v>1</v>
      </c>
      <c r="J16" s="249"/>
      <c r="K16" s="201" cm="1">
        <f t="array" ref="K16">IF(E16="untrim",_xlfn.XLOOKUP(1,(TRIM('SIZE GUIDE'!$A$3:$A$2015)=TRIM(E16))*(TRIM('SIZE GUIDE'!$B$3:$B$2015)=TRIM(F16))*(TRIM('SIZE GUIDE'!$C$3:$C$2015)=TRIM(H16)),'SIZE GUIDE'!$D$3:$D$2015),"")</f>
        <v>81</v>
      </c>
      <c r="L16" s="265" cm="1">
        <f t="array" ref="L16">IF(E16="untrim",IFERROR(INDEX('SIZE GUIDE'!$E:$E,MATCH(1,('SIZE GUIDE'!$A:$A=$E16)*('SIZE GUIDE'!$B:$B=$F16)*('SIZE GUIDE'!$C:$C=$H16),0)),""),"")</f>
        <v>77</v>
      </c>
      <c r="M16" s="202">
        <v>39</v>
      </c>
      <c r="N16" s="203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203" t="str" cm="1">
        <f t="array" ref="O16">IF(E16="trim",IFERROR(INDEX('SIZE GUIDE'!$E:$E,MATCH(1,('SIZE GUIDE'!$A:$A=$E16)*('SIZE GUIDE'!$B:$B=$F16)*('SIZE GUIDE'!$C:$C=$H16),0)),""),"")</f>
        <v/>
      </c>
      <c r="P16" s="203"/>
      <c r="Q16" s="204">
        <f t="shared" ref="Q16:Q31" si="1">IF(E16="untrim",K16-1.5,N16)</f>
        <v>79.5</v>
      </c>
      <c r="R16" s="198">
        <f t="shared" ref="R16:R31" si="2">IF(E16="untrim",L16-1.5,O16)</f>
        <v>75.5</v>
      </c>
      <c r="S16" s="198">
        <f t="shared" ref="S16:S31" si="3">IF(E16="untrim",M16-0.5,P16-0.5)</f>
        <v>38.5</v>
      </c>
      <c r="T16" s="205">
        <f t="shared" ref="T16:T31" si="4">IFERROR(Q16*R16*S16/144*I16,"")</f>
        <v>1604.7682291666667</v>
      </c>
      <c r="U16" s="206">
        <f>SUMIFS(CODE_PRICE!F:F,CODE_PRICE!B:B,C16,CODE_PRICE!A:A,$A$8)</f>
        <v>0.1895</v>
      </c>
      <c r="V16" s="207">
        <f t="shared" si="0"/>
        <v>304.10357942708333</v>
      </c>
      <c r="W16" s="208" t="str">
        <f>IF(COUNTIF($C$15:C16,C16)=1,C16 &amp; " - " &amp; TEXT(SUMIF($C:$C,C16,$T:$T),"0.00"),"")</f>
        <v/>
      </c>
      <c r="X16" s="209" t="str">
        <f>IF(COUNTIF($C$15:C16,C16)=1,ROUND(SUMIF($C:$C,C16,$V:$V),2), "")</f>
        <v/>
      </c>
    </row>
    <row r="17" spans="1:34" s="210" customFormat="1" ht="31.5" customHeight="1" x14ac:dyDescent="0.2">
      <c r="A17" s="196">
        <f t="shared" ref="A17:A35" si="5">A16+1</f>
        <v>3</v>
      </c>
      <c r="B17" s="196"/>
      <c r="C17" s="196" t="s">
        <v>89</v>
      </c>
      <c r="D17" s="197"/>
      <c r="E17" s="197" t="s">
        <v>11</v>
      </c>
      <c r="F17" s="198" t="s">
        <v>123</v>
      </c>
      <c r="G17" s="199" t="str">
        <f>IF(COUNTIFS($C$15:C17,C17,$H$15:H17,H17)=1,
SUMIFS($I$15:$I$43,$C$15:$C$43,C17,$H$15:$H$43,H17)&amp;H17&amp;" "&amp;C17,
"")</f>
        <v/>
      </c>
      <c r="H17" s="197" t="s">
        <v>18</v>
      </c>
      <c r="I17" s="200">
        <v>1</v>
      </c>
      <c r="J17" s="249"/>
      <c r="K17" s="201" cm="1">
        <f t="array" ref="K17">IF(E17="untrim",_xlfn.XLOOKUP(1,(TRIM('SIZE GUIDE'!$A$3:$A$2015)=TRIM(E17))*(TRIM('SIZE GUIDE'!$B$3:$B$2015)=TRIM(F17))*(TRIM('SIZE GUIDE'!$C$3:$C$2015)=TRIM(H17)),'SIZE GUIDE'!$D$3:$D$2015),"")</f>
        <v>81</v>
      </c>
      <c r="L17" s="265" cm="1">
        <f t="array" ref="L17">IF(E17="untrim",IFERROR(INDEX('SIZE GUIDE'!$E:$E,MATCH(1,('SIZE GUIDE'!$A:$A=$E17)*('SIZE GUIDE'!$B:$B=$F17)*('SIZE GUIDE'!$C:$C=$H17),0)),""),"")</f>
        <v>77</v>
      </c>
      <c r="M17" s="202">
        <v>39.5</v>
      </c>
      <c r="N17" s="203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203" t="str" cm="1">
        <f t="array" ref="O17">IF(E17="trim",IFERROR(INDEX('SIZE GUIDE'!$E:$E,MATCH(1,('SIZE GUIDE'!$A:$A=$E17)*('SIZE GUIDE'!$B:$B=$F17)*('SIZE GUIDE'!$C:$C=$H17),0)),""),"")</f>
        <v/>
      </c>
      <c r="P17" s="203"/>
      <c r="Q17" s="204">
        <f t="shared" si="1"/>
        <v>79.5</v>
      </c>
      <c r="R17" s="198">
        <f t="shared" si="2"/>
        <v>75.5</v>
      </c>
      <c r="S17" s="198">
        <f t="shared" si="3"/>
        <v>39</v>
      </c>
      <c r="T17" s="205">
        <f t="shared" si="4"/>
        <v>1625.609375</v>
      </c>
      <c r="U17" s="206">
        <f>SUMIFS(CODE_PRICE!F:F,CODE_PRICE!B:B,C17,CODE_PRICE!A:A,$A$8)</f>
        <v>0.1895</v>
      </c>
      <c r="V17" s="207">
        <f t="shared" si="0"/>
        <v>308.05297656250002</v>
      </c>
      <c r="W17" s="208" t="str">
        <f>IF(COUNTIF($C$15:C17,C17)=1,C17 &amp; " - " &amp; TEXT(SUMIF($C:$C,C17,$T:$T),"0.00"),"")</f>
        <v/>
      </c>
      <c r="X17" s="209" t="str">
        <f>IF(COUNTIF($C$15:C17,C17)=1,ROUND(SUMIF($C:$C,C17,$V:$V),2), "")</f>
        <v/>
      </c>
    </row>
    <row r="18" spans="1:34" s="210" customFormat="1" ht="31.5" customHeight="1" x14ac:dyDescent="0.2">
      <c r="A18" s="196">
        <f t="shared" si="5"/>
        <v>4</v>
      </c>
      <c r="B18" s="196"/>
      <c r="C18" s="196" t="s">
        <v>89</v>
      </c>
      <c r="D18" s="197"/>
      <c r="E18" s="197" t="s">
        <v>11</v>
      </c>
      <c r="F18" s="198" t="s">
        <v>123</v>
      </c>
      <c r="G18" s="199" t="str">
        <f>IF(COUNTIFS($C$15:C18,C18,$H$15:H18,H18)=1,
SUMIFS($I$15:$I$43,$C$15:$C$43,C18,$H$15:$H$43,H18)&amp;H18&amp;" "&amp;C18,
"")</f>
        <v/>
      </c>
      <c r="H18" s="197" t="s">
        <v>18</v>
      </c>
      <c r="I18" s="200">
        <v>1</v>
      </c>
      <c r="J18" s="249"/>
      <c r="K18" s="201" cm="1">
        <f t="array" ref="K18">IF(E18="untrim",_xlfn.XLOOKUP(1,(TRIM('SIZE GUIDE'!$A$3:$A$2015)=TRIM(E18))*(TRIM('SIZE GUIDE'!$B$3:$B$2015)=TRIM(F18))*(TRIM('SIZE GUIDE'!$C$3:$C$2015)=TRIM(H18)),'SIZE GUIDE'!$D$3:$D$2015),"")</f>
        <v>81</v>
      </c>
      <c r="L18" s="265" cm="1">
        <f t="array" ref="L18">IF(E18="untrim",IFERROR(INDEX('SIZE GUIDE'!$E:$E,MATCH(1,('SIZE GUIDE'!$A:$A=$E18)*('SIZE GUIDE'!$B:$B=$F18)*('SIZE GUIDE'!$C:$C=$H18),0)),""),"")</f>
        <v>77</v>
      </c>
      <c r="M18" s="202">
        <v>39.5</v>
      </c>
      <c r="N18" s="203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203" t="str" cm="1">
        <f t="array" ref="O18">IF(E18="trim",IFERROR(INDEX('SIZE GUIDE'!$E:$E,MATCH(1,('SIZE GUIDE'!$A:$A=$E18)*('SIZE GUIDE'!$B:$B=$F18)*('SIZE GUIDE'!$C:$C=$H18),0)),""),"")</f>
        <v/>
      </c>
      <c r="P18" s="203"/>
      <c r="Q18" s="204">
        <f t="shared" si="1"/>
        <v>79.5</v>
      </c>
      <c r="R18" s="198">
        <f t="shared" si="2"/>
        <v>75.5</v>
      </c>
      <c r="S18" s="198">
        <f t="shared" si="3"/>
        <v>39</v>
      </c>
      <c r="T18" s="205">
        <f t="shared" si="4"/>
        <v>1625.609375</v>
      </c>
      <c r="U18" s="206">
        <f>SUMIFS(CODE_PRICE!F:F,CODE_PRICE!B:B,C18,CODE_PRICE!A:A,$A$8)</f>
        <v>0.1895</v>
      </c>
      <c r="V18" s="207">
        <f t="shared" si="0"/>
        <v>308.05297656250002</v>
      </c>
      <c r="W18" s="208" t="str">
        <f>IF(COUNTIF($C$15:C18,C18)=1,C18 &amp; " - " &amp; TEXT(SUMIF($C:$C,C18,$T:$T),"0.00"),"")</f>
        <v/>
      </c>
      <c r="X18" s="209" t="str">
        <f>IF(COUNTIF($C$15:C18,C18)=1,ROUND(SUMIF($C:$C,C18,$V:$V),2), "")</f>
        <v/>
      </c>
      <c r="AH18" s="211"/>
    </row>
    <row r="19" spans="1:34" s="210" customFormat="1" ht="31.5" customHeight="1" x14ac:dyDescent="0.2">
      <c r="A19" s="196">
        <f t="shared" si="5"/>
        <v>5</v>
      </c>
      <c r="B19" s="196"/>
      <c r="C19" s="196" t="s">
        <v>89</v>
      </c>
      <c r="D19" s="197"/>
      <c r="E19" s="197" t="s">
        <v>11</v>
      </c>
      <c r="F19" s="198" t="s">
        <v>123</v>
      </c>
      <c r="G19" s="199" t="str">
        <f>IF(COUNTIFS($C$15:C19,C19,$H$15:H19,H19)=1,
SUMIFS($I$15:$I$43,$C$15:$C$43,C19,$H$15:$H$43,H19)&amp;H19&amp;" "&amp;C19,
"")</f>
        <v>10Q CFN30100W</v>
      </c>
      <c r="H19" s="197" t="s">
        <v>16</v>
      </c>
      <c r="I19" s="200">
        <v>1</v>
      </c>
      <c r="J19" s="249"/>
      <c r="K19" s="201" cm="1">
        <f t="array" ref="K19">IF(E19="untrim",_xlfn.XLOOKUP(1,(TRIM('SIZE GUIDE'!$A$3:$A$2015)=TRIM(E19))*(TRIM('SIZE GUIDE'!$B$3:$B$2015)=TRIM(F19))*(TRIM('SIZE GUIDE'!$C$3:$C$2015)=TRIM(H19)),'SIZE GUIDE'!$D$3:$D$2015),"")</f>
        <v>81</v>
      </c>
      <c r="L19" s="265" cm="1">
        <f t="array" ref="L19">IF(E19="untrim",IFERROR(INDEX('SIZE GUIDE'!$E:$E,MATCH(1,('SIZE GUIDE'!$A:$A=$E19)*('SIZE GUIDE'!$B:$B=$F19)*('SIZE GUIDE'!$C:$C=$H19),0)),""),"")</f>
        <v>61</v>
      </c>
      <c r="M19" s="202">
        <v>39</v>
      </c>
      <c r="N19" s="203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203" t="str" cm="1">
        <f t="array" ref="O19">IF(E19="trim",IFERROR(INDEX('SIZE GUIDE'!$E:$E,MATCH(1,('SIZE GUIDE'!$A:$A=$E19)*('SIZE GUIDE'!$B:$B=$F19)*('SIZE GUIDE'!$C:$C=$H19),0)),""),"")</f>
        <v/>
      </c>
      <c r="P19" s="203"/>
      <c r="Q19" s="204">
        <f t="shared" si="1"/>
        <v>79.5</v>
      </c>
      <c r="R19" s="198">
        <f t="shared" si="2"/>
        <v>59.5</v>
      </c>
      <c r="S19" s="198">
        <f t="shared" si="3"/>
        <v>38.5</v>
      </c>
      <c r="T19" s="205">
        <f t="shared" si="4"/>
        <v>1264.6848958333333</v>
      </c>
      <c r="U19" s="206">
        <f>SUMIFS(CODE_PRICE!F:F,CODE_PRICE!B:B,C19,CODE_PRICE!A:A,$A$8)</f>
        <v>0.1895</v>
      </c>
      <c r="V19" s="207">
        <f t="shared" si="0"/>
        <v>239.65778776041665</v>
      </c>
      <c r="W19" s="208" t="str">
        <f>IF(COUNTIF($C$15:C19,C19)=1,C19 &amp; " - " &amp; TEXT(SUMIF($C:$C,C19,$T:$T),"0.00"),"")</f>
        <v/>
      </c>
      <c r="X19" s="209" t="str">
        <f>IF(COUNTIF($C$15:C19,C19)=1,ROUND(SUMIF($C:$C,C19,$V:$V),2), "")</f>
        <v/>
      </c>
    </row>
    <row r="20" spans="1:34" s="210" customFormat="1" ht="31.5" customHeight="1" x14ac:dyDescent="0.2">
      <c r="A20" s="196">
        <f t="shared" si="5"/>
        <v>6</v>
      </c>
      <c r="B20" s="196"/>
      <c r="C20" s="196" t="s">
        <v>89</v>
      </c>
      <c r="D20" s="197"/>
      <c r="E20" s="197" t="s">
        <v>11</v>
      </c>
      <c r="F20" s="198" t="s">
        <v>123</v>
      </c>
      <c r="G20" s="199" t="str">
        <f>IF(COUNTIFS($C$15:C20,C20,$H$15:H20,H20)=1,
SUMIFS($I$15:$I$43,$C$15:$C$43,C20,$H$15:$H$43,H20)&amp;H20&amp;" "&amp;C20,
"")</f>
        <v/>
      </c>
      <c r="H20" s="197" t="s">
        <v>16</v>
      </c>
      <c r="I20" s="200">
        <v>1</v>
      </c>
      <c r="J20" s="249"/>
      <c r="K20" s="201" cm="1">
        <f t="array" ref="K20">IF(E20="untrim",_xlfn.XLOOKUP(1,(TRIM('SIZE GUIDE'!$A$3:$A$2015)=TRIM(E20))*(TRIM('SIZE GUIDE'!$B$3:$B$2015)=TRIM(F20))*(TRIM('SIZE GUIDE'!$C$3:$C$2015)=TRIM(H20)),'SIZE GUIDE'!$D$3:$D$2015),"")</f>
        <v>81</v>
      </c>
      <c r="L20" s="265" cm="1">
        <f t="array" ref="L20">IF(E20="untrim",IFERROR(INDEX('SIZE GUIDE'!$E:$E,MATCH(1,('SIZE GUIDE'!$A:$A=$E20)*('SIZE GUIDE'!$B:$B=$F20)*('SIZE GUIDE'!$C:$C=$H20),0)),""),"")</f>
        <v>61</v>
      </c>
      <c r="M20" s="202">
        <v>39</v>
      </c>
      <c r="N20" s="203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203" t="str" cm="1">
        <f t="array" ref="O20">IF(E20="trim",IFERROR(INDEX('SIZE GUIDE'!$E:$E,MATCH(1,('SIZE GUIDE'!$A:$A=$E20)*('SIZE GUIDE'!$B:$B=$F20)*('SIZE GUIDE'!$C:$C=$H20),0)),""),"")</f>
        <v/>
      </c>
      <c r="P20" s="203"/>
      <c r="Q20" s="204">
        <f t="shared" si="1"/>
        <v>79.5</v>
      </c>
      <c r="R20" s="198">
        <f t="shared" si="2"/>
        <v>59.5</v>
      </c>
      <c r="S20" s="198">
        <f t="shared" si="3"/>
        <v>38.5</v>
      </c>
      <c r="T20" s="205">
        <f t="shared" si="4"/>
        <v>1264.6848958333333</v>
      </c>
      <c r="U20" s="206">
        <f>SUMIFS(CODE_PRICE!F:F,CODE_PRICE!B:B,C20,CODE_PRICE!A:A,$A$8)</f>
        <v>0.1895</v>
      </c>
      <c r="V20" s="207">
        <f t="shared" si="0"/>
        <v>239.65778776041665</v>
      </c>
      <c r="W20" s="208" t="str">
        <f>IF(COUNTIF($C$15:C20,C20)=1,C20 &amp; " - " &amp; TEXT(SUMIF($C:$C,C20,$T:$T),"0.00"),"")</f>
        <v/>
      </c>
      <c r="X20" s="209" t="str">
        <f>IF(COUNTIF($C$15:C20,C20)=1,ROUND(SUMIF($C:$C,C20,$V:$V),2), "")</f>
        <v/>
      </c>
    </row>
    <row r="21" spans="1:34" s="210" customFormat="1" ht="31.5" customHeight="1" x14ac:dyDescent="0.2">
      <c r="A21" s="196">
        <f t="shared" si="5"/>
        <v>7</v>
      </c>
      <c r="B21" s="196"/>
      <c r="C21" s="196" t="s">
        <v>89</v>
      </c>
      <c r="D21" s="197"/>
      <c r="E21" s="197" t="s">
        <v>11</v>
      </c>
      <c r="F21" s="198" t="s">
        <v>123</v>
      </c>
      <c r="G21" s="199" t="str">
        <f>IF(COUNTIFS($C$15:C21,C21,$H$15:H21,H21)=1,
SUMIFS($I$15:$I$43,$C$15:$C$43,C21,$H$15:$H$43,H21)&amp;H21&amp;" "&amp;C21,
"")</f>
        <v/>
      </c>
      <c r="H21" s="197" t="s">
        <v>16</v>
      </c>
      <c r="I21" s="200">
        <v>1</v>
      </c>
      <c r="J21" s="249"/>
      <c r="K21" s="201" cm="1">
        <f t="array" ref="K21">IF(E21="untrim",_xlfn.XLOOKUP(1,(TRIM('SIZE GUIDE'!$A$3:$A$2015)=TRIM(E21))*(TRIM('SIZE GUIDE'!$B$3:$B$2015)=TRIM(F21))*(TRIM('SIZE GUIDE'!$C$3:$C$2015)=TRIM(H21)),'SIZE GUIDE'!$D$3:$D$2015),"")</f>
        <v>81</v>
      </c>
      <c r="L21" s="265" cm="1">
        <f t="array" ref="L21">IF(E21="untrim",IFERROR(INDEX('SIZE GUIDE'!$E:$E,MATCH(1,('SIZE GUIDE'!$A:$A=$E21)*('SIZE GUIDE'!$B:$B=$F21)*('SIZE GUIDE'!$C:$C=$H21),0)),""),"")</f>
        <v>61</v>
      </c>
      <c r="M21" s="202">
        <v>42</v>
      </c>
      <c r="N21" s="203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203" t="str" cm="1">
        <f t="array" ref="O21">IF(E21="trim",IFERROR(INDEX('SIZE GUIDE'!$E:$E,MATCH(1,('SIZE GUIDE'!$A:$A=$E21)*('SIZE GUIDE'!$B:$B=$F21)*('SIZE GUIDE'!$C:$C=$H21),0)),""),"")</f>
        <v/>
      </c>
      <c r="P21" s="203"/>
      <c r="Q21" s="204">
        <f t="shared" si="1"/>
        <v>79.5</v>
      </c>
      <c r="R21" s="198">
        <f t="shared" si="2"/>
        <v>59.5</v>
      </c>
      <c r="S21" s="198">
        <f t="shared" si="3"/>
        <v>41.5</v>
      </c>
      <c r="T21" s="205">
        <f t="shared" si="4"/>
        <v>1363.2317708333333</v>
      </c>
      <c r="U21" s="206">
        <f>SUMIFS(CODE_PRICE!F:F,CODE_PRICE!B:B,C21,CODE_PRICE!A:A,$A$8)</f>
        <v>0.1895</v>
      </c>
      <c r="V21" s="207">
        <f t="shared" si="0"/>
        <v>258.33242057291665</v>
      </c>
      <c r="W21" s="208" t="str">
        <f>IF(COUNTIF($C$15:C21,C21)=1,C21 &amp; " - " &amp; TEXT(SUMIF($C:$C,C21,$T:$T),"0.00"),"")</f>
        <v/>
      </c>
      <c r="X21" s="209" t="str">
        <f>IF(COUNTIF($C$15:C21,C21)=1,ROUND(SUMIF($C:$C,C21,$V:$V),2), "")</f>
        <v/>
      </c>
    </row>
    <row r="22" spans="1:34" s="210" customFormat="1" ht="31.5" customHeight="1" x14ac:dyDescent="0.2">
      <c r="A22" s="196">
        <f t="shared" si="5"/>
        <v>8</v>
      </c>
      <c r="B22" s="196"/>
      <c r="C22" s="196" t="s">
        <v>89</v>
      </c>
      <c r="D22" s="197"/>
      <c r="E22" s="197" t="s">
        <v>11</v>
      </c>
      <c r="F22" s="198" t="s">
        <v>123</v>
      </c>
      <c r="G22" s="199" t="str">
        <f>IF(COUNTIFS($C$15:C22,C22,$H$15:H22,H22)=1,
SUMIFS($I$15:$I$43,$C$15:$C$43,C22,$H$15:$H$43,H22)&amp;H22&amp;" "&amp;C22,
"")</f>
        <v/>
      </c>
      <c r="H22" s="197" t="s">
        <v>16</v>
      </c>
      <c r="I22" s="200">
        <v>1</v>
      </c>
      <c r="J22" s="249"/>
      <c r="K22" s="201" cm="1">
        <f t="array" ref="K22">IF(E22="untrim",_xlfn.XLOOKUP(1,(TRIM('SIZE GUIDE'!$A$3:$A$2015)=TRIM(E22))*(TRIM('SIZE GUIDE'!$B$3:$B$2015)=TRIM(F22))*(TRIM('SIZE GUIDE'!$C$3:$C$2015)=TRIM(H22)),'SIZE GUIDE'!$D$3:$D$2015),"")</f>
        <v>81</v>
      </c>
      <c r="L22" s="265" cm="1">
        <f t="array" ref="L22">IF(E22="untrim",IFERROR(INDEX('SIZE GUIDE'!$E:$E,MATCH(1,('SIZE GUIDE'!$A:$A=$E22)*('SIZE GUIDE'!$B:$B=$F22)*('SIZE GUIDE'!$C:$C=$H22),0)),""),"")</f>
        <v>61</v>
      </c>
      <c r="M22" s="202">
        <v>38</v>
      </c>
      <c r="N22" s="203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203" t="str" cm="1">
        <f t="array" ref="O22">IF(E22="trim",IFERROR(INDEX('SIZE GUIDE'!$E:$E,MATCH(1,('SIZE GUIDE'!$A:$A=$E22)*('SIZE GUIDE'!$B:$B=$F22)*('SIZE GUIDE'!$C:$C=$H22),0)),""),"")</f>
        <v/>
      </c>
      <c r="P22" s="203"/>
      <c r="Q22" s="204">
        <f t="shared" si="1"/>
        <v>79.5</v>
      </c>
      <c r="R22" s="198">
        <f t="shared" si="2"/>
        <v>59.5</v>
      </c>
      <c r="S22" s="198">
        <f t="shared" si="3"/>
        <v>37.5</v>
      </c>
      <c r="T22" s="205">
        <f t="shared" si="4"/>
        <v>1231.8359375</v>
      </c>
      <c r="U22" s="206">
        <f>SUMIFS(CODE_PRICE!F:F,CODE_PRICE!B:B,C22,CODE_PRICE!A:A,$A$8)</f>
        <v>0.1895</v>
      </c>
      <c r="V22" s="207">
        <f t="shared" si="0"/>
        <v>233.43291015624999</v>
      </c>
      <c r="W22" s="208" t="str">
        <f>IF(COUNTIF($C$15:C22,C22)=1,C22 &amp; " - " &amp; TEXT(SUMIF($C:$C,C22,$T:$T),"0.00"),"")</f>
        <v/>
      </c>
      <c r="X22" s="209" t="str">
        <f>IF(COUNTIF($C$15:C22,C22)=1,ROUND(SUMIF($C:$C,C22,$V:$V),2), "")</f>
        <v/>
      </c>
      <c r="AD22" s="210" t="s">
        <v>204</v>
      </c>
    </row>
    <row r="23" spans="1:34" s="210" customFormat="1" ht="31.5" customHeight="1" x14ac:dyDescent="0.2">
      <c r="A23" s="196">
        <f t="shared" si="5"/>
        <v>9</v>
      </c>
      <c r="B23" s="196"/>
      <c r="C23" s="196" t="s">
        <v>89</v>
      </c>
      <c r="D23" s="197"/>
      <c r="E23" s="197" t="s">
        <v>11</v>
      </c>
      <c r="F23" s="198" t="s">
        <v>123</v>
      </c>
      <c r="G23" s="199" t="str">
        <f>IF(COUNTIFS($C$15:C23,C23,$H$15:H23,H23)=1,
SUMIFS($I$15:$I$43,$C$15:$C$43,C23,$H$15:$H$43,H23)&amp;H23&amp;" "&amp;C23,
"")</f>
        <v/>
      </c>
      <c r="H23" s="197" t="s">
        <v>16</v>
      </c>
      <c r="I23" s="200">
        <v>1</v>
      </c>
      <c r="J23" s="249"/>
      <c r="K23" s="201" cm="1">
        <f t="array" ref="K23">IF(E23="untrim",_xlfn.XLOOKUP(1,(TRIM('SIZE GUIDE'!$A$3:$A$2015)=TRIM(E23))*(TRIM('SIZE GUIDE'!$B$3:$B$2015)=TRIM(F23))*(TRIM('SIZE GUIDE'!$C$3:$C$2015)=TRIM(H23)),'SIZE GUIDE'!$D$3:$D$2015),"")</f>
        <v>81</v>
      </c>
      <c r="L23" s="265" cm="1">
        <f t="array" ref="L23">IF(E23="untrim",IFERROR(INDEX('SIZE GUIDE'!$E:$E,MATCH(1,('SIZE GUIDE'!$A:$A=$E23)*('SIZE GUIDE'!$B:$B=$F23)*('SIZE GUIDE'!$C:$C=$H23),0)),""),"")</f>
        <v>61</v>
      </c>
      <c r="M23" s="202">
        <v>42.5</v>
      </c>
      <c r="N23" s="203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203" t="str" cm="1">
        <f t="array" ref="O23">IF(E23="trim",IFERROR(INDEX('SIZE GUIDE'!$E:$E,MATCH(1,('SIZE GUIDE'!$A:$A=$E23)*('SIZE GUIDE'!$B:$B=$F23)*('SIZE GUIDE'!$C:$C=$H23),0)),""),"")</f>
        <v/>
      </c>
      <c r="P23" s="203"/>
      <c r="Q23" s="204">
        <f t="shared" si="1"/>
        <v>79.5</v>
      </c>
      <c r="R23" s="198">
        <f t="shared" si="2"/>
        <v>59.5</v>
      </c>
      <c r="S23" s="198">
        <f t="shared" si="3"/>
        <v>42</v>
      </c>
      <c r="T23" s="205">
        <f t="shared" si="4"/>
        <v>1379.65625</v>
      </c>
      <c r="U23" s="206">
        <f>SUMIFS(CODE_PRICE!F:F,CODE_PRICE!B:B,C23,CODE_PRICE!A:A,$A$8)</f>
        <v>0.1895</v>
      </c>
      <c r="V23" s="207">
        <f t="shared" si="0"/>
        <v>261.44485937500002</v>
      </c>
      <c r="W23" s="208" t="str">
        <f>IF(COUNTIF($C$15:C23,C23)=1,C23 &amp; " - " &amp; TEXT(SUMIF($C:$C,C23,$T:$T),"0.00"),"")</f>
        <v/>
      </c>
      <c r="X23" s="209" t="str">
        <f>IF(COUNTIF($C$15:C23,C23)=1,ROUND(SUMIF($C:$C,C23,$V:$V),2), "")</f>
        <v/>
      </c>
    </row>
    <row r="24" spans="1:34" s="210" customFormat="1" ht="31.5" customHeight="1" x14ac:dyDescent="0.2">
      <c r="A24" s="196">
        <f t="shared" si="5"/>
        <v>10</v>
      </c>
      <c r="B24" s="196"/>
      <c r="C24" s="196" t="s">
        <v>89</v>
      </c>
      <c r="D24" s="197"/>
      <c r="E24" s="197" t="s">
        <v>11</v>
      </c>
      <c r="F24" s="198" t="s">
        <v>123</v>
      </c>
      <c r="G24" s="199" t="str">
        <f>IF(COUNTIFS($C$15:C24,C24,$H$15:H24,H24)=1,
SUMIFS($I$15:$I$43,$C$15:$C$43,C24,$H$15:$H$43,H24)&amp;H24&amp;" "&amp;C24,
"")</f>
        <v/>
      </c>
      <c r="H24" s="197" t="s">
        <v>16</v>
      </c>
      <c r="I24" s="200">
        <v>1</v>
      </c>
      <c r="J24" s="249"/>
      <c r="K24" s="201" cm="1">
        <f t="array" ref="K24">IF(E24="untrim",_xlfn.XLOOKUP(1,(TRIM('SIZE GUIDE'!$A$3:$A$2015)=TRIM(E24))*(TRIM('SIZE GUIDE'!$B$3:$B$2015)=TRIM(F24))*(TRIM('SIZE GUIDE'!$C$3:$C$2015)=TRIM(H24)),'SIZE GUIDE'!$D$3:$D$2015),"")</f>
        <v>81</v>
      </c>
      <c r="L24" s="265" cm="1">
        <f t="array" ref="L24">IF(E24="untrim",IFERROR(INDEX('SIZE GUIDE'!$E:$E,MATCH(1,('SIZE GUIDE'!$A:$A=$E24)*('SIZE GUIDE'!$B:$B=$F24)*('SIZE GUIDE'!$C:$C=$H24),0)),""),"")</f>
        <v>61</v>
      </c>
      <c r="M24" s="202">
        <v>41.5</v>
      </c>
      <c r="N24" s="203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203" t="str" cm="1">
        <f t="array" ref="O24">IF(E24="trim",IFERROR(INDEX('SIZE GUIDE'!$E:$E,MATCH(1,('SIZE GUIDE'!$A:$A=$E24)*('SIZE GUIDE'!$B:$B=$F24)*('SIZE GUIDE'!$C:$C=$H24),0)),""),"")</f>
        <v/>
      </c>
      <c r="P24" s="203"/>
      <c r="Q24" s="204">
        <f t="shared" si="1"/>
        <v>79.5</v>
      </c>
      <c r="R24" s="198">
        <f t="shared" si="2"/>
        <v>59.5</v>
      </c>
      <c r="S24" s="198">
        <f t="shared" si="3"/>
        <v>41</v>
      </c>
      <c r="T24" s="205">
        <f t="shared" si="4"/>
        <v>1346.8072916666667</v>
      </c>
      <c r="U24" s="206">
        <f>SUMIFS(CODE_PRICE!F:F,CODE_PRICE!B:B,C24,CODE_PRICE!A:A,$A$8)</f>
        <v>0.1895</v>
      </c>
      <c r="V24" s="207">
        <f t="shared" si="0"/>
        <v>255.21998177083336</v>
      </c>
      <c r="W24" s="208" t="str">
        <f>IF(COUNTIF($C$15:C24,C24)=1,C24 &amp; " - " &amp; TEXT(SUMIF($C:$C,C24,$T:$T),"0.00"),"")</f>
        <v/>
      </c>
      <c r="X24" s="209" t="str">
        <f>IF(COUNTIF($C$15:C24,C24)=1,ROUND(SUMIF($C:$C,C24,$V:$V),2), "")</f>
        <v/>
      </c>
    </row>
    <row r="25" spans="1:34" s="210" customFormat="1" ht="31.5" customHeight="1" x14ac:dyDescent="0.2">
      <c r="A25" s="196">
        <f t="shared" si="5"/>
        <v>11</v>
      </c>
      <c r="B25" s="196"/>
      <c r="C25" s="196" t="s">
        <v>89</v>
      </c>
      <c r="D25" s="197"/>
      <c r="E25" s="197" t="s">
        <v>11</v>
      </c>
      <c r="F25" s="198" t="s">
        <v>123</v>
      </c>
      <c r="G25" s="199" t="str">
        <f>IF(COUNTIFS($C$15:C25,C25,$H$15:H25,H25)=1,
SUMIFS($I$15:$I$43,$C$15:$C$43,C25,$H$15:$H$43,H25)&amp;H25&amp;" "&amp;C25,
"")</f>
        <v/>
      </c>
      <c r="H25" s="197" t="s">
        <v>16</v>
      </c>
      <c r="I25" s="200">
        <v>1</v>
      </c>
      <c r="J25" s="249"/>
      <c r="K25" s="201" cm="1">
        <f t="array" ref="K25">IF(E25="untrim",_xlfn.XLOOKUP(1,(TRIM('SIZE GUIDE'!$A$3:$A$2015)=TRIM(E25))*(TRIM('SIZE GUIDE'!$B$3:$B$2015)=TRIM(F25))*(TRIM('SIZE GUIDE'!$C$3:$C$2015)=TRIM(H25)),'SIZE GUIDE'!$D$3:$D$2015),"")</f>
        <v>81</v>
      </c>
      <c r="L25" s="265" cm="1">
        <f t="array" ref="L25">IF(E25="untrim",IFERROR(INDEX('SIZE GUIDE'!$E:$E,MATCH(1,('SIZE GUIDE'!$A:$A=$E25)*('SIZE GUIDE'!$B:$B=$F25)*('SIZE GUIDE'!$C:$C=$H25),0)),""),"")</f>
        <v>61</v>
      </c>
      <c r="M25" s="202">
        <v>41</v>
      </c>
      <c r="N25" s="203"/>
      <c r="O25" s="203" t="str" cm="1">
        <f t="array" ref="O25">IF(E25="trim",IFERROR(INDEX('SIZE GUIDE'!$E:$E,MATCH(1,('SIZE GUIDE'!$A:$A=$E25)*('SIZE GUIDE'!$B:$B=$F25)*('SIZE GUIDE'!$C:$C=$H25),0)),""),"")</f>
        <v/>
      </c>
      <c r="P25" s="203"/>
      <c r="Q25" s="204">
        <f t="shared" si="1"/>
        <v>79.5</v>
      </c>
      <c r="R25" s="198">
        <f t="shared" si="2"/>
        <v>59.5</v>
      </c>
      <c r="S25" s="198">
        <f t="shared" si="3"/>
        <v>40.5</v>
      </c>
      <c r="T25" s="205">
        <f t="shared" si="4"/>
        <v>1330.3828125</v>
      </c>
      <c r="U25" s="206">
        <f>SUMIFS(CODE_PRICE!F:F,CODE_PRICE!B:B,C25,CODE_PRICE!A:A,$A$8)</f>
        <v>0.1895</v>
      </c>
      <c r="V25" s="207">
        <f t="shared" si="0"/>
        <v>252.10754296875001</v>
      </c>
      <c r="W25" s="208" t="str">
        <f>IF(COUNTIF($C$15:C25,C25)=1,C25 &amp; " - " &amp; TEXT(SUMIF($C:$C,C25,$T:$T),"0.00"),"")</f>
        <v/>
      </c>
      <c r="X25" s="209" t="str">
        <f>IF(COUNTIF($C$15:C25,C25)=1,ROUND(SUMIF($C:$C,C25,$V:$V),2), "")</f>
        <v/>
      </c>
    </row>
    <row r="26" spans="1:34" s="210" customFormat="1" ht="31.5" customHeight="1" x14ac:dyDescent="0.2">
      <c r="A26" s="196">
        <f t="shared" si="5"/>
        <v>12</v>
      </c>
      <c r="B26" s="196"/>
      <c r="C26" s="196" t="s">
        <v>89</v>
      </c>
      <c r="D26" s="197"/>
      <c r="E26" s="197" t="s">
        <v>11</v>
      </c>
      <c r="F26" s="198" t="s">
        <v>123</v>
      </c>
      <c r="G26" s="199" t="str">
        <f>IF(COUNTIFS($C$15:C26,C26,$H$15:H26,H26)=1,
SUMIFS($I$15:$I$43,$C$15:$C$43,C26,$H$15:$H$43,H26)&amp;H26&amp;" "&amp;C26,
"")</f>
        <v/>
      </c>
      <c r="H26" s="197" t="s">
        <v>16</v>
      </c>
      <c r="I26" s="200">
        <v>1</v>
      </c>
      <c r="J26" s="249"/>
      <c r="K26" s="201" cm="1">
        <f t="array" ref="K26">IF(E26="untrim",_xlfn.XLOOKUP(1,(TRIM('SIZE GUIDE'!$A$3:$A$2015)=TRIM(E26))*(TRIM('SIZE GUIDE'!$B$3:$B$2015)=TRIM(F26))*(TRIM('SIZE GUIDE'!$C$3:$C$2015)=TRIM(H26)),'SIZE GUIDE'!$D$3:$D$2015),"")</f>
        <v>81</v>
      </c>
      <c r="L26" s="265" cm="1">
        <f t="array" ref="L26">IF(E26="untrim",IFERROR(INDEX('SIZE GUIDE'!$E:$E,MATCH(1,('SIZE GUIDE'!$A:$A=$E26)*('SIZE GUIDE'!$B:$B=$F26)*('SIZE GUIDE'!$C:$C=$H26),0)),""),"")</f>
        <v>61</v>
      </c>
      <c r="M26" s="202">
        <v>41</v>
      </c>
      <c r="N26" s="203" t="str" cm="1">
        <f t="array" ref="N26">IF(E26="trim",_xlfn.XLOOKUP(1,(TRIM('SIZE GUIDE'!$A$3:$A$2015)=TRIM(E26))*(TRIM('SIZE GUIDE'!$B$3:$B$2015)=TRIM(F26))*(TRIM('SIZE GUIDE'!$C$3:$C$2015)=TRIM(H26)),'SIZE GUIDE'!$D$3:$D$2015),"")</f>
        <v/>
      </c>
      <c r="O26" s="203" t="str" cm="1">
        <f t="array" ref="O26">IF(E26="trim",IFERROR(INDEX('SIZE GUIDE'!$E:$E,MATCH(1,('SIZE GUIDE'!$A:$A=$E26)*('SIZE GUIDE'!$B:$B=$F26)*('SIZE GUIDE'!$C:$C=$H26),0)),""),"")</f>
        <v/>
      </c>
      <c r="P26" s="203"/>
      <c r="Q26" s="204">
        <f t="shared" si="1"/>
        <v>79.5</v>
      </c>
      <c r="R26" s="198">
        <f t="shared" si="2"/>
        <v>59.5</v>
      </c>
      <c r="S26" s="198">
        <f t="shared" si="3"/>
        <v>40.5</v>
      </c>
      <c r="T26" s="205">
        <f t="shared" si="4"/>
        <v>1330.3828125</v>
      </c>
      <c r="U26" s="206">
        <f>SUMIFS(CODE_PRICE!F:F,CODE_PRICE!B:B,C26,CODE_PRICE!A:A,$A$8)</f>
        <v>0.1895</v>
      </c>
      <c r="V26" s="207">
        <f t="shared" si="0"/>
        <v>252.10754296875001</v>
      </c>
      <c r="W26" s="208" t="str">
        <f>IF(COUNTIF($C$15:C26,C26)=1,C26 &amp; " - " &amp; TEXT(SUMIF($C:$C,C26,$T:$T),"0.00"),"")</f>
        <v/>
      </c>
      <c r="X26" s="209" t="str">
        <f>IF(COUNTIF($C$15:C26,C26)=1,ROUND(SUMIF($C:$C,C26,$V:$V),2), "")</f>
        <v/>
      </c>
    </row>
    <row r="27" spans="1:34" s="210" customFormat="1" ht="31.5" customHeight="1" x14ac:dyDescent="0.2">
      <c r="A27" s="196">
        <f t="shared" si="5"/>
        <v>13</v>
      </c>
      <c r="B27" s="196"/>
      <c r="C27" s="196" t="s">
        <v>89</v>
      </c>
      <c r="D27" s="197"/>
      <c r="E27" s="197" t="s">
        <v>11</v>
      </c>
      <c r="F27" s="198" t="s">
        <v>123</v>
      </c>
      <c r="G27" s="199" t="str">
        <f>IF(COUNTIFS($C$15:C27,C27,$H$15:H27,H27)=1,
SUMIFS($I$15:$I$43,$C$15:$C$43,C27,$H$15:$H$43,H27)&amp;H27&amp;" "&amp;C27,
"")</f>
        <v/>
      </c>
      <c r="H27" s="197" t="s">
        <v>16</v>
      </c>
      <c r="I27" s="200">
        <v>1</v>
      </c>
      <c r="J27" s="249"/>
      <c r="K27" s="201" cm="1">
        <f t="array" ref="K27">IF(E27="untrim",_xlfn.XLOOKUP(1,(TRIM('SIZE GUIDE'!$A$3:$A$2015)=TRIM(E27))*(TRIM('SIZE GUIDE'!$B$3:$B$2015)=TRIM(F27))*(TRIM('SIZE GUIDE'!$C$3:$C$2015)=TRIM(H27)),'SIZE GUIDE'!$D$3:$D$2015),"")</f>
        <v>81</v>
      </c>
      <c r="L27" s="265" cm="1">
        <f t="array" ref="L27">IF(E27="untrim",IFERROR(INDEX('SIZE GUIDE'!$E:$E,MATCH(1,('SIZE GUIDE'!$A:$A=$E27)*('SIZE GUIDE'!$B:$B=$F27)*('SIZE GUIDE'!$C:$C=$H27),0)),""),"")</f>
        <v>61</v>
      </c>
      <c r="M27" s="202">
        <v>41</v>
      </c>
      <c r="N27" s="203" t="str" cm="1">
        <f t="array" ref="N27">IF(E27="trim",_xlfn.XLOOKUP(1,(TRIM('SIZE GUIDE'!$A$3:$A$2015)=TRIM(E27))*(TRIM('SIZE GUIDE'!$B$3:$B$2015)=TRIM(F27))*(TRIM('SIZE GUIDE'!$C$3:$C$2015)=TRIM(H27)),'SIZE GUIDE'!$D$3:$D$2015),"")</f>
        <v/>
      </c>
      <c r="O27" s="203" t="str" cm="1">
        <f t="array" ref="O27">IF(E27="trim",IFERROR(INDEX('SIZE GUIDE'!$E:$E,MATCH(1,('SIZE GUIDE'!$A:$A=$E27)*('SIZE GUIDE'!$B:$B=$F27)*('SIZE GUIDE'!$C:$C=$H27),0)),""),"")</f>
        <v/>
      </c>
      <c r="P27" s="203"/>
      <c r="Q27" s="204">
        <f t="shared" si="1"/>
        <v>79.5</v>
      </c>
      <c r="R27" s="198">
        <f t="shared" si="2"/>
        <v>59.5</v>
      </c>
      <c r="S27" s="198">
        <f t="shared" si="3"/>
        <v>40.5</v>
      </c>
      <c r="T27" s="205">
        <f t="shared" si="4"/>
        <v>1330.3828125</v>
      </c>
      <c r="U27" s="206">
        <f>SUMIFS(CODE_PRICE!F:F,CODE_PRICE!B:B,C27,CODE_PRICE!A:A,$A$8)</f>
        <v>0.1895</v>
      </c>
      <c r="V27" s="207">
        <f t="shared" si="0"/>
        <v>252.10754296875001</v>
      </c>
      <c r="W27" s="208" t="str">
        <f>IF(COUNTIF($C$15:C27,C27)=1,C27 &amp; " - " &amp; TEXT(SUMIF($C:$C,C27,$T:$T),"0.00"),"")</f>
        <v/>
      </c>
      <c r="X27" s="209" t="str">
        <f>IF(COUNTIF($C$15:C27,C27)=1,ROUND(SUMIF($C:$C,C27,$V:$V),2), "")</f>
        <v/>
      </c>
    </row>
    <row r="28" spans="1:34" s="210" customFormat="1" ht="31.5" customHeight="1" x14ac:dyDescent="0.2">
      <c r="A28" s="196">
        <f t="shared" si="5"/>
        <v>14</v>
      </c>
      <c r="B28" s="196"/>
      <c r="C28" s="196" t="s">
        <v>89</v>
      </c>
      <c r="D28" s="197"/>
      <c r="E28" s="197" t="s">
        <v>11</v>
      </c>
      <c r="F28" s="198" t="s">
        <v>123</v>
      </c>
      <c r="G28" s="199" t="str">
        <f>IF(COUNTIFS($C$15:C28,C28,$H$15:H28,H28)=1,
SUMIFS($I$15:$I$43,$C$15:$C$43,C28,$H$15:$H$43,H28)&amp;H28&amp;" "&amp;C28,
"")</f>
        <v/>
      </c>
      <c r="H28" s="197" t="s">
        <v>16</v>
      </c>
      <c r="I28" s="200">
        <v>1</v>
      </c>
      <c r="J28" s="249"/>
      <c r="K28" s="201" cm="1">
        <f t="array" ref="K28">IF(E28="untrim",_xlfn.XLOOKUP(1,(TRIM('SIZE GUIDE'!$A$3:$A$2015)=TRIM(E28))*(TRIM('SIZE GUIDE'!$B$3:$B$2015)=TRIM(F28))*(TRIM('SIZE GUIDE'!$C$3:$C$2015)=TRIM(H28)),'SIZE GUIDE'!$D$3:$D$2015),"")</f>
        <v>81</v>
      </c>
      <c r="L28" s="265" cm="1">
        <f t="array" ref="L28">IF(E28="untrim",IFERROR(INDEX('SIZE GUIDE'!$E:$E,MATCH(1,('SIZE GUIDE'!$A:$A=$E28)*('SIZE GUIDE'!$B:$B=$F28)*('SIZE GUIDE'!$C:$C=$H28),0)),""),"")</f>
        <v>61</v>
      </c>
      <c r="M28" s="202">
        <v>41</v>
      </c>
      <c r="N28" s="203" t="str" cm="1">
        <f t="array" ref="N28">IF(E28="trim",_xlfn.XLOOKUP(1,(TRIM('SIZE GUIDE'!$A$3:$A$2015)=TRIM(E28))*(TRIM('SIZE GUIDE'!$B$3:$B$2015)=TRIM(F28))*(TRIM('SIZE GUIDE'!$C$3:$C$2015)=TRIM(H28)),'SIZE GUIDE'!$D$3:$D$2015),"")</f>
        <v/>
      </c>
      <c r="O28" s="203" t="str" cm="1">
        <f t="array" ref="O28">IF(E28="trim",IFERROR(INDEX('SIZE GUIDE'!$E:$E,MATCH(1,('SIZE GUIDE'!$A:$A=$E28)*('SIZE GUIDE'!$B:$B=$F28)*('SIZE GUIDE'!$C:$C=$H28),0)),""),"")</f>
        <v/>
      </c>
      <c r="P28" s="203"/>
      <c r="Q28" s="204">
        <f t="shared" si="1"/>
        <v>79.5</v>
      </c>
      <c r="R28" s="198">
        <f t="shared" si="2"/>
        <v>59.5</v>
      </c>
      <c r="S28" s="198">
        <f t="shared" si="3"/>
        <v>40.5</v>
      </c>
      <c r="T28" s="205">
        <f t="shared" si="4"/>
        <v>1330.3828125</v>
      </c>
      <c r="U28" s="206">
        <f>SUMIFS(CODE_PRICE!F:F,CODE_PRICE!B:B,C28,CODE_PRICE!A:A,$A$8)</f>
        <v>0.1895</v>
      </c>
      <c r="V28" s="207">
        <f t="shared" si="0"/>
        <v>252.10754296875001</v>
      </c>
      <c r="W28" s="208" t="str">
        <f>IF(COUNTIF($C$15:C28,C28)=1,C28 &amp; " - " &amp; TEXT(SUMIF($C:$C,C28,$T:$T),"0.00"),"")</f>
        <v/>
      </c>
      <c r="X28" s="209" t="str">
        <f>IF(COUNTIF($C$15:C28,C28)=1,ROUND(SUMIF($C:$C,C28,$V:$V),2), "")</f>
        <v/>
      </c>
    </row>
    <row r="29" spans="1:34" s="210" customFormat="1" ht="31.5" customHeight="1" x14ac:dyDescent="0.2">
      <c r="A29" s="196">
        <f t="shared" si="5"/>
        <v>15</v>
      </c>
      <c r="B29" s="196"/>
      <c r="C29" s="196" t="s">
        <v>89</v>
      </c>
      <c r="D29" s="197"/>
      <c r="E29" s="197" t="s">
        <v>11</v>
      </c>
      <c r="F29" s="198" t="s">
        <v>123</v>
      </c>
      <c r="G29" s="199" t="str">
        <f>IF(COUNTIFS($C$15:C29,C29,$H$15:H29,H29)=1,
SUMIFS($I$15:$I$43,$C$15:$C$43,C29,$H$15:$H$43,H29)&amp;H29&amp;" "&amp;C29,
"")</f>
        <v>4F CFN30100W</v>
      </c>
      <c r="H29" s="197" t="s">
        <v>14</v>
      </c>
      <c r="I29" s="200">
        <v>1</v>
      </c>
      <c r="J29" s="249"/>
      <c r="K29" s="201" cm="1">
        <f t="array" ref="K29">IF(E29="untrim",_xlfn.XLOOKUP(1,(TRIM('SIZE GUIDE'!$A$3:$A$2015)=TRIM(E29))*(TRIM('SIZE GUIDE'!$B$3:$B$2015)=TRIM(F29))*(TRIM('SIZE GUIDE'!$C$3:$C$2015)=TRIM(H29)),'SIZE GUIDE'!$D$3:$D$2015),"")</f>
        <v>76</v>
      </c>
      <c r="L29" s="265" cm="1">
        <f t="array" ref="L29">IF(E29="untrim",IFERROR(INDEX('SIZE GUIDE'!$E:$E,MATCH(1,('SIZE GUIDE'!$A:$A=$E29)*('SIZE GUIDE'!$B:$B=$F29)*('SIZE GUIDE'!$C:$C=$H29),0)),""),"")</f>
        <v>55</v>
      </c>
      <c r="M29" s="202">
        <v>42.5</v>
      </c>
      <c r="N29" s="203" t="str" cm="1">
        <f t="array" ref="N29">IF(E29="trim",_xlfn.XLOOKUP(1,(TRIM('SIZE GUIDE'!$A$3:$A$2015)=TRIM(E29))*(TRIM('SIZE GUIDE'!$B$3:$B$2015)=TRIM(F29))*(TRIM('SIZE GUIDE'!$C$3:$C$2015)=TRIM(H29)),'SIZE GUIDE'!$D$3:$D$2015),"")</f>
        <v/>
      </c>
      <c r="O29" s="203" t="str" cm="1">
        <f t="array" ref="O29">IF(E29="trim",IFERROR(INDEX('SIZE GUIDE'!$E:$E,MATCH(1,('SIZE GUIDE'!$A:$A=$E29)*('SIZE GUIDE'!$B:$B=$F29)*('SIZE GUIDE'!$C:$C=$H29),0)),""),"")</f>
        <v/>
      </c>
      <c r="P29" s="203"/>
      <c r="Q29" s="204">
        <f t="shared" si="1"/>
        <v>74.5</v>
      </c>
      <c r="R29" s="198">
        <f t="shared" si="2"/>
        <v>53.5</v>
      </c>
      <c r="S29" s="198">
        <f t="shared" si="3"/>
        <v>42</v>
      </c>
      <c r="T29" s="205">
        <f t="shared" si="4"/>
        <v>1162.5104166666667</v>
      </c>
      <c r="U29" s="206">
        <f>SUMIFS(CODE_PRICE!F:F,CODE_PRICE!B:B,C29,CODE_PRICE!A:A,$A$8)</f>
        <v>0.1895</v>
      </c>
      <c r="V29" s="207">
        <f t="shared" si="0"/>
        <v>220.29572395833335</v>
      </c>
      <c r="W29" s="208" t="str">
        <f>IF(COUNTIF($C$15:C29,C29)=1,C29 &amp; " - " &amp; TEXT(SUMIF($C:$C,C29,$T:$T),"0.00"),"")</f>
        <v/>
      </c>
      <c r="X29" s="209"/>
    </row>
    <row r="30" spans="1:34" s="210" customFormat="1" ht="31.5" customHeight="1" x14ac:dyDescent="0.2">
      <c r="A30" s="196">
        <f t="shared" si="5"/>
        <v>16</v>
      </c>
      <c r="B30" s="196"/>
      <c r="C30" s="196" t="s">
        <v>89</v>
      </c>
      <c r="D30" s="197"/>
      <c r="E30" s="197" t="s">
        <v>11</v>
      </c>
      <c r="F30" s="198" t="s">
        <v>123</v>
      </c>
      <c r="G30" s="199" t="str">
        <f>IF(COUNTIFS($C$15:C30,C30,$H$15:H30,H30)=1,
SUMIFS($I$15:$I$43,$C$15:$C$43,C30,$H$15:$H$43,H30)&amp;H30&amp;" "&amp;C30,
"")</f>
        <v/>
      </c>
      <c r="H30" s="197" t="s">
        <v>14</v>
      </c>
      <c r="I30" s="200">
        <v>1</v>
      </c>
      <c r="J30" s="285"/>
      <c r="K30" s="201" cm="1">
        <f t="array" ref="K30">IF(E30="untrim",_xlfn.XLOOKUP(1,(TRIM('SIZE GUIDE'!$A$3:$A$2015)=TRIM(E30))*(TRIM('SIZE GUIDE'!$B$3:$B$2015)=TRIM(F30))*(TRIM('SIZE GUIDE'!$C$3:$C$2015)=TRIM(H30)),'SIZE GUIDE'!$D$3:$D$2015),"")</f>
        <v>76</v>
      </c>
      <c r="L30" s="265" cm="1">
        <f t="array" ref="L30">IF(E30="untrim",IFERROR(INDEX('SIZE GUIDE'!$E:$E,MATCH(1,('SIZE GUIDE'!$A:$A=$E30)*('SIZE GUIDE'!$B:$B=$F30)*('SIZE GUIDE'!$C:$C=$H30),0)),""),"")</f>
        <v>55</v>
      </c>
      <c r="M30" s="202">
        <v>42.5</v>
      </c>
      <c r="N30" s="203" t="str" cm="1">
        <f t="array" ref="N30">IF(E30="trim",_xlfn.XLOOKUP(1,(TRIM('SIZE GUIDE'!$A$3:$A$2015)=TRIM(E30))*(TRIM('SIZE GUIDE'!$B$3:$B$2015)=TRIM(F30))*(TRIM('SIZE GUIDE'!$C$3:$C$2015)=TRIM(H30)),'SIZE GUIDE'!$D$3:$D$2015),"")</f>
        <v/>
      </c>
      <c r="O30" s="203" t="str" cm="1">
        <f t="array" ref="O30">IF(E30="trim",IFERROR(INDEX('SIZE GUIDE'!$E:$E,MATCH(1,('SIZE GUIDE'!$A:$A=$E30)*('SIZE GUIDE'!$B:$B=$F30)*('SIZE GUIDE'!$C:$C=$H30),0)),""),"")</f>
        <v/>
      </c>
      <c r="P30" s="203"/>
      <c r="Q30" s="204">
        <f t="shared" si="1"/>
        <v>74.5</v>
      </c>
      <c r="R30" s="198">
        <f t="shared" si="2"/>
        <v>53.5</v>
      </c>
      <c r="S30" s="198">
        <f t="shared" si="3"/>
        <v>42</v>
      </c>
      <c r="T30" s="205">
        <f t="shared" si="4"/>
        <v>1162.5104166666667</v>
      </c>
      <c r="U30" s="206">
        <f>SUMIFS(CODE_PRICE!F:F,CODE_PRICE!B:B,C30,CODE_PRICE!A:A,$A$8)</f>
        <v>0.1895</v>
      </c>
      <c r="V30" s="207">
        <f t="shared" si="0"/>
        <v>220.29572395833335</v>
      </c>
      <c r="W30" s="208" t="str">
        <f>IF(COUNTIF($C$15:C30,C30)=1,C30 &amp; " - " &amp; TEXT(SUMIF($C:$C,C30,$T:$T),"0.00"),"")</f>
        <v/>
      </c>
      <c r="X30" s="209"/>
    </row>
    <row r="31" spans="1:34" s="210" customFormat="1" ht="31.5" customHeight="1" x14ac:dyDescent="0.2">
      <c r="A31" s="196">
        <f t="shared" si="5"/>
        <v>17</v>
      </c>
      <c r="B31" s="196"/>
      <c r="C31" s="196" t="s">
        <v>89</v>
      </c>
      <c r="D31" s="197"/>
      <c r="E31" s="197" t="s">
        <v>11</v>
      </c>
      <c r="F31" s="198" t="s">
        <v>123</v>
      </c>
      <c r="G31" s="199" t="str">
        <f>IF(COUNTIFS($C$15:C31,C31,$H$15:H31,H31)=1,
SUMIFS($I$15:$I$43,$C$15:$C$43,C31,$H$15:$H$43,H31)&amp;H31&amp;" "&amp;C31,
"")</f>
        <v/>
      </c>
      <c r="H31" s="197" t="s">
        <v>14</v>
      </c>
      <c r="I31" s="200">
        <v>1</v>
      </c>
      <c r="J31" s="249"/>
      <c r="K31" s="201" cm="1">
        <f t="array" ref="K31">IF(E31="untrim",_xlfn.XLOOKUP(1,(TRIM('SIZE GUIDE'!$A$3:$A$2015)=TRIM(E31))*(TRIM('SIZE GUIDE'!$B$3:$B$2015)=TRIM(F31))*(TRIM('SIZE GUIDE'!$C$3:$C$2015)=TRIM(H31)),'SIZE GUIDE'!$D$3:$D$2015),"")</f>
        <v>76</v>
      </c>
      <c r="L31" s="265" cm="1">
        <f t="array" ref="L31">IF(E31="untrim",IFERROR(INDEX('SIZE GUIDE'!$E:$E,MATCH(1,('SIZE GUIDE'!$A:$A=$E31)*('SIZE GUIDE'!$B:$B=$F31)*('SIZE GUIDE'!$C:$C=$H31),0)),""),"")</f>
        <v>55</v>
      </c>
      <c r="M31" s="202">
        <v>42</v>
      </c>
      <c r="N31" s="203" t="str" cm="1">
        <f t="array" ref="N31">IF(E31="trim",_xlfn.XLOOKUP(1,(TRIM('SIZE GUIDE'!$A$3:$A$2015)=TRIM(E31))*(TRIM('SIZE GUIDE'!$B$3:$B$2015)=TRIM(F31))*(TRIM('SIZE GUIDE'!$C$3:$C$2015)=TRIM(H31)),'SIZE GUIDE'!$D$3:$D$2015),"")</f>
        <v/>
      </c>
      <c r="O31" s="203" t="str" cm="1">
        <f t="array" ref="O31">IF(E31="trim",IFERROR(INDEX('SIZE GUIDE'!$E:$E,MATCH(1,('SIZE GUIDE'!$A:$A=$E31)*('SIZE GUIDE'!$B:$B=$F31)*('SIZE GUIDE'!$C:$C=$H31),0)),""),"")</f>
        <v/>
      </c>
      <c r="P31" s="203"/>
      <c r="Q31" s="204">
        <f t="shared" si="1"/>
        <v>74.5</v>
      </c>
      <c r="R31" s="198">
        <f t="shared" si="2"/>
        <v>53.5</v>
      </c>
      <c r="S31" s="198">
        <f t="shared" si="3"/>
        <v>41.5</v>
      </c>
      <c r="T31" s="205">
        <f t="shared" si="4"/>
        <v>1148.6710069444443</v>
      </c>
      <c r="U31" s="206">
        <f>SUMIFS(CODE_PRICE!F:F,CODE_PRICE!B:B,C31,CODE_PRICE!A:A,$A$8)</f>
        <v>0.1895</v>
      </c>
      <c r="V31" s="207">
        <f t="shared" si="0"/>
        <v>217.67315581597219</v>
      </c>
      <c r="W31" s="208" t="str">
        <f>IF(COUNTIF($C$15:C31,C31)=1,C31 &amp; " - " &amp; TEXT(SUMIF($C:$C,C31,$T:$T),"0.00"),"")</f>
        <v/>
      </c>
      <c r="X31" s="209"/>
    </row>
    <row r="32" spans="1:34" s="210" customFormat="1" ht="31.5" customHeight="1" x14ac:dyDescent="0.2">
      <c r="A32" s="196">
        <f t="shared" si="5"/>
        <v>18</v>
      </c>
      <c r="B32" s="196"/>
      <c r="C32" s="196" t="s">
        <v>89</v>
      </c>
      <c r="D32" s="197"/>
      <c r="E32" s="197" t="s">
        <v>11</v>
      </c>
      <c r="F32" s="198" t="s">
        <v>123</v>
      </c>
      <c r="G32" s="199" t="str">
        <f>IF(COUNTIFS($C$15:C32,C32,$H$15:H32,H32)=1,
SUMIFS($I$15:$I$43,$C$15:$C$43,C32,$H$15:$H$43,H32)&amp;H32&amp;" "&amp;C32,
"")</f>
        <v/>
      </c>
      <c r="H32" s="197" t="s">
        <v>14</v>
      </c>
      <c r="I32" s="200">
        <v>1</v>
      </c>
      <c r="J32" s="249"/>
      <c r="K32" s="201" cm="1">
        <f t="array" ref="K32">IF(E32="untrim",_xlfn.XLOOKUP(1,(TRIM('SIZE GUIDE'!$A$3:$A$2015)=TRIM(E32))*(TRIM('SIZE GUIDE'!$B$3:$B$2015)=TRIM(F32))*(TRIM('SIZE GUIDE'!$C$3:$C$2015)=TRIM(H32)),'SIZE GUIDE'!$D$3:$D$2015),"")</f>
        <v>76</v>
      </c>
      <c r="L32" s="265" cm="1">
        <f t="array" ref="L32">IF(E32="untrim",IFERROR(INDEX('SIZE GUIDE'!$E:$E,MATCH(1,('SIZE GUIDE'!$A:$A=$E32)*('SIZE GUIDE'!$B:$B=$F32)*('SIZE GUIDE'!$C:$C=$H32),0)),""),"")</f>
        <v>55</v>
      </c>
      <c r="M32" s="202">
        <v>42</v>
      </c>
      <c r="N32" s="203" t="str" cm="1">
        <f t="array" ref="N32">IF(E32="trim",_xlfn.XLOOKUP(1,(TRIM('SIZE GUIDE'!$A$3:$A$2015)=TRIM(E32))*(TRIM('SIZE GUIDE'!$B$3:$B$2015)=TRIM(F32))*(TRIM('SIZE GUIDE'!$C$3:$C$2015)=TRIM(H32)),'SIZE GUIDE'!$D$3:$D$2015),"")</f>
        <v/>
      </c>
      <c r="O32" s="203" t="str" cm="1">
        <f t="array" ref="O32">IF(E32="trim",IFERROR(INDEX('SIZE GUIDE'!$E:$E,MATCH(1,('SIZE GUIDE'!$A:$A=$E32)*('SIZE GUIDE'!$B:$B=$F32)*('SIZE GUIDE'!$C:$C=$H32),0)),""),"")</f>
        <v/>
      </c>
      <c r="P32" s="203"/>
      <c r="Q32" s="204">
        <f>IF(E32="untrim",K32-1.5,N32)</f>
        <v>74.5</v>
      </c>
      <c r="R32" s="198">
        <f>IF(E32="untrim",L32-1.5,O32)</f>
        <v>53.5</v>
      </c>
      <c r="S32" s="198">
        <f>IF(E32="untrim",M32-0.5,P32-0.5)</f>
        <v>41.5</v>
      </c>
      <c r="T32" s="205">
        <f>IFERROR(Q32*R32*S32/144*I32,"")</f>
        <v>1148.6710069444443</v>
      </c>
      <c r="U32" s="206">
        <f>SUMIFS(CODE_PRICE!F:F,CODE_PRICE!B:B,C32,CODE_PRICE!A:A,$A$8)</f>
        <v>0.1895</v>
      </c>
      <c r="V32" s="207">
        <f>T32*U32</f>
        <v>217.67315581597219</v>
      </c>
      <c r="W32" s="208" t="str">
        <f>IF(COUNTIF($C$15:C32,C32)=1,C32 &amp; " - " &amp; TEXT(SUMIF($C:$C,C32,$T:$T),"0.00"),"")</f>
        <v/>
      </c>
      <c r="X32" s="209"/>
    </row>
    <row r="33" spans="1:24" s="210" customFormat="1" ht="31.5" customHeight="1" x14ac:dyDescent="0.2">
      <c r="A33" s="196">
        <f t="shared" si="5"/>
        <v>19</v>
      </c>
      <c r="B33" s="196"/>
      <c r="C33" s="196" t="s">
        <v>89</v>
      </c>
      <c r="D33" s="197"/>
      <c r="E33" s="197" t="s">
        <v>11</v>
      </c>
      <c r="F33" s="198" t="s">
        <v>123</v>
      </c>
      <c r="G33" s="199" t="str">
        <f>IF(COUNTIFS($C$15:C33,C33,$H$15:H33,H33)=1,
SUMIFS($I$15:$I$43,$C$15:$C$43,C33,$H$15:$H$43,H33)&amp;H33&amp;" "&amp;C33,
"")</f>
        <v>2T CFN30100W</v>
      </c>
      <c r="H33" s="197" t="s">
        <v>12</v>
      </c>
      <c r="I33" s="200">
        <v>1</v>
      </c>
      <c r="J33" s="249"/>
      <c r="K33" s="201" cm="1">
        <f t="array" ref="K33">IF(E33="untrim",_xlfn.XLOOKUP(1,(TRIM('SIZE GUIDE'!$A$3:$A$2015)=TRIM(E33))*(TRIM('SIZE GUIDE'!$B$3:$B$2015)=TRIM(F33))*(TRIM('SIZE GUIDE'!$C$3:$C$2015)=TRIM(H33)),'SIZE GUIDE'!$D$3:$D$2015),"")</f>
        <v>76</v>
      </c>
      <c r="L33" s="265" cm="1">
        <f t="array" ref="L33">IF(E33="untrim",IFERROR(INDEX('SIZE GUIDE'!$E:$E,MATCH(1,('SIZE GUIDE'!$A:$A=$E33)*('SIZE GUIDE'!$B:$B=$F33)*('SIZE GUIDE'!$C:$C=$H33),0)),""),"")</f>
        <v>39</v>
      </c>
      <c r="M33" s="202">
        <v>42</v>
      </c>
      <c r="N33" s="203" t="str" cm="1">
        <f t="array" ref="N33">IF(E33="trim",_xlfn.XLOOKUP(1,(TRIM('SIZE GUIDE'!$A$3:$A$2015)=TRIM(E33))*(TRIM('SIZE GUIDE'!$B$3:$B$2015)=TRIM(F33))*(TRIM('SIZE GUIDE'!$C$3:$C$2015)=TRIM(H33)),'SIZE GUIDE'!$D$3:$D$2015),"")</f>
        <v/>
      </c>
      <c r="O33" s="203" t="str" cm="1">
        <f t="array" ref="O33">IF(E33="trim",IFERROR(INDEX('SIZE GUIDE'!$E:$E,MATCH(1,('SIZE GUIDE'!$A:$A=$E33)*('SIZE GUIDE'!$B:$B=$F33)*('SIZE GUIDE'!$C:$C=$H33),0)),""),"")</f>
        <v/>
      </c>
      <c r="P33" s="203"/>
      <c r="Q33" s="204">
        <f>IF(E33="untrim",K33-1.5,N33)</f>
        <v>74.5</v>
      </c>
      <c r="R33" s="198">
        <f>IF(E33="untrim",L33-1.5,O33)</f>
        <v>37.5</v>
      </c>
      <c r="S33" s="198">
        <f>IF(E33="untrim",M33-0.5,P33-0.5)</f>
        <v>41.5</v>
      </c>
      <c r="T33" s="205">
        <f>IFERROR(Q33*R33*S33/144*I33,"")</f>
        <v>805.14322916666663</v>
      </c>
      <c r="U33" s="206">
        <f>SUMIFS(CODE_PRICE!F:F,CODE_PRICE!B:B,C33,CODE_PRICE!A:A,$A$8)</f>
        <v>0.1895</v>
      </c>
      <c r="V33" s="207">
        <f>T33*U33</f>
        <v>152.57464192708332</v>
      </c>
      <c r="W33" s="208" t="str">
        <f>IF(COUNTIF($C$15:C33,C33)=1,C33 &amp; " - " &amp; TEXT(SUMIF($C:$C,C33,$T:$T),"0.00"),"")</f>
        <v/>
      </c>
      <c r="X33" s="209"/>
    </row>
    <row r="34" spans="1:24" s="210" customFormat="1" ht="31.5" customHeight="1" x14ac:dyDescent="0.2">
      <c r="A34" s="196">
        <f t="shared" si="5"/>
        <v>20</v>
      </c>
      <c r="B34" s="196"/>
      <c r="C34" s="196" t="s">
        <v>89</v>
      </c>
      <c r="D34" s="197"/>
      <c r="E34" s="197" t="s">
        <v>11</v>
      </c>
      <c r="F34" s="198" t="s">
        <v>123</v>
      </c>
      <c r="G34" s="199" t="str">
        <f>IF(COUNTIFS($C$15:C34,C34,$H$15:H34,H34)=1,
SUMIFS($I$15:$I$43,$C$15:$C$43,C34,$H$15:$H$43,H34)&amp;H34&amp;" "&amp;C34,
"")</f>
        <v/>
      </c>
      <c r="H34" s="197" t="s">
        <v>12</v>
      </c>
      <c r="I34" s="200">
        <v>1</v>
      </c>
      <c r="J34" s="249"/>
      <c r="K34" s="201" cm="1">
        <f t="array" ref="K34">IF(E34="untrim",_xlfn.XLOOKUP(1,(TRIM('SIZE GUIDE'!$A$3:$A$2015)=TRIM(E34))*(TRIM('SIZE GUIDE'!$B$3:$B$2015)=TRIM(F34))*(TRIM('SIZE GUIDE'!$C$3:$C$2015)=TRIM(H34)),'SIZE GUIDE'!$D$3:$D$2015),"")</f>
        <v>76</v>
      </c>
      <c r="L34" s="265" cm="1">
        <f t="array" ref="L34">IF(E34="untrim",IFERROR(INDEX('SIZE GUIDE'!$E:$E,MATCH(1,('SIZE GUIDE'!$A:$A=$E34)*('SIZE GUIDE'!$B:$B=$F34)*('SIZE GUIDE'!$C:$C=$H34),0)),""),"")</f>
        <v>39</v>
      </c>
      <c r="M34" s="202">
        <v>42</v>
      </c>
      <c r="N34" s="203" t="str" cm="1">
        <f t="array" ref="N34">IF(E34="trim",_xlfn.XLOOKUP(1,(TRIM('SIZE GUIDE'!$A$3:$A$2015)=TRIM(E34))*(TRIM('SIZE GUIDE'!$B$3:$B$2015)=TRIM(F34))*(TRIM('SIZE GUIDE'!$C$3:$C$2015)=TRIM(H34)),'SIZE GUIDE'!$D$3:$D$2015),"")</f>
        <v/>
      </c>
      <c r="O34" s="203" t="str" cm="1">
        <f t="array" ref="O34">IF(E34="trim",IFERROR(INDEX('SIZE GUIDE'!$E:$E,MATCH(1,('SIZE GUIDE'!$A:$A=$E34)*('SIZE GUIDE'!$B:$B=$F34)*('SIZE GUIDE'!$C:$C=$H34),0)),""),"")</f>
        <v/>
      </c>
      <c r="P34" s="203"/>
      <c r="Q34" s="204">
        <f>IF(E34="untrim",K34-1.5,N34)</f>
        <v>74.5</v>
      </c>
      <c r="R34" s="198">
        <f>IF(E34="untrim",L34-1.5,O34)</f>
        <v>37.5</v>
      </c>
      <c r="S34" s="198">
        <f>IF(E34="untrim",M34-0.5,P34-0.5)</f>
        <v>41.5</v>
      </c>
      <c r="T34" s="205">
        <f>IFERROR(Q34*R34*S34/144*I34,"")</f>
        <v>805.14322916666663</v>
      </c>
      <c r="U34" s="206">
        <f>SUMIFS(CODE_PRICE!F:F,CODE_PRICE!B:B,C34,CODE_PRICE!A:A,$A$8)</f>
        <v>0.1895</v>
      </c>
      <c r="V34" s="207">
        <f>T34*U34</f>
        <v>152.57464192708332</v>
      </c>
      <c r="W34" s="208" t="str">
        <f>IF(COUNTIF($C$15:C34,C34)=1,C34 &amp; " - " &amp; TEXT(SUMIF($C:$C,C34,$T:$T),"0.00"),"")</f>
        <v/>
      </c>
      <c r="X34" s="209"/>
    </row>
    <row r="35" spans="1:24" s="310" customFormat="1" ht="31.5" customHeight="1" x14ac:dyDescent="0.2">
      <c r="A35" s="297">
        <f t="shared" si="5"/>
        <v>21</v>
      </c>
      <c r="B35" s="297"/>
      <c r="C35" s="297" t="s">
        <v>89</v>
      </c>
      <c r="D35" s="298"/>
      <c r="E35" s="298" t="s">
        <v>11</v>
      </c>
      <c r="F35" s="297"/>
      <c r="G35" s="299"/>
      <c r="H35" s="298" t="s">
        <v>308</v>
      </c>
      <c r="I35" s="300">
        <v>1</v>
      </c>
      <c r="J35" s="301"/>
      <c r="K35" s="302"/>
      <c r="L35" s="303"/>
      <c r="M35" s="304"/>
      <c r="N35" s="305"/>
      <c r="O35" s="305"/>
      <c r="P35" s="305"/>
      <c r="Q35" s="297">
        <v>79.5</v>
      </c>
      <c r="R35" s="297">
        <v>75.5</v>
      </c>
      <c r="S35" s="297">
        <v>38.5</v>
      </c>
      <c r="T35" s="306">
        <f>IFERROR(Q35*R35*S35/144*I35,"")-T15</f>
        <v>-55.744791666666515</v>
      </c>
      <c r="U35" s="307">
        <f>SUMIFS(CODE_PRICE!F:F,CODE_PRICE!B:B,C35,CODE_PRICE!A:A,$A$8)</f>
        <v>0.1895</v>
      </c>
      <c r="V35" s="308">
        <f>T35*U35</f>
        <v>-10.563638020833304</v>
      </c>
      <c r="W35" s="299"/>
      <c r="X35" s="309"/>
    </row>
    <row r="36" spans="1:24" s="210" customFormat="1" ht="31.5" customHeight="1" x14ac:dyDescent="0.2">
      <c r="A36" s="196"/>
      <c r="B36" s="196"/>
      <c r="C36" s="196"/>
      <c r="D36" s="197"/>
      <c r="E36" s="197"/>
      <c r="F36" s="198"/>
      <c r="G36" s="199"/>
      <c r="H36" s="197"/>
      <c r="I36" s="200"/>
      <c r="J36" s="249"/>
      <c r="K36" s="201"/>
      <c r="L36" s="265"/>
      <c r="M36" s="202"/>
      <c r="N36" s="203"/>
      <c r="O36" s="203"/>
      <c r="P36" s="203"/>
      <c r="Q36" s="204"/>
      <c r="R36" s="198"/>
      <c r="S36" s="198"/>
      <c r="T36" s="205"/>
      <c r="U36" s="206"/>
      <c r="V36" s="207"/>
      <c r="W36" s="208"/>
      <c r="X36" s="209"/>
    </row>
    <row r="37" spans="1:24" s="210" customFormat="1" ht="31.5" customHeight="1" x14ac:dyDescent="0.2">
      <c r="A37" s="196"/>
      <c r="B37" s="196"/>
      <c r="C37" s="196"/>
      <c r="D37" s="197"/>
      <c r="E37" s="197"/>
      <c r="F37" s="198"/>
      <c r="G37" s="199"/>
      <c r="H37" s="197"/>
      <c r="I37" s="200"/>
      <c r="J37" s="249"/>
      <c r="K37" s="201"/>
      <c r="L37" s="265"/>
      <c r="M37" s="202"/>
      <c r="N37" s="203"/>
      <c r="O37" s="203"/>
      <c r="P37" s="203"/>
      <c r="Q37" s="204"/>
      <c r="R37" s="198"/>
      <c r="S37" s="198"/>
      <c r="T37" s="205"/>
      <c r="U37" s="206"/>
      <c r="V37" s="207"/>
      <c r="W37" s="208"/>
      <c r="X37" s="209"/>
    </row>
    <row r="38" spans="1:24" s="210" customFormat="1" ht="31.5" customHeight="1" x14ac:dyDescent="0.2">
      <c r="A38" s="196"/>
      <c r="B38" s="196"/>
      <c r="C38" s="196"/>
      <c r="D38" s="197"/>
      <c r="E38" s="197"/>
      <c r="F38" s="198"/>
      <c r="G38" s="199"/>
      <c r="H38" s="197"/>
      <c r="I38" s="200"/>
      <c r="J38" s="249"/>
      <c r="K38" s="201"/>
      <c r="L38" s="265"/>
      <c r="M38" s="202"/>
      <c r="N38" s="203"/>
      <c r="O38" s="203"/>
      <c r="P38" s="203"/>
      <c r="Q38" s="204"/>
      <c r="R38" s="198"/>
      <c r="S38" s="198"/>
      <c r="T38" s="205"/>
      <c r="U38" s="206"/>
      <c r="V38" s="207"/>
      <c r="W38" s="208"/>
      <c r="X38" s="209"/>
    </row>
    <row r="39" spans="1:24" s="210" customFormat="1" ht="31.5" customHeight="1" x14ac:dyDescent="0.2">
      <c r="A39" s="196"/>
      <c r="B39" s="196"/>
      <c r="C39" s="196"/>
      <c r="D39" s="197"/>
      <c r="E39" s="197"/>
      <c r="F39" s="198"/>
      <c r="G39" s="199"/>
      <c r="H39" s="197"/>
      <c r="I39" s="200"/>
      <c r="J39" s="249"/>
      <c r="K39" s="201"/>
      <c r="L39" s="265"/>
      <c r="M39" s="202"/>
      <c r="N39" s="203"/>
      <c r="O39" s="203"/>
      <c r="P39" s="203"/>
      <c r="Q39" s="204"/>
      <c r="R39" s="198"/>
      <c r="S39" s="198"/>
      <c r="T39" s="205"/>
      <c r="U39" s="206"/>
      <c r="V39" s="207"/>
      <c r="W39" s="208"/>
      <c r="X39" s="209"/>
    </row>
    <row r="40" spans="1:24" s="210" customFormat="1" ht="31.5" customHeight="1" x14ac:dyDescent="0.2">
      <c r="A40" s="196"/>
      <c r="B40" s="196"/>
      <c r="C40" s="196"/>
      <c r="D40" s="197"/>
      <c r="E40" s="197"/>
      <c r="F40" s="198"/>
      <c r="G40" s="199"/>
      <c r="H40" s="197"/>
      <c r="I40" s="200"/>
      <c r="J40" s="249"/>
      <c r="K40" s="201"/>
      <c r="L40" s="265"/>
      <c r="M40" s="202"/>
      <c r="N40" s="203"/>
      <c r="O40" s="203"/>
      <c r="P40" s="203"/>
      <c r="Q40" s="204"/>
      <c r="R40" s="198"/>
      <c r="S40" s="198"/>
      <c r="T40" s="205"/>
      <c r="U40" s="206"/>
      <c r="V40" s="207"/>
      <c r="W40" s="208"/>
      <c r="X40" s="209"/>
    </row>
    <row r="41" spans="1:24" s="210" customFormat="1" ht="31.5" customHeight="1" x14ac:dyDescent="0.2">
      <c r="A41" s="196"/>
      <c r="B41" s="196"/>
      <c r="C41" s="196"/>
      <c r="D41" s="260"/>
      <c r="E41" s="197"/>
      <c r="F41" s="198"/>
      <c r="G41" s="199"/>
      <c r="H41" s="197"/>
      <c r="I41" s="200"/>
      <c r="J41" s="249"/>
      <c r="K41" s="201"/>
      <c r="L41" s="265"/>
      <c r="M41" s="202"/>
      <c r="N41" s="203"/>
      <c r="O41" s="203"/>
      <c r="P41" s="203"/>
      <c r="Q41" s="204"/>
      <c r="R41" s="198"/>
      <c r="S41" s="198"/>
      <c r="T41" s="205"/>
      <c r="U41" s="206"/>
      <c r="V41" s="207"/>
      <c r="W41" s="198"/>
      <c r="X41" s="238"/>
    </row>
    <row r="42" spans="1:24" s="210" customFormat="1" ht="31.5" customHeight="1" x14ac:dyDescent="0.2">
      <c r="A42" s="196"/>
      <c r="B42" s="196"/>
      <c r="C42" s="196"/>
      <c r="D42" s="260"/>
      <c r="E42" s="197"/>
      <c r="F42" s="198"/>
      <c r="G42" s="199"/>
      <c r="H42" s="197"/>
      <c r="I42" s="200"/>
      <c r="J42" s="249"/>
      <c r="K42" s="201"/>
      <c r="L42" s="265"/>
      <c r="M42" s="202"/>
      <c r="N42" s="203"/>
      <c r="O42" s="203"/>
      <c r="P42" s="203"/>
      <c r="Q42" s="204"/>
      <c r="R42" s="198"/>
      <c r="S42" s="198"/>
      <c r="T42" s="205"/>
      <c r="U42" s="206"/>
      <c r="V42" s="207"/>
      <c r="W42" s="198"/>
      <c r="X42" s="238"/>
    </row>
    <row r="43" spans="1:24" s="210" customFormat="1" ht="31.5" customHeight="1" x14ac:dyDescent="0.2">
      <c r="A43" s="196"/>
      <c r="B43" s="196"/>
      <c r="C43" s="196"/>
      <c r="D43" s="260"/>
      <c r="E43" s="197"/>
      <c r="F43" s="198"/>
      <c r="G43" s="199"/>
      <c r="H43" s="197"/>
      <c r="I43" s="200"/>
      <c r="J43" s="249"/>
      <c r="K43" s="201"/>
      <c r="L43" s="265"/>
      <c r="M43" s="202"/>
      <c r="N43" s="203"/>
      <c r="O43" s="203"/>
      <c r="P43" s="203"/>
      <c r="Q43" s="204"/>
      <c r="R43" s="198"/>
      <c r="S43" s="198"/>
      <c r="T43" s="205"/>
      <c r="U43" s="206"/>
      <c r="V43" s="207"/>
      <c r="W43" s="198"/>
      <c r="X43" s="238"/>
    </row>
    <row r="44" spans="1:24" s="284" customFormat="1" ht="31.5" customHeight="1" x14ac:dyDescent="0.2">
      <c r="A44" s="270"/>
      <c r="B44" s="270"/>
      <c r="C44" s="270"/>
      <c r="D44" s="271"/>
      <c r="E44" s="272"/>
      <c r="F44" s="273"/>
      <c r="G44" s="274"/>
      <c r="H44" s="197"/>
      <c r="I44" s="275"/>
      <c r="J44" s="276"/>
      <c r="K44" s="277"/>
      <c r="L44" s="278"/>
      <c r="M44" s="279"/>
      <c r="N44" s="277"/>
      <c r="O44" s="277"/>
      <c r="P44" s="277"/>
      <c r="Q44" s="277"/>
      <c r="R44" s="273"/>
      <c r="S44" s="273"/>
      <c r="T44" s="280"/>
      <c r="U44" s="281"/>
      <c r="V44" s="282"/>
      <c r="W44" s="273"/>
      <c r="X44" s="283"/>
    </row>
    <row r="45" spans="1:24" s="284" customFormat="1" ht="31.5" customHeight="1" x14ac:dyDescent="0.2">
      <c r="A45" s="270"/>
      <c r="B45" s="270"/>
      <c r="C45" s="270"/>
      <c r="D45" s="271"/>
      <c r="E45" s="272"/>
      <c r="F45" s="273"/>
      <c r="G45" s="274"/>
      <c r="H45" s="197"/>
      <c r="I45" s="275"/>
      <c r="J45" s="276"/>
      <c r="K45" s="277"/>
      <c r="L45" s="278"/>
      <c r="M45" s="279"/>
      <c r="N45" s="277"/>
      <c r="O45" s="277"/>
      <c r="P45" s="277"/>
      <c r="Q45" s="277"/>
      <c r="R45" s="273"/>
      <c r="S45" s="273"/>
      <c r="T45" s="280"/>
      <c r="U45" s="281"/>
      <c r="V45" s="282"/>
      <c r="W45" s="273"/>
      <c r="X45" s="283"/>
    </row>
    <row r="46" spans="1:24" s="210" customFormat="1" ht="31.5" customHeight="1" x14ac:dyDescent="0.2">
      <c r="A46" s="212"/>
      <c r="B46" s="212"/>
      <c r="C46" s="212"/>
      <c r="D46" s="212"/>
      <c r="E46" s="213"/>
      <c r="F46" s="212"/>
      <c r="G46" s="212"/>
      <c r="H46" s="214" t="s">
        <v>155</v>
      </c>
      <c r="I46" s="215">
        <f>SUM(I13:I43)</f>
        <v>21</v>
      </c>
      <c r="J46" s="248"/>
      <c r="K46" s="216"/>
      <c r="L46" s="264"/>
      <c r="M46" s="216"/>
      <c r="N46" s="217"/>
      <c r="O46" s="217"/>
      <c r="P46" s="217"/>
      <c r="Q46" s="213"/>
      <c r="R46" s="213"/>
      <c r="S46" s="213"/>
      <c r="T46" s="218">
        <f>SUM(T13:T45)</f>
        <v>25865.836805555558</v>
      </c>
      <c r="U46" s="219"/>
      <c r="V46" s="220">
        <f>SUM(V13:V45)</f>
        <v>4901.5760746527758</v>
      </c>
      <c r="W46" s="219"/>
      <c r="X46" s="220"/>
    </row>
    <row r="47" spans="1:24" s="210" customFormat="1" ht="31.5" customHeight="1" x14ac:dyDescent="0.2">
      <c r="A47" s="196"/>
      <c r="B47" s="196"/>
      <c r="C47" s="196"/>
      <c r="D47" s="197"/>
      <c r="E47" s="197"/>
      <c r="F47" s="198"/>
      <c r="G47" s="199"/>
      <c r="H47" s="221" t="s">
        <v>156</v>
      </c>
      <c r="I47" s="222"/>
      <c r="J47" s="250"/>
      <c r="K47" s="204"/>
      <c r="L47" s="266"/>
      <c r="M47" s="223"/>
      <c r="N47" s="204"/>
      <c r="O47" s="204"/>
      <c r="P47" s="204"/>
      <c r="Q47" s="224"/>
      <c r="R47" s="224"/>
      <c r="S47" s="224"/>
      <c r="T47" s="205"/>
      <c r="U47" s="224"/>
      <c r="V47" s="207"/>
      <c r="W47" s="224"/>
      <c r="X47" s="207"/>
    </row>
    <row r="48" spans="1:24" s="210" customFormat="1" ht="31.5" customHeight="1" x14ac:dyDescent="0.2">
      <c r="A48" s="212"/>
      <c r="B48" s="212"/>
      <c r="C48" s="212"/>
      <c r="D48" s="213"/>
      <c r="E48" s="213"/>
      <c r="F48" s="213"/>
      <c r="G48" s="213"/>
      <c r="H48" s="214" t="s">
        <v>162</v>
      </c>
      <c r="I48" s="215">
        <f>SUM(I15:I43)</f>
        <v>21</v>
      </c>
      <c r="J48" s="248"/>
      <c r="K48" s="216"/>
      <c r="L48" s="264"/>
      <c r="M48" s="216"/>
      <c r="N48" s="217"/>
      <c r="O48" s="217"/>
      <c r="P48" s="217"/>
      <c r="Q48" s="213"/>
      <c r="R48" s="213"/>
      <c r="S48" s="213"/>
      <c r="T48" s="218">
        <f>SUM(T15:T45)</f>
        <v>25865.836805555558</v>
      </c>
      <c r="U48" s="219"/>
      <c r="V48" s="220">
        <f>+V46+V47</f>
        <v>4901.5760746527758</v>
      </c>
      <c r="W48" s="219"/>
      <c r="X48" s="220"/>
    </row>
    <row r="49" spans="1:24" s="228" customFormat="1" ht="15" customHeight="1" x14ac:dyDescent="0.25">
      <c r="A49" s="225"/>
      <c r="B49" s="225"/>
      <c r="C49" s="225"/>
      <c r="D49" s="225"/>
      <c r="E49" s="225"/>
      <c r="F49" s="226"/>
      <c r="G49" s="225"/>
      <c r="H49" s="227"/>
      <c r="I49" s="227"/>
      <c r="J49" s="251"/>
      <c r="L49" s="267"/>
      <c r="V49" s="229"/>
      <c r="X49" s="230"/>
    </row>
    <row r="50" spans="1:24" s="228" customFormat="1" ht="15" customHeight="1" x14ac:dyDescent="0.25">
      <c r="A50" s="225" t="s">
        <v>218</v>
      </c>
      <c r="B50" s="225"/>
      <c r="C50" s="225"/>
      <c r="D50" s="225"/>
      <c r="E50" s="225"/>
      <c r="F50" s="226"/>
      <c r="G50" s="225"/>
      <c r="H50" s="227"/>
      <c r="I50" s="227"/>
      <c r="J50" s="251"/>
      <c r="L50" s="267"/>
      <c r="V50" s="229"/>
      <c r="X50" s="230"/>
    </row>
    <row r="51" spans="1:24" s="228" customFormat="1" ht="15" customHeight="1" x14ac:dyDescent="0.25">
      <c r="A51" s="225"/>
      <c r="B51" s="225"/>
      <c r="C51" s="225"/>
      <c r="D51" s="225"/>
      <c r="E51" s="225"/>
      <c r="F51" s="226"/>
      <c r="G51" s="225"/>
      <c r="H51" s="227"/>
      <c r="I51" s="227"/>
      <c r="J51" s="251"/>
      <c r="L51" s="267"/>
      <c r="V51" s="229"/>
      <c r="X51" s="230"/>
    </row>
    <row r="52" spans="1:24" s="228" customFormat="1" ht="15" customHeight="1" x14ac:dyDescent="0.25">
      <c r="A52" s="225" t="s">
        <v>219</v>
      </c>
      <c r="B52" s="225"/>
      <c r="C52" s="225"/>
      <c r="D52" s="225"/>
      <c r="E52" s="225"/>
      <c r="F52" s="226"/>
      <c r="G52" s="225"/>
      <c r="H52" s="227"/>
      <c r="I52" s="227"/>
      <c r="J52" s="251"/>
      <c r="L52" s="267"/>
      <c r="V52" s="229"/>
      <c r="X52" s="230"/>
    </row>
    <row r="53" spans="1:24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252"/>
      <c r="K53" s="35"/>
      <c r="L53" s="268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4" ht="15" customHeight="1" x14ac:dyDescent="0.25">
      <c r="A54" s="48"/>
      <c r="B54" s="48"/>
      <c r="C54" s="48"/>
      <c r="D54" s="48"/>
      <c r="E54" s="48"/>
      <c r="F54" s="84"/>
      <c r="G54" s="48"/>
      <c r="H54" s="85"/>
      <c r="I54" s="85"/>
      <c r="J54" s="252"/>
      <c r="K54" s="35"/>
      <c r="L54" s="268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4" ht="15" customHeight="1" x14ac:dyDescent="0.25">
      <c r="A55" s="86"/>
      <c r="B55" s="318"/>
      <c r="C55" s="318"/>
      <c r="D55" s="318"/>
      <c r="E55" s="318"/>
      <c r="F55" s="318"/>
      <c r="G55" s="318"/>
      <c r="H55" s="318"/>
      <c r="I55" s="318"/>
      <c r="J55" s="318"/>
      <c r="K55" s="35"/>
      <c r="L55" s="268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4" ht="15" customHeight="1" x14ac:dyDescent="0.25">
      <c r="A56" s="86"/>
      <c r="B56" s="319"/>
      <c r="C56" s="319"/>
      <c r="D56" s="319"/>
      <c r="E56" s="319"/>
      <c r="F56" s="319"/>
      <c r="G56" s="319"/>
      <c r="H56" s="319"/>
      <c r="I56" s="319"/>
      <c r="J56" s="319"/>
      <c r="K56" s="35"/>
      <c r="L56" s="268"/>
      <c r="M56" s="35"/>
      <c r="N56" s="35"/>
      <c r="O56" s="35"/>
      <c r="P56" s="35"/>
      <c r="Q56" s="35"/>
      <c r="R56" s="35"/>
      <c r="S56" s="35"/>
      <c r="T56" s="35"/>
      <c r="U56" s="35"/>
      <c r="V56" s="89"/>
    </row>
  </sheetData>
  <mergeCells count="5">
    <mergeCell ref="A7:E7"/>
    <mergeCell ref="F7:G7"/>
    <mergeCell ref="R9:S9"/>
    <mergeCell ref="B55:J55"/>
    <mergeCell ref="B56:J56"/>
  </mergeCells>
  <pageMargins left="0" right="0" top="1" bottom="0" header="0.511811023622047" footer="0.511811023622047"/>
  <pageSetup paperSize="9" scale="42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colBreaks count="2" manualBreakCount="2">
    <brk id="4" max="1048575" man="1"/>
    <brk id="6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DB8D53A2-608C-49D9-AD99-8C8570AFADF3}">
          <x14:formula1>
            <xm:f>'SIZE GUIDE'!$A$3:$A$38</xm:f>
          </x14:formula1>
          <xm:sqref>E15:E48</xm:sqref>
        </x14:dataValidation>
        <x14:dataValidation type="list" allowBlank="1" xr:uid="{49204A00-F987-4063-B26E-74E6DFCBEC54}">
          <x14:formula1>
            <xm:f>LISTS!$B$2:$B$8</xm:f>
          </x14:formula1>
          <x14:formula2>
            <xm:f>0</xm:f>
          </x14:formula2>
          <xm:sqref>H15:H48</xm:sqref>
        </x14:dataValidation>
        <x14:dataValidation type="list" errorStyle="information" allowBlank="1" showInputMessage="1" xr:uid="{5B995646-F92B-4B61-94B3-0E57785DD3B0}">
          <x14:formula1>
            <xm:f>CODE_MASTER_AS!$A$3:$A$14</xm:f>
          </x14:formula1>
          <xm:sqref>C47:C48 F46:G46 C15:C45</xm:sqref>
        </x14:dataValidation>
        <x14:dataValidation type="list" allowBlank="1" showInputMessage="1" showErrorMessage="1" xr:uid="{EB453667-7816-49C4-8F49-324DE10A67BE}">
          <x14:formula1>
            <xm:f>'SIZE GUIDE'!$B:$B</xm:f>
          </x14:formula1>
          <xm:sqref>G46 F15:F48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8F7D5-EC7D-4B39-A2DF-C32FB2A24246}">
  <sheetPr codeName="Sheet16">
    <pageSetUpPr fitToPage="1"/>
  </sheetPr>
  <dimension ref="A1:AC60"/>
  <sheetViews>
    <sheetView showGridLines="0" view="pageBreakPreview" topLeftCell="C6" zoomScale="89" zoomScaleNormal="68" zoomScaleSheetLayoutView="89" workbookViewId="0">
      <selection activeCell="K26" sqref="K26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customWidth="1"/>
    <col min="3" max="3" width="16.5" style="16" customWidth="1"/>
    <col min="4" max="4" width="13.83203125" style="16" customWidth="1"/>
    <col min="5" max="5" width="15.1640625" style="16" customWidth="1"/>
    <col min="6" max="6" width="10.5" style="16" customWidth="1"/>
    <col min="7" max="7" width="13.6640625" style="16" customWidth="1"/>
    <col min="8" max="8" width="18.5" style="16" customWidth="1"/>
    <col min="9" max="10" width="8" style="16" customWidth="1"/>
    <col min="11" max="17" width="10.6640625" style="16" customWidth="1"/>
    <col min="18" max="20" width="8.1640625" style="16" customWidth="1"/>
    <col min="21" max="22" width="12.5" style="16" customWidth="1"/>
    <col min="23" max="23" width="13.1640625" style="98" customWidth="1"/>
    <col min="24" max="24" width="47" style="16" customWidth="1"/>
    <col min="25" max="25" width="15.33203125" style="23" hidden="1" customWidth="1"/>
    <col min="26" max="16384" width="8.6640625" style="16"/>
  </cols>
  <sheetData>
    <row r="1" spans="1:29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13"/>
      <c r="K1" s="29"/>
      <c r="L1" s="29"/>
      <c r="M1" s="29"/>
      <c r="N1" s="29"/>
      <c r="O1" s="27"/>
      <c r="P1" s="27"/>
      <c r="Q1" s="27"/>
      <c r="R1" s="13"/>
      <c r="S1" s="13"/>
      <c r="T1" s="13"/>
      <c r="U1" s="13"/>
      <c r="V1" s="13"/>
      <c r="W1" s="22"/>
      <c r="X1" s="13"/>
      <c r="Y1" s="22"/>
    </row>
    <row r="2" spans="1:29" s="14" customFormat="1" ht="33.75" customHeight="1" x14ac:dyDescent="0.2">
      <c r="A2" s="13"/>
      <c r="B2" s="13"/>
      <c r="C2" s="13"/>
      <c r="D2" s="13"/>
      <c r="E2" s="13"/>
      <c r="F2" s="13"/>
      <c r="G2" s="13"/>
      <c r="K2" s="30"/>
      <c r="L2" s="31"/>
      <c r="M2" s="29"/>
      <c r="N2" s="32" t="s">
        <v>161</v>
      </c>
      <c r="O2" s="27"/>
      <c r="P2" s="27"/>
      <c r="Q2" s="28" t="s">
        <v>160</v>
      </c>
      <c r="S2" s="20"/>
      <c r="T2" s="21"/>
      <c r="V2" s="13"/>
      <c r="X2" s="20" t="s">
        <v>151</v>
      </c>
      <c r="Y2" s="22"/>
    </row>
    <row r="3" spans="1:29" ht="15" customHeight="1" x14ac:dyDescent="0.25">
      <c r="A3" s="33" t="s">
        <v>144</v>
      </c>
      <c r="B3" s="34"/>
      <c r="C3" s="35"/>
      <c r="D3" s="35"/>
      <c r="E3" s="35"/>
      <c r="F3" s="35"/>
      <c r="G3" s="36"/>
      <c r="H3" s="35"/>
      <c r="I3" s="35"/>
      <c r="J3" s="35"/>
      <c r="K3" s="37"/>
      <c r="L3" s="37"/>
      <c r="M3" s="37"/>
      <c r="N3" s="37"/>
      <c r="O3" s="38"/>
      <c r="P3" s="38"/>
      <c r="Q3" s="38"/>
      <c r="R3" s="39"/>
      <c r="S3" s="39"/>
      <c r="T3" s="39"/>
      <c r="U3" s="35"/>
      <c r="V3" s="36"/>
      <c r="W3" s="39"/>
      <c r="X3" s="13"/>
      <c r="Y3" s="22"/>
    </row>
    <row r="4" spans="1:29" ht="21" customHeight="1" x14ac:dyDescent="0.25">
      <c r="A4" s="33" t="s">
        <v>145</v>
      </c>
      <c r="B4" s="34"/>
      <c r="C4" s="40"/>
      <c r="D4" s="40"/>
      <c r="E4" s="35"/>
      <c r="F4" s="35"/>
      <c r="G4" s="36"/>
      <c r="H4" s="35"/>
      <c r="I4" s="35"/>
      <c r="J4" s="35"/>
      <c r="K4" s="37"/>
      <c r="L4" s="37"/>
      <c r="M4" s="37"/>
      <c r="N4" s="37"/>
      <c r="O4" s="38"/>
      <c r="P4" s="38"/>
      <c r="Q4" s="38"/>
      <c r="R4" s="39"/>
      <c r="S4" s="39"/>
      <c r="T4" s="39"/>
      <c r="U4" s="35"/>
      <c r="V4" s="36"/>
      <c r="W4" s="39"/>
      <c r="X4" s="13"/>
      <c r="Y4" s="22"/>
    </row>
    <row r="5" spans="1:29" ht="21" customHeight="1" x14ac:dyDescent="0.25">
      <c r="A5" s="33" t="s">
        <v>146</v>
      </c>
      <c r="B5" s="34"/>
      <c r="C5" s="34"/>
      <c r="D5" s="34"/>
      <c r="E5" s="35"/>
      <c r="F5" s="35"/>
      <c r="G5" s="36"/>
      <c r="H5" s="35"/>
      <c r="I5" s="35"/>
      <c r="J5" s="35"/>
      <c r="K5" s="37"/>
      <c r="L5" s="37"/>
      <c r="M5" s="37"/>
      <c r="N5" s="37"/>
      <c r="O5" s="38"/>
      <c r="P5" s="38"/>
      <c r="Q5" s="38"/>
      <c r="R5" s="39"/>
      <c r="S5" s="39"/>
      <c r="T5" s="39"/>
      <c r="U5" s="35"/>
      <c r="V5" s="36"/>
      <c r="W5" s="39"/>
      <c r="X5" s="13"/>
      <c r="Y5" s="22"/>
    </row>
    <row r="6" spans="1:29" ht="21" customHeight="1" x14ac:dyDescent="0.25">
      <c r="A6" s="41"/>
      <c r="B6" s="34"/>
      <c r="C6" s="34"/>
      <c r="D6" s="34"/>
      <c r="E6" s="35"/>
      <c r="F6" s="35"/>
      <c r="G6" s="36"/>
      <c r="H6" s="35"/>
      <c r="I6" s="35"/>
      <c r="J6" s="35"/>
      <c r="K6" s="37"/>
      <c r="L6" s="37"/>
      <c r="M6" s="37"/>
      <c r="N6" s="37"/>
      <c r="O6" s="38"/>
      <c r="P6" s="38"/>
      <c r="Q6" s="38"/>
      <c r="R6" s="39"/>
      <c r="S6" s="39"/>
      <c r="T6" s="39"/>
      <c r="U6" s="35"/>
      <c r="V6" s="36"/>
      <c r="W6" s="39"/>
      <c r="X6" s="13"/>
      <c r="Y6" s="22"/>
    </row>
    <row r="7" spans="1:29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16"/>
      <c r="I7" s="35"/>
      <c r="J7" s="35"/>
      <c r="K7" s="37"/>
      <c r="L7" s="37"/>
      <c r="M7" s="37"/>
      <c r="N7" s="37"/>
      <c r="O7" s="38"/>
      <c r="P7" s="38"/>
      <c r="Q7" s="38"/>
      <c r="R7" s="43" t="s">
        <v>147</v>
      </c>
      <c r="S7" s="43"/>
      <c r="T7" s="43"/>
      <c r="U7" s="43"/>
      <c r="V7" s="43"/>
      <c r="W7" s="43" t="s">
        <v>148</v>
      </c>
      <c r="X7" s="43"/>
      <c r="Y7" s="43"/>
    </row>
    <row r="8" spans="1:29" ht="15" customHeight="1" x14ac:dyDescent="0.25">
      <c r="A8" s="44" t="s">
        <v>103</v>
      </c>
      <c r="B8" s="45"/>
      <c r="C8" s="45"/>
      <c r="D8" s="45"/>
      <c r="E8" s="46"/>
      <c r="F8" s="46"/>
      <c r="G8" s="36"/>
      <c r="H8" s="46"/>
      <c r="I8" s="35"/>
      <c r="J8" s="35"/>
      <c r="K8" s="37"/>
      <c r="L8" s="37"/>
      <c r="M8" s="37"/>
      <c r="N8" s="37"/>
      <c r="O8" s="38"/>
      <c r="P8" s="38"/>
      <c r="Q8" s="38"/>
      <c r="R8" s="105" t="s">
        <v>273</v>
      </c>
      <c r="S8" s="87"/>
      <c r="T8" s="106"/>
      <c r="U8" s="46"/>
      <c r="V8" s="107"/>
      <c r="W8" s="108">
        <v>46198</v>
      </c>
      <c r="X8" s="13"/>
      <c r="Y8" s="22"/>
    </row>
    <row r="9" spans="1:29" ht="15" customHeight="1" x14ac:dyDescent="0.25">
      <c r="A9" s="46"/>
      <c r="B9" s="45"/>
      <c r="C9" s="46"/>
      <c r="D9" s="46"/>
      <c r="E9" s="35"/>
      <c r="F9" s="46"/>
      <c r="G9" s="36"/>
      <c r="H9" s="46"/>
      <c r="I9" s="35"/>
      <c r="J9" s="35"/>
      <c r="K9" s="37"/>
      <c r="L9" s="37"/>
      <c r="M9" s="37"/>
      <c r="N9" s="37"/>
      <c r="O9" s="38"/>
      <c r="P9" s="38"/>
      <c r="Q9" s="38"/>
      <c r="R9" s="86"/>
      <c r="S9" s="320"/>
      <c r="T9" s="320"/>
      <c r="U9" s="46"/>
      <c r="V9" s="107"/>
      <c r="W9" s="33"/>
      <c r="X9" s="13"/>
      <c r="Y9" s="22"/>
    </row>
    <row r="10" spans="1:29" ht="15" customHeight="1" x14ac:dyDescent="0.25">
      <c r="A10" s="46"/>
      <c r="B10" s="45"/>
      <c r="C10" s="46"/>
      <c r="D10" s="46"/>
      <c r="E10" s="35"/>
      <c r="F10" s="46"/>
      <c r="G10" s="36"/>
      <c r="H10" s="46"/>
      <c r="I10" s="35"/>
      <c r="J10" s="35"/>
      <c r="K10" s="37"/>
      <c r="L10" s="37"/>
      <c r="M10" s="37"/>
      <c r="N10" s="37"/>
      <c r="O10" s="38"/>
      <c r="P10" s="38"/>
      <c r="Q10" s="38"/>
      <c r="R10" s="42" t="s">
        <v>149</v>
      </c>
      <c r="S10" s="43"/>
      <c r="T10" s="43"/>
      <c r="U10" s="43"/>
      <c r="V10" s="43"/>
      <c r="W10" s="43" t="s">
        <v>150</v>
      </c>
      <c r="X10" s="43"/>
      <c r="Y10" s="43"/>
    </row>
    <row r="11" spans="1:29" ht="15" customHeight="1" x14ac:dyDescent="0.25">
      <c r="A11" s="46"/>
      <c r="B11" s="34"/>
      <c r="C11" s="35"/>
      <c r="D11" s="35"/>
      <c r="E11" s="35"/>
      <c r="F11" s="46"/>
      <c r="G11" s="46"/>
      <c r="H11" s="46"/>
      <c r="I11" s="35"/>
      <c r="J11" s="35"/>
      <c r="K11" s="37"/>
      <c r="L11" s="37"/>
      <c r="M11" s="37"/>
      <c r="N11" s="37"/>
      <c r="O11" s="38"/>
      <c r="P11" s="38"/>
      <c r="Q11" s="38"/>
      <c r="R11" s="105" t="s">
        <v>264</v>
      </c>
      <c r="S11" s="86"/>
      <c r="T11" s="86"/>
      <c r="U11" s="46"/>
      <c r="V11" s="107"/>
      <c r="W11" s="86"/>
      <c r="X11" s="13"/>
      <c r="Y11" s="22"/>
    </row>
    <row r="12" spans="1:29" ht="15" customHeight="1" x14ac:dyDescent="0.25">
      <c r="A12" s="189" t="s">
        <v>231</v>
      </c>
      <c r="B12" s="34"/>
      <c r="C12" s="35"/>
      <c r="D12" s="35"/>
      <c r="E12" s="35"/>
      <c r="F12" s="46"/>
      <c r="G12" s="46"/>
      <c r="H12" s="46"/>
      <c r="I12" s="35"/>
      <c r="J12" s="35"/>
      <c r="K12" s="37"/>
      <c r="L12" s="37"/>
      <c r="M12" s="37"/>
      <c r="N12" s="37"/>
      <c r="O12" s="38"/>
      <c r="P12" s="38"/>
      <c r="Q12" s="38"/>
      <c r="R12" s="105"/>
      <c r="S12" s="48"/>
      <c r="T12" s="86"/>
      <c r="U12" s="46"/>
      <c r="V12" s="107"/>
      <c r="W12" s="86"/>
      <c r="X12" s="13"/>
      <c r="Y12" s="22"/>
    </row>
    <row r="13" spans="1:29" ht="15" customHeight="1" x14ac:dyDescent="0.25">
      <c r="A13" s="188" t="s">
        <v>246</v>
      </c>
      <c r="B13" s="34"/>
      <c r="C13" s="35"/>
      <c r="D13" s="35"/>
      <c r="E13" s="35"/>
      <c r="F13" s="46"/>
      <c r="G13" s="46"/>
      <c r="H13" s="46"/>
      <c r="I13" s="35"/>
      <c r="J13" s="35"/>
      <c r="K13" s="37"/>
      <c r="L13" s="37"/>
      <c r="M13" s="37"/>
      <c r="N13" s="37"/>
      <c r="O13" s="38"/>
      <c r="P13" s="38"/>
      <c r="Q13" s="38"/>
      <c r="R13" s="105"/>
      <c r="S13" s="35"/>
      <c r="T13" s="48"/>
      <c r="U13" s="48"/>
      <c r="V13" s="47"/>
      <c r="W13" s="49"/>
      <c r="X13" s="13"/>
      <c r="Y13" s="22"/>
    </row>
    <row r="14" spans="1:29" ht="15" customHeight="1" x14ac:dyDescent="0.25">
      <c r="A14" s="46"/>
      <c r="B14" s="34"/>
      <c r="C14" s="35"/>
      <c r="D14" s="35"/>
      <c r="E14" s="35"/>
      <c r="F14" s="46"/>
      <c r="G14" s="46"/>
      <c r="H14" s="46"/>
      <c r="I14" s="35"/>
      <c r="J14" s="35"/>
      <c r="K14" s="37"/>
      <c r="L14" s="37"/>
      <c r="M14" s="37"/>
      <c r="N14" s="37"/>
      <c r="O14" s="38"/>
      <c r="P14" s="38"/>
      <c r="Q14" s="38"/>
      <c r="R14" s="48"/>
      <c r="S14" s="48"/>
      <c r="T14" s="48"/>
      <c r="U14" s="48"/>
      <c r="V14" s="47"/>
      <c r="W14" s="49"/>
      <c r="X14" s="13"/>
      <c r="Y14" s="22"/>
    </row>
    <row r="15" spans="1:29" ht="15" hidden="1" customHeight="1" x14ac:dyDescent="0.25">
      <c r="A15" s="35"/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50"/>
      <c r="M15" s="50" t="s">
        <v>137</v>
      </c>
      <c r="N15" s="50"/>
      <c r="O15" s="51"/>
      <c r="P15" s="51" t="s">
        <v>138</v>
      </c>
      <c r="Q15" s="51"/>
      <c r="R15" s="52"/>
      <c r="S15" s="52" t="s">
        <v>134</v>
      </c>
      <c r="T15" s="52"/>
      <c r="U15" s="35"/>
      <c r="V15" s="35"/>
      <c r="W15" s="89"/>
      <c r="X15" s="16" t="s">
        <v>142</v>
      </c>
    </row>
    <row r="16" spans="1:29" s="17" customFormat="1" ht="41.25" customHeight="1" x14ac:dyDescent="0.2">
      <c r="A16" s="53" t="s">
        <v>158</v>
      </c>
      <c r="B16" s="53" t="s">
        <v>0</v>
      </c>
      <c r="C16" s="53" t="s">
        <v>1</v>
      </c>
      <c r="D16" s="54" t="s">
        <v>217</v>
      </c>
      <c r="E16" s="54" t="s">
        <v>135</v>
      </c>
      <c r="F16" s="54" t="s">
        <v>157</v>
      </c>
      <c r="G16" s="54" t="s">
        <v>3</v>
      </c>
      <c r="H16" s="54" t="s">
        <v>152</v>
      </c>
      <c r="I16" s="54" t="s">
        <v>105</v>
      </c>
      <c r="J16" s="54" t="s">
        <v>5</v>
      </c>
      <c r="K16" s="55" t="s">
        <v>64</v>
      </c>
      <c r="L16" s="55" t="s">
        <v>136</v>
      </c>
      <c r="M16" s="55" t="s">
        <v>24</v>
      </c>
      <c r="N16" s="55" t="s">
        <v>108</v>
      </c>
      <c r="O16" s="56" t="s">
        <v>136</v>
      </c>
      <c r="P16" s="56" t="s">
        <v>24</v>
      </c>
      <c r="Q16" s="56" t="s">
        <v>108</v>
      </c>
      <c r="R16" s="54" t="s">
        <v>136</v>
      </c>
      <c r="S16" s="54" t="s">
        <v>24</v>
      </c>
      <c r="T16" s="54" t="s">
        <v>108</v>
      </c>
      <c r="U16" s="131" t="s">
        <v>159</v>
      </c>
      <c r="V16" s="91" t="s">
        <v>6</v>
      </c>
      <c r="W16" s="92" t="s">
        <v>7</v>
      </c>
      <c r="X16" s="53" t="s">
        <v>214</v>
      </c>
      <c r="Y16" s="53" t="s">
        <v>141</v>
      </c>
      <c r="AC16" s="16"/>
    </row>
    <row r="17" spans="1:26" s="17" customFormat="1" ht="36" customHeight="1" x14ac:dyDescent="0.2">
      <c r="A17" s="57">
        <v>1</v>
      </c>
      <c r="B17" s="57" t="str" cm="1">
        <f t="array" ref="B17">_xlfn.LET(_xlpm.r,_xlfn.XLOOKUP(1,
(TRIM(CODE_PRICE!$A$4:$A$2003)=TRIM($C$4))*
(TRIM(CODE_PRICE!$B$4:$B$2003)=TRIM(C17)),
CODE_PRICE!$C$4:$C$2003,
""),
IF(OR(_xlpm.r="",_xlpm.r=0),"",_xlpm.r))</f>
        <v/>
      </c>
      <c r="C17" s="57" t="s">
        <v>97</v>
      </c>
      <c r="D17" s="57" t="str" cm="1">
        <f t="array" ref="D17">IFERROR(
_xlfn.XLOOKUP(1,
(CODE_PRICE!$A$3:$A$1003=$A$8)*
(CODE_PRICE!$B$3:$B$1003=C17),
CODE_PRICE!$C$3:$C$1003
),
"")</f>
        <v>FM1836</v>
      </c>
      <c r="E17" s="57" t="s">
        <v>264</v>
      </c>
      <c r="F17" s="58" t="s">
        <v>11</v>
      </c>
      <c r="G17" s="59" t="s">
        <v>123</v>
      </c>
      <c r="H17" s="60" t="str">
        <f>IF(COUNTIFS($C$17:C17,C17,$I$17:I17,I17)=1,
SUMIFS($J$17:$J$49,$C$17:$C$49,C17,$I$17:$I$49,I17)&amp;I17&amp;" "&amp;C17,
"")</f>
        <v>10S CFN39180W</v>
      </c>
      <c r="I17" s="58" t="s">
        <v>22</v>
      </c>
      <c r="J17" s="61">
        <v>1</v>
      </c>
      <c r="K17" s="62"/>
      <c r="L17" s="63">
        <v>108</v>
      </c>
      <c r="M17" s="257">
        <v>81</v>
      </c>
      <c r="N17" s="64">
        <v>30</v>
      </c>
      <c r="O17" s="65"/>
      <c r="P17" s="65" t="str" cm="1">
        <f t="array" ref="P17">IF(F17="trim",IFERROR(INDEX('SIZE GUIDE'!$E:$E,MATCH(1,('SIZE GUIDE'!$A:$A=$F17)*('SIZE GUIDE'!$B:$B=$G17)*('SIZE GUIDE'!$C:$C=$I17),0)),""),"")</f>
        <v/>
      </c>
      <c r="Q17" s="65"/>
      <c r="R17" s="59">
        <v>107</v>
      </c>
      <c r="S17" s="59">
        <f t="shared" ref="S17:S26" si="0">M17</f>
        <v>81</v>
      </c>
      <c r="T17" s="258">
        <f t="shared" ref="T17:T26" si="1">IF(F17="untrim",N17-0.5,Q17-0.5)</f>
        <v>29.5</v>
      </c>
      <c r="U17" s="93">
        <f t="shared" ref="U17:U26" si="2">IFERROR(R17*S17*T17/144*J17,"")</f>
        <v>1775.53125</v>
      </c>
      <c r="V17" s="99">
        <f>SUMIFS(CODE_PRICE!F:F,CODE_PRICE!B:B,'DICKSON-W26_03'!C17,CODE_PRICE!A:A,'DICKSON-W26_03'!$A$8)</f>
        <v>0.32900000000000001</v>
      </c>
      <c r="W17" s="95">
        <f>U17*V17</f>
        <v>584.14978125000005</v>
      </c>
      <c r="X17" s="244" t="str">
        <f>IF(OR(E17="",C17=""),"",IF(COUNTIFS($E$17:E17,E17,$C$17:C17,C17)=1,E17&amp;" - "&amp;C17&amp;" - "&amp;SUMIFS($J$17:$J$5002,$E$17:$E$5002,E17,$C$17:$C$5002,C17)&amp;I17&amp;" - "&amp;TEXT(SUMIFS($U$17:$U$5002,$E$17:$E$5002,E17,$C$17:$C$5002,C17),"0.00")&amp;" Bf",""))</f>
        <v>11-73000 - CFN39180W - 10S - 21306.38 Bf</v>
      </c>
      <c r="Y17" s="103">
        <f>IF(COUNTIF($C$17:C17,C17)=1,ROUND(SUMIF($C:$C,C17,$W:$W),2), "")</f>
        <v>7009.8</v>
      </c>
      <c r="Z17" s="17">
        <v>40.5</v>
      </c>
    </row>
    <row r="18" spans="1:26" s="17" customFormat="1" ht="36" customHeight="1" x14ac:dyDescent="0.2">
      <c r="A18" s="57">
        <f>A17+1</f>
        <v>2</v>
      </c>
      <c r="B18" s="57" t="str" cm="1">
        <f t="array" ref="B18">_xlfn.LET(_xlpm.r,_xlfn.XLOOKUP(1,
(TRIM(CODE_PRICE!$A$4:$A$2003)=TRIM($C$4))*
(TRIM(CODE_PRICE!$B$4:$B$2003)=TRIM(C18)),
CODE_PRICE!$C$4:$C$2003,
""),
IF(OR(_xlpm.r="",_xlpm.r=0),"",_xlpm.r))</f>
        <v/>
      </c>
      <c r="C18" s="57" t="s">
        <v>97</v>
      </c>
      <c r="D18" s="57" t="str" cm="1">
        <f t="array" ref="D18">IFERROR(
_xlfn.XLOOKUP(1,
(CODE_PRICE!$A$3:$A$1003=$A$8)*
(CODE_PRICE!$B$3:$B$1003=C18),
CODE_PRICE!$C$3:$C$1003
),
"")</f>
        <v>FM1836</v>
      </c>
      <c r="E18" s="57" t="s">
        <v>264</v>
      </c>
      <c r="F18" s="58" t="s">
        <v>11</v>
      </c>
      <c r="G18" s="59" t="s">
        <v>123</v>
      </c>
      <c r="H18" s="60" t="str">
        <f>IF(COUNTIFS($C$17:C18,C18,$I$17:I18,I18)=1,
SUMIFS($J$17:$J$49,$C$17:$C$49,C18,$I$17:$I$49,I18)&amp;I18&amp;" "&amp;C18,
"")</f>
        <v/>
      </c>
      <c r="I18" s="58" t="s">
        <v>22</v>
      </c>
      <c r="J18" s="61">
        <v>1</v>
      </c>
      <c r="K18" s="62"/>
      <c r="L18" s="63">
        <v>108</v>
      </c>
      <c r="M18" s="257">
        <v>81</v>
      </c>
      <c r="N18" s="64">
        <v>37</v>
      </c>
      <c r="O18" s="65"/>
      <c r="P18" s="65" t="str" cm="1">
        <f t="array" ref="P18">IF(F18="trim",IFERROR(INDEX('SIZE GUIDE'!$E:$E,MATCH(1,('SIZE GUIDE'!$A:$A=$F18)*('SIZE GUIDE'!$B:$B=$G18)*('SIZE GUIDE'!$C:$C=$I18),0)),""),"")</f>
        <v/>
      </c>
      <c r="Q18" s="65"/>
      <c r="R18" s="59">
        <v>107</v>
      </c>
      <c r="S18" s="59">
        <f t="shared" si="0"/>
        <v>81</v>
      </c>
      <c r="T18" s="258">
        <f t="shared" si="1"/>
        <v>36.5</v>
      </c>
      <c r="U18" s="93">
        <f t="shared" si="2"/>
        <v>2196.84375</v>
      </c>
      <c r="V18" s="99">
        <f>SUMIFS(CODE_PRICE!F:F,CODE_PRICE!B:B,'DICKSON-W26_03'!C18,CODE_PRICE!A:A,'DICKSON-W26_03'!$A$8)</f>
        <v>0.32900000000000001</v>
      </c>
      <c r="W18" s="95">
        <f t="shared" ref="W18:W26" si="3">U18*V18</f>
        <v>722.76159375000009</v>
      </c>
      <c r="X18" s="244" t="str">
        <f>IF(OR(E18="",C18=""),"",IF(COUNTIFS($E$17:E18,E18,$C$17:C18,C18)=1,E18&amp;" - "&amp;C18&amp;" - "&amp;SUMIFS($J$17:$J$5002,$E$17:$E$5002,E18,$C$17:$C$5002,C18)&amp;I18&amp;" - "&amp;TEXT(SUMIFS($U$17:$U$5002,$E$17:$E$5002,E18,$C$17:$C$5002,C18),"0.00")&amp;" Bf",""))</f>
        <v/>
      </c>
      <c r="Y18" s="24" t="str">
        <f>IF(COUNTIF($C$17:C18,C18)=1,ROUND(SUMIF($C:$C,C18,$W:$W),2), "")</f>
        <v/>
      </c>
      <c r="Z18" s="17">
        <v>40.5</v>
      </c>
    </row>
    <row r="19" spans="1:26" s="17" customFormat="1" ht="36" customHeight="1" x14ac:dyDescent="0.2">
      <c r="A19" s="57">
        <f t="shared" ref="A19:A26" si="4">A18+1</f>
        <v>3</v>
      </c>
      <c r="B19" s="57" t="str" cm="1">
        <f t="array" ref="B19">_xlfn.LET(_xlpm.r,_xlfn.XLOOKUP(1,
(TRIM(CODE_PRICE!$A$4:$A$2003)=TRIM($C$4))*
(TRIM(CODE_PRICE!$B$4:$B$2003)=TRIM(C19)),
CODE_PRICE!$C$4:$C$2003,
""),
IF(OR(_xlpm.r="",_xlpm.r=0),"",_xlpm.r))</f>
        <v/>
      </c>
      <c r="C19" s="57" t="s">
        <v>97</v>
      </c>
      <c r="D19" s="57" t="str" cm="1">
        <f t="array" ref="D19">IFERROR(
_xlfn.XLOOKUP(1,
(CODE_PRICE!$A$3:$A$1003=$A$8)*
(CODE_PRICE!$B$3:$B$1003=C19),
CODE_PRICE!$C$3:$C$1003
),
"")</f>
        <v>FM1836</v>
      </c>
      <c r="E19" s="57" t="s">
        <v>264</v>
      </c>
      <c r="F19" s="58" t="s">
        <v>11</v>
      </c>
      <c r="G19" s="59" t="s">
        <v>123</v>
      </c>
      <c r="H19" s="60" t="str">
        <f>IF(COUNTIFS($C$17:C19,C19,$I$17:I19,I19)=1,
SUMIFS($J$17:$J$49,$C$17:$C$49,C19,$I$17:$I$49,I19)&amp;I19&amp;" "&amp;C19,
"")</f>
        <v/>
      </c>
      <c r="I19" s="58" t="s">
        <v>22</v>
      </c>
      <c r="J19" s="61">
        <v>1</v>
      </c>
      <c r="K19" s="62"/>
      <c r="L19" s="63">
        <v>108</v>
      </c>
      <c r="M19" s="257">
        <v>81</v>
      </c>
      <c r="N19" s="64">
        <v>37</v>
      </c>
      <c r="O19" s="65"/>
      <c r="P19" s="65" t="str" cm="1">
        <f t="array" ref="P19">IF(F19="trim",IFERROR(INDEX('SIZE GUIDE'!$E:$E,MATCH(1,('SIZE GUIDE'!$A:$A=$F19)*('SIZE GUIDE'!$B:$B=$G19)*('SIZE GUIDE'!$C:$C=$I19),0)),""),"")</f>
        <v/>
      </c>
      <c r="Q19" s="65"/>
      <c r="R19" s="59">
        <v>107</v>
      </c>
      <c r="S19" s="59">
        <f t="shared" si="0"/>
        <v>81</v>
      </c>
      <c r="T19" s="258">
        <f t="shared" si="1"/>
        <v>36.5</v>
      </c>
      <c r="U19" s="93">
        <f t="shared" si="2"/>
        <v>2196.84375</v>
      </c>
      <c r="V19" s="99">
        <f>SUMIFS(CODE_PRICE!F:F,CODE_PRICE!B:B,'DICKSON-W26_03'!C19,CODE_PRICE!A:A,'DICKSON-W26_03'!$A$8)</f>
        <v>0.32900000000000001</v>
      </c>
      <c r="W19" s="95">
        <f t="shared" si="3"/>
        <v>722.76159375000009</v>
      </c>
      <c r="X19" s="244" t="str">
        <f>IF(OR(E19="",C19=""),"",IF(COUNTIFS($E$17:E19,E19,$C$17:C19,C19)=1,E19&amp;" - "&amp;C19&amp;" - "&amp;SUMIFS($J$17:$J$5002,$E$17:$E$5002,E19,$C$17:$C$5002,C19)&amp;I19&amp;" - "&amp;TEXT(SUMIFS($U$17:$U$5002,$E$17:$E$5002,E19,$C$17:$C$5002,C19),"0.00")&amp;" Bf",""))</f>
        <v/>
      </c>
      <c r="Y19" s="24" t="str">
        <f>IF(COUNTIF($C$17:C19,C19)=1,ROUND(SUMIF($C:$C,C19,$W:$W),2), "")</f>
        <v/>
      </c>
      <c r="Z19" s="17">
        <v>39.5</v>
      </c>
    </row>
    <row r="20" spans="1:26" s="17" customFormat="1" ht="36" customHeight="1" x14ac:dyDescent="0.2">
      <c r="A20" s="57">
        <f t="shared" si="4"/>
        <v>4</v>
      </c>
      <c r="B20" s="57" t="str" cm="1">
        <f t="array" ref="B20">_xlfn.LET(_xlpm.r,_xlfn.XLOOKUP(1,
(TRIM(CODE_PRICE!$A$4:$A$2003)=TRIM($C$4))*
(TRIM(CODE_PRICE!$B$4:$B$2003)=TRIM(C20)),
CODE_PRICE!$C$4:$C$2003,
""),
IF(OR(_xlpm.r="",_xlpm.r=0),"",_xlpm.r))</f>
        <v/>
      </c>
      <c r="C20" s="57" t="s">
        <v>97</v>
      </c>
      <c r="D20" s="57" t="str" cm="1">
        <f t="array" ref="D20">IFERROR(
_xlfn.XLOOKUP(1,
(CODE_PRICE!$A$3:$A$1003=$A$8)*
(CODE_PRICE!$B$3:$B$1003=C20),
CODE_PRICE!$C$3:$C$1003
),
"")</f>
        <v>FM1836</v>
      </c>
      <c r="E20" s="57" t="s">
        <v>264</v>
      </c>
      <c r="F20" s="58" t="s">
        <v>11</v>
      </c>
      <c r="G20" s="59" t="s">
        <v>123</v>
      </c>
      <c r="H20" s="60" t="str">
        <f>IF(COUNTIFS($C$17:C20,C20,$I$17:I20,I20)=1,
SUMIFS($J$17:$J$49,$C$17:$C$49,C20,$I$17:$I$49,I20)&amp;I20&amp;" "&amp;C20,
"")</f>
        <v/>
      </c>
      <c r="I20" s="58" t="s">
        <v>22</v>
      </c>
      <c r="J20" s="61">
        <v>1</v>
      </c>
      <c r="K20" s="62"/>
      <c r="L20" s="63">
        <v>108</v>
      </c>
      <c r="M20" s="257">
        <v>81</v>
      </c>
      <c r="N20" s="64">
        <v>36</v>
      </c>
      <c r="O20" s="65"/>
      <c r="P20" s="65" t="str" cm="1">
        <f t="array" ref="P20">IF(F20="trim",IFERROR(INDEX('SIZE GUIDE'!$E:$E,MATCH(1,('SIZE GUIDE'!$A:$A=$F20)*('SIZE GUIDE'!$B:$B=$G20)*('SIZE GUIDE'!$C:$C=$I20),0)),""),"")</f>
        <v/>
      </c>
      <c r="Q20" s="65"/>
      <c r="R20" s="59">
        <v>107</v>
      </c>
      <c r="S20" s="59">
        <f t="shared" si="0"/>
        <v>81</v>
      </c>
      <c r="T20" s="258">
        <f t="shared" si="1"/>
        <v>35.5</v>
      </c>
      <c r="U20" s="154">
        <f t="shared" si="2"/>
        <v>2136.65625</v>
      </c>
      <c r="V20" s="99">
        <f>SUMIFS(CODE_PRICE!F:F,CODE_PRICE!B:B,'DICKSON-W26_03'!C20,CODE_PRICE!A:A,'DICKSON-W26_03'!$A$8)</f>
        <v>0.32900000000000001</v>
      </c>
      <c r="W20" s="155">
        <f t="shared" si="3"/>
        <v>702.95990625000002</v>
      </c>
      <c r="X20" s="244" t="str">
        <f>IF(OR(E20="",C20=""),"",IF(COUNTIFS($E$17:E20,E20,$C$17:C20,C20)=1,E20&amp;" - "&amp;C20&amp;" - "&amp;SUMIFS($J$17:$J$5002,$E$17:$E$5002,E20,$C$17:$C$5002,C20)&amp;I20&amp;" - "&amp;TEXT(SUMIFS($U$17:$U$5002,$E$17:$E$5002,E20,$C$17:$C$5002,C20),"0.00")&amp;" Bf",""))</f>
        <v/>
      </c>
      <c r="Y20" s="157" t="str">
        <f>IF(COUNTIF($C$17:C20,C20)=1,ROUND(SUMIF($C:$C,C20,$W:$W),2), "")</f>
        <v/>
      </c>
      <c r="Z20" s="17">
        <v>39.5</v>
      </c>
    </row>
    <row r="21" spans="1:26" s="17" customFormat="1" ht="36" customHeight="1" x14ac:dyDescent="0.2">
      <c r="A21" s="57">
        <f t="shared" si="4"/>
        <v>5</v>
      </c>
      <c r="B21" s="57" t="str" cm="1">
        <f t="array" ref="B21">_xlfn.LET(_xlpm.r,_xlfn.XLOOKUP(1,
(TRIM(CODE_PRICE!$A$4:$A$2003)=TRIM($C$4))*
(TRIM(CODE_PRICE!$B$4:$B$2003)=TRIM(C21)),
CODE_PRICE!$C$4:$C$2003,
""),
IF(OR(_xlpm.r="",_xlpm.r=0),"",_xlpm.r))</f>
        <v/>
      </c>
      <c r="C21" s="57" t="s">
        <v>97</v>
      </c>
      <c r="D21" s="57" t="str" cm="1">
        <f t="array" ref="D21">IFERROR(
_xlfn.XLOOKUP(1,
(CODE_PRICE!$A$3:$A$1003=$A$8)*
(CODE_PRICE!$B$3:$B$1003=C21),
CODE_PRICE!$C$3:$C$1003
),
"")</f>
        <v>FM1836</v>
      </c>
      <c r="E21" s="57" t="s">
        <v>264</v>
      </c>
      <c r="F21" s="58" t="s">
        <v>11</v>
      </c>
      <c r="G21" s="59" t="s">
        <v>123</v>
      </c>
      <c r="H21" s="60" t="str">
        <f>IF(COUNTIFS($C$17:C21,C21,$I$17:I21,I21)=1,
SUMIFS($J$17:$J$49,$C$17:$C$49,C21,$I$17:$I$49,I21)&amp;I21&amp;" "&amp;C21,
"")</f>
        <v/>
      </c>
      <c r="I21" s="58" t="s">
        <v>22</v>
      </c>
      <c r="J21" s="61">
        <v>1</v>
      </c>
      <c r="K21" s="62"/>
      <c r="L21" s="63">
        <v>108</v>
      </c>
      <c r="M21" s="257">
        <v>81</v>
      </c>
      <c r="N21" s="64">
        <v>36</v>
      </c>
      <c r="O21" s="65"/>
      <c r="P21" s="65" t="str" cm="1">
        <f t="array" ref="P21">IF(F21="trim",IFERROR(INDEX('SIZE GUIDE'!$E:$E,MATCH(1,('SIZE GUIDE'!$A:$A=$F21)*('SIZE GUIDE'!$B:$B=$G21)*('SIZE GUIDE'!$C:$C=$I21),0)),""),"")</f>
        <v/>
      </c>
      <c r="Q21" s="65"/>
      <c r="R21" s="59">
        <v>107</v>
      </c>
      <c r="S21" s="59">
        <f t="shared" si="0"/>
        <v>81</v>
      </c>
      <c r="T21" s="258">
        <f t="shared" si="1"/>
        <v>35.5</v>
      </c>
      <c r="U21" s="154">
        <f t="shared" si="2"/>
        <v>2136.65625</v>
      </c>
      <c r="V21" s="99">
        <f>SUMIFS(CODE_PRICE!F:F,CODE_PRICE!B:B,'DICKSON-W26_03'!C21,CODE_PRICE!A:A,'DICKSON-W26_03'!$A$8)</f>
        <v>0.32900000000000001</v>
      </c>
      <c r="W21" s="155">
        <f t="shared" si="3"/>
        <v>702.95990625000002</v>
      </c>
      <c r="X21" s="244" t="str">
        <f>IF(OR(E21="",C21=""),"",IF(COUNTIFS($E$17:E21,E21,$C$17:C21,C21)=1,E21&amp;" - "&amp;C21&amp;" - "&amp;SUMIFS($J$17:$J$5002,$E$17:$E$5002,E21,$C$17:$C$5002,C21)&amp;I21&amp;" - "&amp;TEXT(SUMIFS($U$17:$U$5002,$E$17:$E$5002,E21,$C$17:$C$5002,C21),"0.00")&amp;" Bf",""))</f>
        <v/>
      </c>
      <c r="Y21" s="157" t="str">
        <f>IF(COUNTIF($C$17:C21,C21)=1,ROUND(SUMIF($C:$C,C21,$W:$W),2), "")</f>
        <v/>
      </c>
      <c r="Z21" s="17">
        <v>40.5</v>
      </c>
    </row>
    <row r="22" spans="1:26" s="17" customFormat="1" ht="36" customHeight="1" x14ac:dyDescent="0.2">
      <c r="A22" s="57">
        <f t="shared" si="4"/>
        <v>6</v>
      </c>
      <c r="B22" s="57" t="str" cm="1">
        <f t="array" ref="B22">_xlfn.LET(_xlpm.r,_xlfn.XLOOKUP(1,
(TRIM(CODE_PRICE!$A$4:$A$2003)=TRIM($C$4))*
(TRIM(CODE_PRICE!$B$4:$B$2003)=TRIM(C22)),
CODE_PRICE!$C$4:$C$2003,
""),
IF(OR(_xlpm.r="",_xlpm.r=0),"",_xlpm.r))</f>
        <v/>
      </c>
      <c r="C22" s="57" t="s">
        <v>97</v>
      </c>
      <c r="D22" s="57" t="str" cm="1">
        <f t="array" ref="D22">IFERROR(
_xlfn.XLOOKUP(1,
(CODE_PRICE!$A$3:$A$1003=$A$8)*
(CODE_PRICE!$B$3:$B$1003=C22),
CODE_PRICE!$C$3:$C$1003
),
"")</f>
        <v>FM1836</v>
      </c>
      <c r="E22" s="57" t="s">
        <v>264</v>
      </c>
      <c r="F22" s="58" t="s">
        <v>11</v>
      </c>
      <c r="G22" s="59" t="s">
        <v>123</v>
      </c>
      <c r="H22" s="60" t="str">
        <f>IF(COUNTIFS($C$17:C22,C22,$I$17:I22,I22)=1,
SUMIFS($J$17:$J$49,$C$17:$C$49,C22,$I$17:$I$49,I22)&amp;I22&amp;" "&amp;C22,
"")</f>
        <v/>
      </c>
      <c r="I22" s="58" t="s">
        <v>22</v>
      </c>
      <c r="J22" s="61">
        <v>1</v>
      </c>
      <c r="K22" s="62"/>
      <c r="L22" s="63">
        <v>108</v>
      </c>
      <c r="M22" s="257">
        <v>81</v>
      </c>
      <c r="N22" s="64">
        <v>36</v>
      </c>
      <c r="O22" s="65"/>
      <c r="P22" s="65" t="str" cm="1">
        <f t="array" ref="P22">IF(F22="trim",IFERROR(INDEX('SIZE GUIDE'!$E:$E,MATCH(1,('SIZE GUIDE'!$A:$A=$F22)*('SIZE GUIDE'!$B:$B=$G22)*('SIZE GUIDE'!$C:$C=$I22),0)),""),"")</f>
        <v/>
      </c>
      <c r="Q22" s="65"/>
      <c r="R22" s="59">
        <v>107</v>
      </c>
      <c r="S22" s="59">
        <f t="shared" si="0"/>
        <v>81</v>
      </c>
      <c r="T22" s="258">
        <f t="shared" si="1"/>
        <v>35.5</v>
      </c>
      <c r="U22" s="154">
        <f t="shared" si="2"/>
        <v>2136.65625</v>
      </c>
      <c r="V22" s="99">
        <f>SUMIFS(CODE_PRICE!F:F,CODE_PRICE!B:B,'DICKSON-W26_03'!C22,CODE_PRICE!A:A,'DICKSON-W26_03'!$A$8)</f>
        <v>0.32900000000000001</v>
      </c>
      <c r="W22" s="155">
        <f t="shared" si="3"/>
        <v>702.95990625000002</v>
      </c>
      <c r="X22" s="244" t="str">
        <f>IF(OR(E22="",C22=""),"",IF(COUNTIFS($E$17:E22,E22,$C$17:C22,C22)=1,E22&amp;" - "&amp;C22&amp;" - "&amp;SUMIFS($J$17:$J$5002,$E$17:$E$5002,E22,$C$17:$C$5002,C22)&amp;I22&amp;" - "&amp;TEXT(SUMIFS($U$17:$U$5002,$E$17:$E$5002,E22,$C$17:$C$5002,C22),"0.00")&amp;" Bf",""))</f>
        <v/>
      </c>
      <c r="Y22" s="157" t="str">
        <f>IF(COUNTIF($C$17:C22,C22)=1,ROUND(SUMIF($C:$C,C22,$W:$W),2), "")</f>
        <v/>
      </c>
      <c r="Z22" s="17">
        <v>41</v>
      </c>
    </row>
    <row r="23" spans="1:26" s="17" customFormat="1" ht="36" customHeight="1" x14ac:dyDescent="0.2">
      <c r="A23" s="57">
        <f t="shared" si="4"/>
        <v>7</v>
      </c>
      <c r="B23" s="57" t="str" cm="1">
        <f t="array" ref="B23">_xlfn.LET(_xlpm.r,_xlfn.XLOOKUP(1,
(TRIM(CODE_PRICE!$A$4:$A$2003)=TRIM($C$4))*
(TRIM(CODE_PRICE!$B$4:$B$2003)=TRIM(C23)),
CODE_PRICE!$C$4:$C$2003,
""),
IF(OR(_xlpm.r="",_xlpm.r=0),"",_xlpm.r))</f>
        <v/>
      </c>
      <c r="C23" s="57" t="s">
        <v>97</v>
      </c>
      <c r="D23" s="57" t="str" cm="1">
        <f t="array" ref="D23">IFERROR(
_xlfn.XLOOKUP(1,
(CODE_PRICE!$A$3:$A$1003=$A$8)*
(CODE_PRICE!$B$3:$B$1003=C23),
CODE_PRICE!$C$3:$C$1003
),
"")</f>
        <v>FM1836</v>
      </c>
      <c r="E23" s="57" t="s">
        <v>264</v>
      </c>
      <c r="F23" s="58" t="s">
        <v>11</v>
      </c>
      <c r="G23" s="59" t="s">
        <v>123</v>
      </c>
      <c r="H23" s="60" t="str">
        <f>IF(COUNTIFS($C$17:C23,C23,$I$17:I23,I23)=1,
SUMIFS($J$17:$J$49,$C$17:$C$49,C23,$I$17:$I$49,I23)&amp;I23&amp;" "&amp;C23,
"")</f>
        <v/>
      </c>
      <c r="I23" s="58" t="s">
        <v>22</v>
      </c>
      <c r="J23" s="61">
        <v>1</v>
      </c>
      <c r="K23" s="62"/>
      <c r="L23" s="63">
        <v>108</v>
      </c>
      <c r="M23" s="257">
        <v>81</v>
      </c>
      <c r="N23" s="64">
        <v>37</v>
      </c>
      <c r="O23" s="65"/>
      <c r="P23" s="65" t="str" cm="1">
        <f t="array" ref="P23">IF(F23="trim",IFERROR(INDEX('SIZE GUIDE'!$E:$E,MATCH(1,('SIZE GUIDE'!$A:$A=$F23)*('SIZE GUIDE'!$B:$B=$G23)*('SIZE GUIDE'!$C:$C=$I23),0)),""),"")</f>
        <v/>
      </c>
      <c r="Q23" s="65"/>
      <c r="R23" s="59">
        <v>107</v>
      </c>
      <c r="S23" s="59">
        <f t="shared" si="0"/>
        <v>81</v>
      </c>
      <c r="T23" s="258">
        <f t="shared" si="1"/>
        <v>36.5</v>
      </c>
      <c r="U23" s="154">
        <f t="shared" si="2"/>
        <v>2196.84375</v>
      </c>
      <c r="V23" s="99">
        <f>SUMIFS(CODE_PRICE!F:F,CODE_PRICE!B:B,'DICKSON-W26_03'!C23,CODE_PRICE!A:A,'DICKSON-W26_03'!$A$8)</f>
        <v>0.32900000000000001</v>
      </c>
      <c r="W23" s="155">
        <f t="shared" si="3"/>
        <v>722.76159375000009</v>
      </c>
      <c r="X23" s="244" t="str">
        <f>IF(OR(E23="",C23=""),"",IF(COUNTIFS($E$17:E23,E23,$C$17:C23,C23)=1,E23&amp;" - "&amp;C23&amp;" - "&amp;SUMIFS($J$17:$J$5002,$E$17:$E$5002,E23,$C$17:$C$5002,C23)&amp;I23&amp;" - "&amp;TEXT(SUMIFS($U$17:$U$5002,$E$17:$E$5002,E23,$C$17:$C$5002,C23),"0.00")&amp;" Bf",""))</f>
        <v/>
      </c>
      <c r="Y23" s="157" t="str">
        <f>IF(COUNTIF($C$17:C23,C23)=1,ROUND(SUMIF($C:$C,C23,$W:$W),2), "")</f>
        <v/>
      </c>
      <c r="Z23" s="17">
        <v>40</v>
      </c>
    </row>
    <row r="24" spans="1:26" s="17" customFormat="1" ht="36" customHeight="1" x14ac:dyDescent="0.2">
      <c r="A24" s="57">
        <f t="shared" si="4"/>
        <v>8</v>
      </c>
      <c r="B24" s="57" t="str" cm="1">
        <f t="array" ref="B24">_xlfn.LET(_xlpm.r,_xlfn.XLOOKUP(1,
(TRIM(CODE_PRICE!$A$4:$A$2003)=TRIM($C$4))*
(TRIM(CODE_PRICE!$B$4:$B$2003)=TRIM(C24)),
CODE_PRICE!$C$4:$C$2003,
""),
IF(OR(_xlpm.r="",_xlpm.r=0),"",_xlpm.r))</f>
        <v/>
      </c>
      <c r="C24" s="57" t="s">
        <v>97</v>
      </c>
      <c r="D24" s="57" t="str" cm="1">
        <f t="array" ref="D24">IFERROR(
_xlfn.XLOOKUP(1,
(CODE_PRICE!$A$3:$A$1003=$A$8)*
(CODE_PRICE!$B$3:$B$1003=C24),
CODE_PRICE!$C$3:$C$1003
),
"")</f>
        <v>FM1836</v>
      </c>
      <c r="E24" s="57" t="s">
        <v>264</v>
      </c>
      <c r="F24" s="58" t="s">
        <v>11</v>
      </c>
      <c r="G24" s="59" t="s">
        <v>123</v>
      </c>
      <c r="H24" s="60" t="str">
        <f>IF(COUNTIFS($C$17:C24,C24,$I$17:I24,I24)=1,
SUMIFS($J$17:$J$49,$C$17:$C$49,C24,$I$17:$I$49,I24)&amp;I24&amp;" "&amp;C24,
"")</f>
        <v/>
      </c>
      <c r="I24" s="58" t="s">
        <v>22</v>
      </c>
      <c r="J24" s="61">
        <v>1</v>
      </c>
      <c r="K24" s="62"/>
      <c r="L24" s="63">
        <v>108</v>
      </c>
      <c r="M24" s="257">
        <v>81</v>
      </c>
      <c r="N24" s="64">
        <v>36</v>
      </c>
      <c r="O24" s="65"/>
      <c r="P24" s="65" t="str" cm="1">
        <f t="array" ref="P24">IF(F24="trim",IFERROR(INDEX('SIZE GUIDE'!$E:$E,MATCH(1,('SIZE GUIDE'!$A:$A=$F24)*('SIZE GUIDE'!$B:$B=$G24)*('SIZE GUIDE'!$C:$C=$I24),0)),""),"")</f>
        <v/>
      </c>
      <c r="Q24" s="65"/>
      <c r="R24" s="59">
        <v>107</v>
      </c>
      <c r="S24" s="59">
        <f t="shared" si="0"/>
        <v>81</v>
      </c>
      <c r="T24" s="258">
        <f t="shared" si="1"/>
        <v>35.5</v>
      </c>
      <c r="U24" s="154">
        <f t="shared" si="2"/>
        <v>2136.65625</v>
      </c>
      <c r="V24" s="99">
        <f>SUMIFS(CODE_PRICE!F:F,CODE_PRICE!B:B,'DICKSON-W26_03'!C24,CODE_PRICE!A:A,'DICKSON-W26_03'!$A$8)</f>
        <v>0.32900000000000001</v>
      </c>
      <c r="W24" s="155">
        <f t="shared" si="3"/>
        <v>702.95990625000002</v>
      </c>
      <c r="X24" s="244" t="str">
        <f>IF(OR(E24="",C24=""),"",IF(COUNTIFS($E$17:E24,E24,$C$17:C24,C24)=1,E24&amp;" - "&amp;C24&amp;" - "&amp;SUMIFS($J$17:$J$5002,$E$17:$E$5002,E24,$C$17:$C$5002,C24)&amp;I24&amp;" - "&amp;TEXT(SUMIFS($U$17:$U$5002,$E$17:$E$5002,E24,$C$17:$C$5002,C24),"0.00")&amp;" Bf",""))</f>
        <v/>
      </c>
      <c r="Y24" s="243" t="str">
        <f>IF(COUNTIF($C$17:C24,C24)=1,ROUND(SUMIF($C:$C,C24,$W:$W),2), "")</f>
        <v/>
      </c>
      <c r="Z24" s="17">
        <v>40</v>
      </c>
    </row>
    <row r="25" spans="1:26" s="17" customFormat="1" ht="36" customHeight="1" x14ac:dyDescent="0.2">
      <c r="A25" s="57">
        <f t="shared" si="4"/>
        <v>9</v>
      </c>
      <c r="B25" s="57" t="str" cm="1">
        <f t="array" ref="B25">_xlfn.LET(_xlpm.r,_xlfn.XLOOKUP(1,
(TRIM(CODE_PRICE!$A$4:$A$2003)=TRIM($C$4))*
(TRIM(CODE_PRICE!$B$4:$B$2003)=TRIM(C25)),
CODE_PRICE!$C$4:$C$2003,
""),
IF(OR(_xlpm.r="",_xlpm.r=0),"",_xlpm.r))</f>
        <v/>
      </c>
      <c r="C25" s="57" t="s">
        <v>97</v>
      </c>
      <c r="D25" s="57" t="str" cm="1">
        <f t="array" ref="D25">IFERROR(
_xlfn.XLOOKUP(1,
(CODE_PRICE!$A$3:$A$1003=$A$8)*
(CODE_PRICE!$B$3:$B$1003=C25),
CODE_PRICE!$C$3:$C$1003
),
"")</f>
        <v>FM1836</v>
      </c>
      <c r="E25" s="57" t="s">
        <v>264</v>
      </c>
      <c r="F25" s="58" t="s">
        <v>11</v>
      </c>
      <c r="G25" s="59" t="s">
        <v>123</v>
      </c>
      <c r="H25" s="60" t="str">
        <f>IF(COUNTIFS($C$17:C25,C25,$I$17:I25,I25)=1,
SUMIFS($J$17:$J$49,$C$17:$C$49,C25,$I$17:$I$49,I25)&amp;I25&amp;" "&amp;C25,
"")</f>
        <v/>
      </c>
      <c r="I25" s="58" t="s">
        <v>22</v>
      </c>
      <c r="J25" s="61">
        <v>1</v>
      </c>
      <c r="K25" s="62"/>
      <c r="L25" s="63">
        <v>108</v>
      </c>
      <c r="M25" s="257">
        <v>81</v>
      </c>
      <c r="N25" s="64">
        <v>37</v>
      </c>
      <c r="O25" s="65"/>
      <c r="P25" s="65" t="str" cm="1">
        <f t="array" ref="P25">IF(F25="trim",IFERROR(INDEX('SIZE GUIDE'!$E:$E,MATCH(1,('SIZE GUIDE'!$A:$A=$F25)*('SIZE GUIDE'!$B:$B=$G25)*('SIZE GUIDE'!$C:$C=$I25),0)),""),"")</f>
        <v/>
      </c>
      <c r="Q25" s="65"/>
      <c r="R25" s="59">
        <v>107</v>
      </c>
      <c r="S25" s="59">
        <f t="shared" si="0"/>
        <v>81</v>
      </c>
      <c r="T25" s="258">
        <f t="shared" si="1"/>
        <v>36.5</v>
      </c>
      <c r="U25" s="154">
        <f t="shared" si="2"/>
        <v>2196.84375</v>
      </c>
      <c r="V25" s="99">
        <f>SUMIFS(CODE_PRICE!F:F,CODE_PRICE!B:B,'DICKSON-W26_03'!C25,CODE_PRICE!A:A,'DICKSON-W26_03'!$A$8)</f>
        <v>0.32900000000000001</v>
      </c>
      <c r="W25" s="155">
        <f t="shared" si="3"/>
        <v>722.76159375000009</v>
      </c>
      <c r="X25" s="244" t="str">
        <f>IF(OR(E25="",C25=""),"",IF(COUNTIFS($E$17:E25,E25,$C$17:C25,C25)=1,E25&amp;" - "&amp;C25&amp;" - "&amp;SUMIFS($J$17:$J$5002,$E$17:$E$5002,E25,$C$17:$C$5002,C25)&amp;I25&amp;" - "&amp;TEXT(SUMIFS($U$17:$U$5002,$E$17:$E$5002,E25,$C$17:$C$5002,C25),"0.00")&amp;" Bf",""))</f>
        <v/>
      </c>
      <c r="Y25" s="157" t="str">
        <f>IF(COUNTIF($C$17:C25,C25)=1,ROUND(SUMIF($C:$C,C25,$W:$W),2), "")</f>
        <v/>
      </c>
      <c r="Z25" s="17">
        <v>39.5</v>
      </c>
    </row>
    <row r="26" spans="1:26" s="17" customFormat="1" ht="36" customHeight="1" x14ac:dyDescent="0.2">
      <c r="A26" s="57">
        <f t="shared" si="4"/>
        <v>10</v>
      </c>
      <c r="B26" s="57" t="str" cm="1">
        <f t="array" ref="B26">_xlfn.LET(_xlpm.r,_xlfn.XLOOKUP(1,
(TRIM(CODE_PRICE!$A$4:$A$2003)=TRIM($C$4))*
(TRIM(CODE_PRICE!$B$4:$B$2003)=TRIM(C26)),
CODE_PRICE!$C$4:$C$2003,
""),
IF(OR(_xlpm.r="",_xlpm.r=0),"",_xlpm.r))</f>
        <v/>
      </c>
      <c r="C26" s="57" t="s">
        <v>97</v>
      </c>
      <c r="D26" s="57" t="str" cm="1">
        <f t="array" ref="D26">IFERROR(
_xlfn.XLOOKUP(1,
(CODE_PRICE!$A$3:$A$1003=$A$8)*
(CODE_PRICE!$B$3:$B$1003=C26),
CODE_PRICE!$C$3:$C$1003
),
"")</f>
        <v>FM1836</v>
      </c>
      <c r="E26" s="57" t="s">
        <v>264</v>
      </c>
      <c r="F26" s="58" t="s">
        <v>11</v>
      </c>
      <c r="G26" s="59" t="s">
        <v>123</v>
      </c>
      <c r="H26" s="60" t="str">
        <f>IF(COUNTIFS($C$17:C26,C26,$I$17:I26,I26)=1,
SUMIFS($J$17:$J$49,$C$17:$C$49,C26,$I$17:$I$49,I26)&amp;I26&amp;" "&amp;C26,
"")</f>
        <v/>
      </c>
      <c r="I26" s="58" t="s">
        <v>22</v>
      </c>
      <c r="J26" s="61">
        <v>1</v>
      </c>
      <c r="K26" s="62"/>
      <c r="L26" s="63">
        <v>108</v>
      </c>
      <c r="M26" s="257">
        <v>81</v>
      </c>
      <c r="N26" s="64">
        <v>37</v>
      </c>
      <c r="O26" s="65"/>
      <c r="P26" s="65" t="str" cm="1">
        <f t="array" ref="P26">IF(F26="trim",IFERROR(INDEX('SIZE GUIDE'!$E:$E,MATCH(1,('SIZE GUIDE'!$A:$A=$F26)*('SIZE GUIDE'!$B:$B=$G26)*('SIZE GUIDE'!$C:$C=$I26),0)),""),"")</f>
        <v/>
      </c>
      <c r="Q26" s="65"/>
      <c r="R26" s="59">
        <v>107</v>
      </c>
      <c r="S26" s="59">
        <f t="shared" si="0"/>
        <v>81</v>
      </c>
      <c r="T26" s="258">
        <f t="shared" si="1"/>
        <v>36.5</v>
      </c>
      <c r="U26" s="154">
        <f t="shared" si="2"/>
        <v>2196.84375</v>
      </c>
      <c r="V26" s="99">
        <f>SUMIFS(CODE_PRICE!F:F,CODE_PRICE!B:B,'DICKSON-W26_03'!C26,CODE_PRICE!A:A,'DICKSON-W26_03'!$A$8)</f>
        <v>0.32900000000000001</v>
      </c>
      <c r="W26" s="155">
        <f t="shared" si="3"/>
        <v>722.76159375000009</v>
      </c>
      <c r="X26" s="244" t="str">
        <f>IF(OR(E26="",C26=""),"",IF(COUNTIFS($E$17:E26,E26,$C$17:C26,C26)=1,E26&amp;" - "&amp;C26&amp;" - "&amp;SUMIFS($J$17:$J$5002,$E$17:$E$5002,E26,$C$17:$C$5002,C26)&amp;I26&amp;" - "&amp;TEXT(SUMIFS($U$17:$U$5002,$E$17:$E$5002,E26,$C$17:$C$5002,C26),"0.00")&amp;" Bf",""))</f>
        <v/>
      </c>
      <c r="Y26" s="157" t="str">
        <f>IF(COUNTIF($C$17:C26,C26)=1,ROUND(SUMIF($C:$C,C26,$W:$W),2), "")</f>
        <v/>
      </c>
      <c r="Z26" s="17">
        <v>39.5</v>
      </c>
    </row>
    <row r="27" spans="1:26" s="17" customFormat="1" ht="36" hidden="1" customHeight="1" x14ac:dyDescent="0.2">
      <c r="A27" s="57"/>
      <c r="B27" s="57"/>
      <c r="C27" s="101"/>
      <c r="D27" s="101" t="str" cm="1">
        <f t="array" ref="D27">IFERROR(
_xlfn.XLOOKUP(1,
(CODE_PRICE!$A$3:$A$1003=$A$8)*
(CODE_PRICE!$B$3:$B$1003=C27),
CODE_PRICE!$C$3:$C$1003
),
"")</f>
        <v/>
      </c>
      <c r="E27" s="58"/>
      <c r="F27" s="58"/>
      <c r="G27" s="59"/>
      <c r="H27" s="60"/>
      <c r="I27" s="58"/>
      <c r="J27" s="61"/>
      <c r="K27" s="62"/>
      <c r="L27" s="63"/>
      <c r="M27" s="64"/>
      <c r="N27" s="63"/>
      <c r="O27" s="65"/>
      <c r="P27" s="65"/>
      <c r="Q27" s="65"/>
      <c r="R27" s="66"/>
      <c r="S27" s="59"/>
      <c r="T27" s="59"/>
      <c r="U27" s="93"/>
      <c r="V27" s="94"/>
      <c r="W27" s="95"/>
      <c r="X27" s="59" t="str">
        <f>IF(OR(E27="",C27=""),"",IF(COUNTIFS($E$17:E27,E27,$C$17:C27,C27)=1,E27&amp;" - "&amp;C27&amp;" - "&amp;SUMIFS($J$17:$J$5002,$E$17:$E$5002,E27,$C$17:$C$5002,C27)&amp;I27&amp;" - "&amp;TEXT(SUMIFS($U$17:$U$5002,$E$17:$E$5002,E27,$C$17:$C$5002,C27),"0.00")&amp;" Bf",""))</f>
        <v/>
      </c>
      <c r="Y27" s="103" t="str">
        <f>IF(COUNTIF($C$17:C27,C27)=1,ROUND(SUMIF($C:$C,C27,$W:$W),2), "")</f>
        <v/>
      </c>
    </row>
    <row r="28" spans="1:26" s="17" customFormat="1" ht="36" hidden="1" customHeight="1" x14ac:dyDescent="0.2">
      <c r="A28" s="57"/>
      <c r="B28" s="57"/>
      <c r="C28" s="57"/>
      <c r="D28" s="57" t="str" cm="1">
        <f t="array" ref="D28">IFERROR(
_xlfn.XLOOKUP(1,
(CODE_PRICE!$A$3:$A$1003=$A$8)*
(CODE_PRICE!$B$3:$B$1003=C28),
CODE_PRICE!$C$3:$C$1003
),
"")</f>
        <v/>
      </c>
      <c r="E28" s="58"/>
      <c r="F28" s="58"/>
      <c r="G28" s="59"/>
      <c r="H28" s="60"/>
      <c r="I28" s="58"/>
      <c r="J28" s="61"/>
      <c r="K28" s="62"/>
      <c r="L28" s="63"/>
      <c r="M28" s="64"/>
      <c r="N28" s="63"/>
      <c r="O28" s="65"/>
      <c r="P28" s="65"/>
      <c r="Q28" s="65"/>
      <c r="R28" s="66"/>
      <c r="S28" s="59"/>
      <c r="T28" s="59"/>
      <c r="U28" s="93"/>
      <c r="V28" s="94"/>
      <c r="W28" s="95"/>
      <c r="X28" s="59" t="str">
        <f>IF(OR(E28="",C28=""),"",IF(COUNTIFS($E$17:E28,E28,$C$17:C28,C28)=1,E28&amp;" - "&amp;C28&amp;" - "&amp;SUMIFS($J$17:$J$5002,$E$17:$E$5002,E28,$C$17:$C$5002,C28)&amp;I28&amp;" - "&amp;TEXT(SUMIFS($U$17:$U$5002,$E$17:$E$5002,E28,$C$17:$C$5002,C28),"0.00")&amp;" Bf",""))</f>
        <v/>
      </c>
      <c r="Y28" s="103" t="str">
        <f>IF(COUNTIF($C$17:C28,C28)=1,ROUND(SUMIF($C:$C,C28,$W:$W),2), "")</f>
        <v/>
      </c>
    </row>
    <row r="29" spans="1:26" s="17" customFormat="1" ht="36" hidden="1" customHeight="1" x14ac:dyDescent="0.2">
      <c r="A29" s="57"/>
      <c r="B29" s="57"/>
      <c r="C29" s="57"/>
      <c r="D29" s="57" t="str" cm="1">
        <f t="array" ref="D29">IFERROR(
_xlfn.XLOOKUP(1,
(CODE_PRICE!$A$3:$A$1003=$A$8)*
(CODE_PRICE!$B$3:$B$1003=C29),
CODE_PRICE!$C$3:$C$1003
),
"")</f>
        <v/>
      </c>
      <c r="E29" s="58"/>
      <c r="F29" s="58"/>
      <c r="G29" s="59"/>
      <c r="H29" s="60"/>
      <c r="I29" s="58"/>
      <c r="J29" s="61"/>
      <c r="K29" s="62"/>
      <c r="L29" s="63"/>
      <c r="M29" s="64"/>
      <c r="N29" s="63"/>
      <c r="O29" s="65"/>
      <c r="P29" s="65"/>
      <c r="Q29" s="65"/>
      <c r="R29" s="66"/>
      <c r="S29" s="59"/>
      <c r="T29" s="59"/>
      <c r="U29" s="93"/>
      <c r="V29" s="99"/>
      <c r="W29" s="95"/>
      <c r="X29" s="59" t="str">
        <f>IF(OR(E29="",C29=""),"",IF(COUNTIFS($E$17:E29,E29,$C$17:C29,C29)=1,E29&amp;" - "&amp;C29&amp;" - "&amp;SUMIFS($J$17:$J$5002,$E$17:$E$5002,E29,$C$17:$C$5002,C29)&amp;I29&amp;" - "&amp;TEXT(SUMIFS($U$17:$U$5002,$E$17:$E$5002,E29,$C$17:$C$5002,C29),"0.00")&amp;" Bf",""))</f>
        <v/>
      </c>
      <c r="Y29" s="103" t="str">
        <f>IF(COUNTIF($C$17:C29,C29)=1,ROUND(SUMIF($C:$C,C29,$W:$W),2), "")</f>
        <v/>
      </c>
    </row>
    <row r="30" spans="1:26" s="17" customFormat="1" ht="36" hidden="1" customHeight="1" x14ac:dyDescent="0.2">
      <c r="A30" s="57"/>
      <c r="B30" s="57"/>
      <c r="C30" s="57"/>
      <c r="D30" s="57" t="str" cm="1">
        <f t="array" ref="D30">IFERROR(
_xlfn.XLOOKUP(1,
(CODE_PRICE!$A$3:$A$1003=$A$8)*
(CODE_PRICE!$B$3:$B$1003=C30),
CODE_PRICE!$C$3:$C$1003
),
"")</f>
        <v/>
      </c>
      <c r="E30" s="58"/>
      <c r="F30" s="58"/>
      <c r="G30" s="59"/>
      <c r="H30" s="60"/>
      <c r="I30" s="58"/>
      <c r="J30" s="61"/>
      <c r="K30" s="62"/>
      <c r="L30" s="63"/>
      <c r="M30" s="64"/>
      <c r="N30" s="63"/>
      <c r="O30" s="65"/>
      <c r="P30" s="65"/>
      <c r="Q30" s="65"/>
      <c r="R30" s="66"/>
      <c r="S30" s="59"/>
      <c r="T30" s="59"/>
      <c r="U30" s="93"/>
      <c r="V30" s="99"/>
      <c r="W30" s="95"/>
      <c r="X30" s="59" t="str">
        <f>IF(OR(E30="",C30=""),"",IF(COUNTIFS($E$17:E30,E30,$C$17:C30,C30)=1,E30&amp;" - "&amp;C30&amp;" - "&amp;SUMIFS($J$17:$J$5002,$E$17:$E$5002,E30,$C$17:$C$5002,C30)&amp;I30&amp;" - "&amp;TEXT(SUMIFS($U$17:$U$5002,$E$17:$E$5002,E30,$C$17:$C$5002,C30),"0.00")&amp;" Bf",""))</f>
        <v/>
      </c>
      <c r="Y30" s="103" t="str">
        <f>IF(COUNTIF($C$17:C30,C30)=1,ROUND(SUMIF($C:$C,C30,$W:$W),2), "")</f>
        <v/>
      </c>
    </row>
    <row r="31" spans="1:26" s="17" customFormat="1" ht="36" hidden="1" customHeight="1" x14ac:dyDescent="0.2">
      <c r="A31" s="57"/>
      <c r="B31" s="57"/>
      <c r="C31" s="57"/>
      <c r="D31" s="57" t="str" cm="1">
        <f t="array" ref="D31">IFERROR(
_xlfn.XLOOKUP(1,
(CODE_PRICE!$A$3:$A$1003=$A$8)*
(CODE_PRICE!$B$3:$B$1003=C31),
CODE_PRICE!$C$3:$C$1003
),
"")</f>
        <v/>
      </c>
      <c r="E31" s="58"/>
      <c r="F31" s="58"/>
      <c r="G31" s="59"/>
      <c r="H31" s="60"/>
      <c r="I31" s="58"/>
      <c r="J31" s="61"/>
      <c r="K31" s="62"/>
      <c r="L31" s="63"/>
      <c r="M31" s="64"/>
      <c r="N31" s="63"/>
      <c r="O31" s="65"/>
      <c r="P31" s="65"/>
      <c r="Q31" s="65"/>
      <c r="R31" s="66"/>
      <c r="S31" s="59"/>
      <c r="T31" s="59"/>
      <c r="U31" s="93"/>
      <c r="V31" s="99"/>
      <c r="W31" s="95"/>
      <c r="X31" s="59" t="str">
        <f>IF(OR(E31="",C31=""),"",IF(COUNTIFS($E$17:E31,E31,$C$17:C31,C31)=1,E31&amp;" - "&amp;C31&amp;" - "&amp;SUMIFS($J$17:$J$5002,$E$17:$E$5002,E31,$C$17:$C$5002,C31)&amp;I31&amp;" - "&amp;TEXT(SUMIFS($U$17:$U$5002,$E$17:$E$5002,E31,$C$17:$C$5002,C31),"0.00")&amp;" Bf",""))</f>
        <v/>
      </c>
      <c r="Y31" s="103" t="str">
        <f>IF(COUNTIF($C$17:C31,C31)=1,ROUND(SUMIF($C:$C,C31,$W:$W),2), "")</f>
        <v/>
      </c>
    </row>
    <row r="32" spans="1:26" s="17" customFormat="1" ht="36" hidden="1" customHeight="1" x14ac:dyDescent="0.2">
      <c r="A32" s="57"/>
      <c r="B32" s="57"/>
      <c r="C32" s="57"/>
      <c r="D32" s="57" t="str" cm="1">
        <f t="array" ref="D32">IFERROR(
_xlfn.XLOOKUP(1,
(CODE_PRICE!$A$3:$A$1003=$A$8)*
(CODE_PRICE!$B$3:$B$1003=C32),
CODE_PRICE!$C$3:$C$1003
),
"")</f>
        <v/>
      </c>
      <c r="E32" s="58"/>
      <c r="F32" s="58"/>
      <c r="G32" s="59"/>
      <c r="H32" s="60"/>
      <c r="I32" s="58"/>
      <c r="J32" s="61"/>
      <c r="K32" s="62"/>
      <c r="L32" s="63"/>
      <c r="M32" s="64"/>
      <c r="N32" s="63"/>
      <c r="O32" s="65"/>
      <c r="P32" s="65"/>
      <c r="Q32" s="65"/>
      <c r="R32" s="66"/>
      <c r="S32" s="59"/>
      <c r="T32" s="59"/>
      <c r="U32" s="93"/>
      <c r="V32" s="99"/>
      <c r="W32" s="95"/>
      <c r="X32" s="59" t="str">
        <f>IF(OR(E32="",C32=""),"",IF(COUNTIFS($E$17:E32,E32,$C$17:C32,C32)=1,E32&amp;" - "&amp;C32&amp;" - "&amp;SUMIFS($J$17:$J$5002,$E$17:$E$5002,E32,$C$17:$C$5002,C32)&amp;I32&amp;" - "&amp;TEXT(SUMIFS($U$17:$U$5002,$E$17:$E$5002,E32,$C$17:$C$5002,C32),"0.00")&amp;" Bf",""))</f>
        <v/>
      </c>
      <c r="Y32" s="103" t="str">
        <f>IF(COUNTIF($C$17:C32,C32)=1,ROUND(SUMIF($C:$C,C32,$W:$W),2), "")</f>
        <v/>
      </c>
    </row>
    <row r="33" spans="1:25" s="17" customFormat="1" ht="36" hidden="1" customHeight="1" x14ac:dyDescent="0.2">
      <c r="A33" s="57"/>
      <c r="B33" s="57"/>
      <c r="C33" s="57"/>
      <c r="D33" s="57" t="str" cm="1">
        <f t="array" ref="D33">IFERROR(
_xlfn.XLOOKUP(1,
(CODE_PRICE!$A$3:$A$1003=$A$8)*
(CODE_PRICE!$B$3:$B$1003=C33),
CODE_PRICE!$C$3:$C$1003
),
"")</f>
        <v/>
      </c>
      <c r="E33" s="58"/>
      <c r="F33" s="58"/>
      <c r="G33" s="59"/>
      <c r="H33" s="60"/>
      <c r="I33" s="58"/>
      <c r="J33" s="61"/>
      <c r="K33" s="62"/>
      <c r="L33" s="63"/>
      <c r="M33" s="64"/>
      <c r="N33" s="63"/>
      <c r="O33" s="65"/>
      <c r="P33" s="65"/>
      <c r="Q33" s="65"/>
      <c r="R33" s="66"/>
      <c r="S33" s="59"/>
      <c r="T33" s="59"/>
      <c r="U33" s="93"/>
      <c r="V33" s="99"/>
      <c r="W33" s="95"/>
      <c r="X33" s="59" t="str">
        <f>IF(OR(E33="",C33=""),"",IF(COUNTIFS($E$17:E33,E33,$C$17:C33,C33)=1,E33&amp;" - "&amp;C33&amp;" - "&amp;SUMIFS($J$17:$J$5002,$E$17:$E$5002,E33,$C$17:$C$5002,C33)&amp;I33&amp;" - "&amp;TEXT(SUMIFS($U$17:$U$5002,$E$17:$E$5002,E33,$C$17:$C$5002,C33),"0.00")&amp;" Bf",""))</f>
        <v/>
      </c>
      <c r="Y33" s="103" t="str">
        <f>IF(COUNTIF($C$17:C33,C33)=1,ROUND(SUMIF($C:$C,C33,$W:$W),2), "")</f>
        <v/>
      </c>
    </row>
    <row r="34" spans="1:25" s="17" customFormat="1" ht="36" hidden="1" customHeight="1" x14ac:dyDescent="0.2">
      <c r="A34" s="57"/>
      <c r="B34" s="57"/>
      <c r="C34" s="57"/>
      <c r="D34" s="57" t="str" cm="1">
        <f t="array" ref="D34">IFERROR(
_xlfn.XLOOKUP(1,
(CODE_PRICE!$A$3:$A$1003=$A$8)*
(CODE_PRICE!$B$3:$B$1003=C34),
CODE_PRICE!$C$3:$C$1003
),
"")</f>
        <v/>
      </c>
      <c r="E34" s="58"/>
      <c r="F34" s="58"/>
      <c r="G34" s="59"/>
      <c r="H34" s="60"/>
      <c r="I34" s="58"/>
      <c r="J34" s="61"/>
      <c r="K34" s="62"/>
      <c r="L34" s="63"/>
      <c r="M34" s="64"/>
      <c r="N34" s="63"/>
      <c r="O34" s="65"/>
      <c r="P34" s="65"/>
      <c r="Q34" s="65"/>
      <c r="R34" s="66"/>
      <c r="S34" s="59"/>
      <c r="T34" s="59"/>
      <c r="U34" s="93"/>
      <c r="V34" s="99"/>
      <c r="W34" s="95"/>
      <c r="X34" s="59" t="str">
        <f>IF(OR(E34="",C34=""),"",IF(COUNTIFS($E$17:E34,E34,$C$17:C34,C34)=1,E34&amp;" - "&amp;C34&amp;" - "&amp;SUMIFS($J$17:$J$5002,$E$17:$E$5002,E34,$C$17:$C$5002,C34)&amp;I34&amp;" - "&amp;TEXT(SUMIFS($U$17:$U$5002,$E$17:$E$5002,E34,$C$17:$C$5002,C34),"0.00")&amp;" Bf",""))</f>
        <v/>
      </c>
      <c r="Y34" s="103" t="str">
        <f>IF(COUNTIF($C$17:C34,C34)=1,ROUND(SUMIF($C:$C,C34,$W:$W),2), "")</f>
        <v/>
      </c>
    </row>
    <row r="35" spans="1:25" s="17" customFormat="1" ht="36" hidden="1" customHeight="1" x14ac:dyDescent="0.2">
      <c r="A35" s="57"/>
      <c r="B35" s="57"/>
      <c r="C35" s="57"/>
      <c r="D35" s="57" t="str" cm="1">
        <f t="array" ref="D35">IFERROR(
_xlfn.XLOOKUP(1,
(CODE_PRICE!$A$3:$A$1003=$A$8)*
(CODE_PRICE!$B$3:$B$1003=C35),
CODE_PRICE!$C$3:$C$1003
),
"")</f>
        <v/>
      </c>
      <c r="E35" s="58"/>
      <c r="F35" s="58"/>
      <c r="G35" s="59"/>
      <c r="H35" s="60"/>
      <c r="I35" s="58"/>
      <c r="J35" s="61"/>
      <c r="K35" s="62"/>
      <c r="L35" s="63"/>
      <c r="M35" s="64"/>
      <c r="N35" s="63"/>
      <c r="O35" s="65"/>
      <c r="P35" s="65"/>
      <c r="Q35" s="65"/>
      <c r="R35" s="66"/>
      <c r="S35" s="59"/>
      <c r="T35" s="59"/>
      <c r="U35" s="93"/>
      <c r="V35" s="99"/>
      <c r="W35" s="95"/>
      <c r="X35" s="59" t="str">
        <f>IF(OR(E35="",C35=""),"",IF(COUNTIFS($E$17:E35,E35,$C$17:C35,C35)=1,E35&amp;" - "&amp;C35&amp;" - "&amp;SUMIFS($J$17:$J$5002,$E$17:$E$5002,E35,$C$17:$C$5002,C35)&amp;I35&amp;" - "&amp;TEXT(SUMIFS($U$17:$U$5002,$E$17:$E$5002,E35,$C$17:$C$5002,C35),"0.00")&amp;" Bf",""))</f>
        <v/>
      </c>
      <c r="Y35" s="103" t="str">
        <f>IF(COUNTIF($C$17:C35,C35)=1,ROUND(SUMIF($C:$C,C35,$W:$W),2), "")</f>
        <v/>
      </c>
    </row>
    <row r="36" spans="1:25" s="17" customFormat="1" ht="36" hidden="1" customHeight="1" x14ac:dyDescent="0.2">
      <c r="A36" s="57"/>
      <c r="B36" s="57"/>
      <c r="C36" s="57"/>
      <c r="D36" s="57" t="str" cm="1">
        <f t="array" ref="D36">IFERROR(
_xlfn.XLOOKUP(1,
(CODE_PRICE!$A$3:$A$1003=$A$8)*
(CODE_PRICE!$B$3:$B$1003=C36),
CODE_PRICE!$C$3:$C$1003
),
"")</f>
        <v/>
      </c>
      <c r="E36" s="58"/>
      <c r="F36" s="58"/>
      <c r="G36" s="59"/>
      <c r="H36" s="60"/>
      <c r="I36" s="58"/>
      <c r="J36" s="61"/>
      <c r="K36" s="62"/>
      <c r="L36" s="63"/>
      <c r="M36" s="64"/>
      <c r="N36" s="63"/>
      <c r="O36" s="65"/>
      <c r="P36" s="65"/>
      <c r="Q36" s="65"/>
      <c r="R36" s="66"/>
      <c r="S36" s="59"/>
      <c r="T36" s="59"/>
      <c r="U36" s="93"/>
      <c r="V36" s="99"/>
      <c r="W36" s="95"/>
      <c r="X36" s="59" t="str">
        <f>IF(OR(E36="",C36=""),"",IF(COUNTIFS($E$17:E36,E36,$C$17:C36,C36)=1,E36&amp;" - "&amp;C36&amp;" - "&amp;SUMIFS($J$17:$J$5002,$E$17:$E$5002,E36,$C$17:$C$5002,C36)&amp;I36&amp;" - "&amp;TEXT(SUMIFS($U$17:$U$5002,$E$17:$E$5002,E36,$C$17:$C$5002,C36),"0.00")&amp;" Bf",""))</f>
        <v/>
      </c>
      <c r="Y36" s="103" t="str">
        <f>IF(COUNTIF($C$17:C36,C36)=1,ROUND(SUMIF($C:$C,C36,$W:$W),2), "")</f>
        <v/>
      </c>
    </row>
    <row r="37" spans="1:25" s="17" customFormat="1" ht="41.25" hidden="1" customHeight="1" x14ac:dyDescent="0.2">
      <c r="A37" s="57"/>
      <c r="B37" s="57"/>
      <c r="C37" s="57"/>
      <c r="D37" s="57" t="str" cm="1">
        <f t="array" ref="D37">IFERROR(
_xlfn.XLOOKUP(1,
(CODE_PRICE!$A$3:$A$1003=$A$8)*
(CODE_PRICE!$B$3:$B$1003=C37),
CODE_PRICE!$C$3:$C$1003
),
"")</f>
        <v/>
      </c>
      <c r="E37" s="58"/>
      <c r="F37" s="58"/>
      <c r="G37" s="59"/>
      <c r="H37" s="60"/>
      <c r="I37" s="58"/>
      <c r="J37" s="61"/>
      <c r="K37" s="62"/>
      <c r="L37" s="63"/>
      <c r="M37" s="64"/>
      <c r="N37" s="63"/>
      <c r="O37" s="65"/>
      <c r="P37" s="65"/>
      <c r="Q37" s="65"/>
      <c r="R37" s="66"/>
      <c r="S37" s="59"/>
      <c r="T37" s="59"/>
      <c r="U37" s="93"/>
      <c r="V37" s="94"/>
      <c r="W37" s="95"/>
      <c r="X37" s="59" t="str">
        <f>IF(OR(E37="",C37=""),"",IF(COUNTIFS($E$17:E37,E37,$C$17:C37,C37)=1,E37&amp;" - "&amp;C37&amp;" - "&amp;SUMIFS($J$17:$J$5002,$E$17:$E$5002,E37,$C$17:$C$5002,C37)&amp;I37&amp;" - "&amp;TEXT(SUMIFS($U$17:$U$5002,$E$17:$E$5002,E37,$C$17:$C$5002,C37),"0.00")&amp;" Bf",""))</f>
        <v/>
      </c>
      <c r="Y37" s="24" t="str">
        <f>IF(COUNTIF($C$17:C37,C37)=1,ROUND(SUMIF($C:$C,C37,$W:$W),2), "")</f>
        <v/>
      </c>
    </row>
    <row r="38" spans="1:25" s="17" customFormat="1" ht="41.25" hidden="1" customHeight="1" x14ac:dyDescent="0.2">
      <c r="A38" s="57"/>
      <c r="B38" s="57"/>
      <c r="C38" s="57"/>
      <c r="D38" s="57" t="str" cm="1">
        <f t="array" ref="D38">IFERROR(
_xlfn.XLOOKUP(1,
(CODE_PRICE!$A$3:$A$1003=$A$8)*
(CODE_PRICE!$B$3:$B$1003=C38),
CODE_PRICE!$C$3:$C$1003
),
"")</f>
        <v/>
      </c>
      <c r="E38" s="58"/>
      <c r="F38" s="58"/>
      <c r="G38" s="59"/>
      <c r="H38" s="60"/>
      <c r="I38" s="58"/>
      <c r="J38" s="61"/>
      <c r="K38" s="62"/>
      <c r="L38" s="63"/>
      <c r="M38" s="64"/>
      <c r="N38" s="63"/>
      <c r="O38" s="65"/>
      <c r="P38" s="65"/>
      <c r="Q38" s="65"/>
      <c r="R38" s="66"/>
      <c r="S38" s="59"/>
      <c r="T38" s="59"/>
      <c r="U38" s="93"/>
      <c r="V38" s="94"/>
      <c r="W38" s="95"/>
      <c r="X38" s="59" t="str">
        <f>IF(OR(E38="",C38=""),"",IF(COUNTIFS($E$17:E38,E38,$C$17:C38,C38)=1,E38&amp;" - "&amp;C38&amp;" - "&amp;SUMIFS($J$17:$J$5002,$E$17:$E$5002,E38,$C$17:$C$5002,C38)&amp;I38&amp;" - "&amp;TEXT(SUMIFS($U$17:$U$5002,$E$17:$E$5002,E38,$C$17:$C$5002,C38),"0.00")&amp;" Bf",""))</f>
        <v/>
      </c>
      <c r="Y38" s="24" t="str">
        <f>IF(COUNTIF($C$17:C38,C38)=1,ROUND(SUMIF($C:$C,C38,$W:$W),2), "")</f>
        <v/>
      </c>
    </row>
    <row r="39" spans="1:25" s="17" customFormat="1" ht="41.25" hidden="1" customHeight="1" x14ac:dyDescent="0.2">
      <c r="A39" s="57"/>
      <c r="B39" s="57"/>
      <c r="C39" s="57"/>
      <c r="D39" s="57" t="str" cm="1">
        <f t="array" ref="D39">IFERROR(
_xlfn.XLOOKUP(1,
(CODE_PRICE!$A$3:$A$1003=$A$8)*
(CODE_PRICE!$B$3:$B$1003=C39),
CODE_PRICE!$C$3:$C$1003
),
"")</f>
        <v/>
      </c>
      <c r="E39" s="58"/>
      <c r="F39" s="58"/>
      <c r="G39" s="59"/>
      <c r="H39" s="60"/>
      <c r="I39" s="58"/>
      <c r="J39" s="61"/>
      <c r="K39" s="62"/>
      <c r="L39" s="63"/>
      <c r="M39" s="64"/>
      <c r="N39" s="63"/>
      <c r="O39" s="65"/>
      <c r="P39" s="65"/>
      <c r="Q39" s="65"/>
      <c r="R39" s="66"/>
      <c r="S39" s="59"/>
      <c r="T39" s="59"/>
      <c r="U39" s="93"/>
      <c r="V39" s="94"/>
      <c r="W39" s="95"/>
      <c r="X39" s="59" t="str">
        <f>IF(OR(E39="",C39=""),"",IF(COUNTIFS($E$17:E39,E39,$C$17:C39,C39)=1,E39&amp;" - "&amp;C39&amp;" - "&amp;SUMIFS($J$17:$J$5002,$E$17:$E$5002,E39,$C$17:$C$5002,C39)&amp;I39&amp;" - "&amp;TEXT(SUMIFS($U$17:$U$5002,$E$17:$E$5002,E39,$C$17:$C$5002,C39),"0.00")&amp;" Bf",""))</f>
        <v/>
      </c>
      <c r="Y39" s="24" t="str">
        <f>IF(COUNTIF($C$17:C39,C39)=1,ROUND(SUMIF($C:$C,C39,$W:$W),2), "")</f>
        <v/>
      </c>
    </row>
    <row r="40" spans="1:25" s="17" customFormat="1" ht="41.25" hidden="1" customHeight="1" x14ac:dyDescent="0.2">
      <c r="A40" s="57"/>
      <c r="B40" s="57"/>
      <c r="C40" s="57"/>
      <c r="D40" s="57" t="str" cm="1">
        <f t="array" ref="D40">IFERROR(
_xlfn.XLOOKUP(1,
(CODE_PRICE!$A$3:$A$1003=$A$8)*
(CODE_PRICE!$B$3:$B$1003=C40),
CODE_PRICE!$C$3:$C$1003
),
"")</f>
        <v/>
      </c>
      <c r="E40" s="58"/>
      <c r="F40" s="58"/>
      <c r="G40" s="59"/>
      <c r="H40" s="60"/>
      <c r="I40" s="58"/>
      <c r="J40" s="61"/>
      <c r="K40" s="62"/>
      <c r="L40" s="63"/>
      <c r="M40" s="64"/>
      <c r="N40" s="63"/>
      <c r="O40" s="65"/>
      <c r="P40" s="65"/>
      <c r="Q40" s="65"/>
      <c r="R40" s="66"/>
      <c r="S40" s="59"/>
      <c r="T40" s="59"/>
      <c r="U40" s="93"/>
      <c r="V40" s="94"/>
      <c r="W40" s="95"/>
      <c r="X40" s="59" t="str">
        <f>IF(OR(E40="",C40=""),"",IF(COUNTIFS($E$17:E40,E40,$C$17:C40,C40)=1,E40&amp;" - "&amp;C40&amp;" - "&amp;SUMIFS($J$17:$J$5002,$E$17:$E$5002,E40,$C$17:$C$5002,C40)&amp;I40&amp;" - "&amp;TEXT(SUMIFS($U$17:$U$5002,$E$17:$E$5002,E40,$C$17:$C$5002,C40),"0.00")&amp;" Bf",""))</f>
        <v/>
      </c>
      <c r="Y40" s="24" t="str">
        <f>IF(COUNTIF($C$17:C40,C40)=1,ROUND(SUMIF($C:$C,C40,$W:$W),2), "")</f>
        <v/>
      </c>
    </row>
    <row r="41" spans="1:25" s="17" customFormat="1" ht="41.25" hidden="1" customHeight="1" x14ac:dyDescent="0.2">
      <c r="A41" s="57"/>
      <c r="B41" s="57"/>
      <c r="C41" s="57"/>
      <c r="D41" s="57" t="str" cm="1">
        <f t="array" ref="D41">IFERROR(
_xlfn.XLOOKUP(1,
(CODE_PRICE!$A$3:$A$1003=$A$8)*
(CODE_PRICE!$B$3:$B$1003=C41),
CODE_PRICE!$C$3:$C$1003
),
"")</f>
        <v/>
      </c>
      <c r="E41" s="58"/>
      <c r="F41" s="58"/>
      <c r="G41" s="59"/>
      <c r="H41" s="60"/>
      <c r="I41" s="58"/>
      <c r="J41" s="61"/>
      <c r="K41" s="62"/>
      <c r="L41" s="63"/>
      <c r="M41" s="64"/>
      <c r="N41" s="63"/>
      <c r="O41" s="65"/>
      <c r="P41" s="65"/>
      <c r="Q41" s="65"/>
      <c r="R41" s="66"/>
      <c r="S41" s="59"/>
      <c r="T41" s="59"/>
      <c r="U41" s="93"/>
      <c r="V41" s="94"/>
      <c r="W41" s="95"/>
      <c r="X41" s="59" t="str">
        <f>IF(OR(E41="",C41=""),"",IF(COUNTIFS($E$17:E41,E41,$C$17:C41,C41)=1,E41&amp;" - "&amp;C41&amp;" - "&amp;SUMIFS($J$17:$J$5002,$E$17:$E$5002,E41,$C$17:$C$5002,C41)&amp;I41&amp;" - "&amp;TEXT(SUMIFS($U$17:$U$5002,$E$17:$E$5002,E41,$C$17:$C$5002,C41),"0.00")&amp;" Bf",""))</f>
        <v/>
      </c>
      <c r="Y41" s="24" t="str">
        <f>IF(COUNTIF($C$17:C41,C41)=1,ROUND(SUMIF($C:$C,C41,$W:$W),2), "")</f>
        <v/>
      </c>
    </row>
    <row r="42" spans="1:25" s="17" customFormat="1" ht="41.25" hidden="1" customHeight="1" x14ac:dyDescent="0.2">
      <c r="A42" s="57"/>
      <c r="B42" s="57"/>
      <c r="C42" s="57"/>
      <c r="D42" s="57" t="str" cm="1">
        <f t="array" ref="D42">IFERROR(
_xlfn.XLOOKUP(1,
(CODE_PRICE!$A$3:$A$1003=$A$8)*
(CODE_PRICE!$B$3:$B$1003=C42),
CODE_PRICE!$C$3:$C$1003
),
"")</f>
        <v/>
      </c>
      <c r="E42" s="58"/>
      <c r="F42" s="58"/>
      <c r="G42" s="59"/>
      <c r="H42" s="60"/>
      <c r="I42" s="58"/>
      <c r="J42" s="61"/>
      <c r="K42" s="62"/>
      <c r="L42" s="63" t="str" cm="1">
        <f t="array" ref="L42">IF(F42="untrim",_xlfn.XLOOKUP(1,(TRIM('SIZE GUIDE'!$A$3:$A$2015)=TRIM(F42))*(TRIM('SIZE GUIDE'!$B$3:$B$2015)=TRIM(G42))*(TRIM('SIZE GUIDE'!$C$3:$C$2015)=TRIM(I42)),'SIZE GUIDE'!$D$3:$D$2015),"")</f>
        <v/>
      </c>
      <c r="M42" s="64"/>
      <c r="N42" s="63"/>
      <c r="O42" s="65"/>
      <c r="P42" s="65" t="str" cm="1">
        <f t="array" ref="P42">IF(F42="trim",IFERROR(INDEX('SIZE GUIDE'!$E:$E,MATCH(1,('SIZE GUIDE'!$A:$A=$F42)*('SIZE GUIDE'!$B:$B=$G42)*('SIZE GUIDE'!$C:$C=$I42),0)),""),"")</f>
        <v/>
      </c>
      <c r="Q42" s="65"/>
      <c r="R42" s="66">
        <f t="shared" ref="R42:R49" si="5">IF(F42="untrim",L42-1.5,O42)</f>
        <v>0</v>
      </c>
      <c r="S42" s="59"/>
      <c r="T42" s="59"/>
      <c r="U42" s="93"/>
      <c r="V42" s="94"/>
      <c r="W42" s="95"/>
      <c r="X42" s="59" t="str">
        <f>IF(OR(E42="",C42=""),"",IF(COUNTIFS($E$17:E42,E42,$C$17:C42,C42)=1,E42&amp;" - "&amp;C42&amp;" - "&amp;SUMIFS($J$17:$J$5002,$E$17:$E$5002,E42,$C$17:$C$5002,C42)&amp;I42&amp;" - "&amp;TEXT(SUMIFS($U$17:$U$5002,$E$17:$E$5002,E42,$C$17:$C$5002,C42),"0.00")&amp;" Bf",""))</f>
        <v/>
      </c>
      <c r="Y42" s="24" t="str">
        <f>IF(COUNTIF($C$17:C42,C42)=1,ROUND(SUMIF($C:$C,C42,$W:$W),2), "")</f>
        <v/>
      </c>
    </row>
    <row r="43" spans="1:25" s="17" customFormat="1" ht="41.25" hidden="1" customHeight="1" x14ac:dyDescent="0.2">
      <c r="A43" s="57"/>
      <c r="B43" s="57"/>
      <c r="C43" s="57"/>
      <c r="D43" s="57" t="str" cm="1">
        <f t="array" ref="D43">IFERROR(
_xlfn.XLOOKUP(1,
(CODE_PRICE!$A$3:$A$1003=$A$8)*
(CODE_PRICE!$B$3:$B$1003=C43),
CODE_PRICE!$C$3:$C$1003
),
"")</f>
        <v/>
      </c>
      <c r="E43" s="58"/>
      <c r="F43" s="58"/>
      <c r="G43" s="59"/>
      <c r="H43" s="60"/>
      <c r="I43" s="58"/>
      <c r="J43" s="61"/>
      <c r="K43" s="62"/>
      <c r="L43" s="63" t="str" cm="1">
        <f t="array" ref="L43">IF(F43="untrim",_xlfn.XLOOKUP(1,(TRIM('SIZE GUIDE'!$A$3:$A$2015)=TRIM(F43))*(TRIM('SIZE GUIDE'!$B$3:$B$2015)=TRIM(G43))*(TRIM('SIZE GUIDE'!$C$3:$C$2015)=TRIM(I43)),'SIZE GUIDE'!$D$3:$D$2015),"")</f>
        <v/>
      </c>
      <c r="M43" s="64"/>
      <c r="N43" s="63"/>
      <c r="O43" s="65"/>
      <c r="P43" s="65" t="str" cm="1">
        <f t="array" ref="P43">IF(F43="trim",IFERROR(INDEX('SIZE GUIDE'!$E:$E,MATCH(1,('SIZE GUIDE'!$A:$A=$F43)*('SIZE GUIDE'!$B:$B=$G43)*('SIZE GUIDE'!$C:$C=$I43),0)),""),"")</f>
        <v/>
      </c>
      <c r="Q43" s="65"/>
      <c r="R43" s="66">
        <f t="shared" si="5"/>
        <v>0</v>
      </c>
      <c r="S43" s="59"/>
      <c r="T43" s="59"/>
      <c r="U43" s="93"/>
      <c r="V43" s="94"/>
      <c r="W43" s="95"/>
      <c r="X43" s="59" t="str">
        <f>IF(OR(E43="",C43=""),"",IF(COUNTIFS($E$17:E43,E43,$C$17:C43,C43)=1,E43&amp;" - "&amp;C43&amp;" - "&amp;SUMIFS($J$17:$J$5002,$E$17:$E$5002,E43,$C$17:$C$5002,C43)&amp;I43&amp;" - "&amp;TEXT(SUMIFS($U$17:$U$5002,$E$17:$E$5002,E43,$C$17:$C$5002,C43),"0.00")&amp;" Bf",""))</f>
        <v/>
      </c>
      <c r="Y43" s="24" t="str">
        <f>IF(COUNTIF($C$17:C43,C43)=1,ROUND(SUMIF($C:$C,C43,$W:$W),2), "")</f>
        <v/>
      </c>
    </row>
    <row r="44" spans="1:25" s="17" customFormat="1" ht="41.25" hidden="1" customHeight="1" x14ac:dyDescent="0.2">
      <c r="A44" s="57"/>
      <c r="B44" s="57"/>
      <c r="C44" s="57"/>
      <c r="D44" s="57" t="str" cm="1">
        <f t="array" ref="D44">IFERROR(
_xlfn.XLOOKUP(1,
(CODE_PRICE!$A$3:$A$1003=$A$8)*
(CODE_PRICE!$B$3:$B$1003=C44),
CODE_PRICE!$C$3:$C$1003
),
"")</f>
        <v/>
      </c>
      <c r="E44" s="58"/>
      <c r="F44" s="58"/>
      <c r="G44" s="59"/>
      <c r="H44" s="60"/>
      <c r="I44" s="58"/>
      <c r="J44" s="61"/>
      <c r="K44" s="62"/>
      <c r="L44" s="63" t="str" cm="1">
        <f t="array" ref="L44">IF(F44="untrim",_xlfn.XLOOKUP(1,(TRIM('SIZE GUIDE'!$A$3:$A$2015)=TRIM(F44))*(TRIM('SIZE GUIDE'!$B$3:$B$2015)=TRIM(G44))*(TRIM('SIZE GUIDE'!$C$3:$C$2015)=TRIM(I44)),'SIZE GUIDE'!$D$3:$D$2015),"")</f>
        <v/>
      </c>
      <c r="M44" s="64"/>
      <c r="N44" s="63"/>
      <c r="O44" s="65"/>
      <c r="P44" s="65" t="str" cm="1">
        <f t="array" ref="P44">IF(F44="trim",IFERROR(INDEX('SIZE GUIDE'!$E:$E,MATCH(1,('SIZE GUIDE'!$A:$A=$F44)*('SIZE GUIDE'!$B:$B=$G44)*('SIZE GUIDE'!$C:$C=$I44),0)),""),"")</f>
        <v/>
      </c>
      <c r="Q44" s="65"/>
      <c r="R44" s="66">
        <f t="shared" si="5"/>
        <v>0</v>
      </c>
      <c r="S44" s="59"/>
      <c r="T44" s="59"/>
      <c r="U44" s="93"/>
      <c r="V44" s="94"/>
      <c r="W44" s="95"/>
      <c r="X44" s="59" t="str">
        <f>IF(OR(E44="",C44=""),"",IF(COUNTIFS($E$17:E44,E44,$C$17:C44,C44)=1,E44&amp;" - "&amp;C44&amp;" - "&amp;SUMIFS($J$17:$J$5002,$E$17:$E$5002,E44,$C$17:$C$5002,C44)&amp;I44&amp;" - "&amp;TEXT(SUMIFS($U$17:$U$5002,$E$17:$E$5002,E44,$C$17:$C$5002,C44),"0.00")&amp;" Bf",""))</f>
        <v/>
      </c>
      <c r="Y44" s="24" t="str">
        <f>IF(COUNTIF($C$17:C44,C44)=1,ROUND(SUMIF($C:$C,C44,$W:$W),2), "")</f>
        <v/>
      </c>
    </row>
    <row r="45" spans="1:25" s="17" customFormat="1" ht="41.25" hidden="1" customHeight="1" x14ac:dyDescent="0.2">
      <c r="A45" s="57"/>
      <c r="B45" s="57"/>
      <c r="C45" s="57"/>
      <c r="D45" s="57" t="str" cm="1">
        <f t="array" ref="D45">IFERROR(
_xlfn.XLOOKUP(1,
(CODE_PRICE!$A$3:$A$1003=$A$8)*
(CODE_PRICE!$B$3:$B$1003=C45),
CODE_PRICE!$C$3:$C$1003
),
"")</f>
        <v/>
      </c>
      <c r="E45" s="58"/>
      <c r="F45" s="58"/>
      <c r="G45" s="59"/>
      <c r="H45" s="60"/>
      <c r="I45" s="58"/>
      <c r="J45" s="61"/>
      <c r="K45" s="62"/>
      <c r="L45" s="63" t="str" cm="1">
        <f t="array" ref="L45">IF(F45="untrim",_xlfn.XLOOKUP(1,(TRIM('SIZE GUIDE'!$A$3:$A$2015)=TRIM(F45))*(TRIM('SIZE GUIDE'!$B$3:$B$2015)=TRIM(G45))*(TRIM('SIZE GUIDE'!$C$3:$C$2015)=TRIM(I45)),'SIZE GUIDE'!$D$3:$D$2015),"")</f>
        <v/>
      </c>
      <c r="M45" s="64"/>
      <c r="N45" s="63"/>
      <c r="O45" s="65"/>
      <c r="P45" s="65" t="str" cm="1">
        <f t="array" ref="P45">IF(F45="trim",IFERROR(INDEX('SIZE GUIDE'!$E:$E,MATCH(1,('SIZE GUIDE'!$A:$A=$F45)*('SIZE GUIDE'!$B:$B=$G45)*('SIZE GUIDE'!$C:$C=$I45),0)),""),"")</f>
        <v/>
      </c>
      <c r="Q45" s="65"/>
      <c r="R45" s="66">
        <f t="shared" si="5"/>
        <v>0</v>
      </c>
      <c r="S45" s="59"/>
      <c r="T45" s="59"/>
      <c r="U45" s="93"/>
      <c r="V45" s="94"/>
      <c r="W45" s="95"/>
      <c r="X45" s="59" t="str">
        <f>IF(OR(E45="",C45=""),"",IF(COUNTIFS($E$17:E45,E45,$C$17:C45,C45)=1,E45&amp;" - "&amp;C45&amp;" - "&amp;SUMIFS($J$17:$J$5002,$E$17:$E$5002,E45,$C$17:$C$5002,C45)&amp;I45&amp;" - "&amp;TEXT(SUMIFS($U$17:$U$5002,$E$17:$E$5002,E45,$C$17:$C$5002,C45),"0.00")&amp;" Bf",""))</f>
        <v/>
      </c>
      <c r="Y45" s="24" t="str">
        <f>IF(COUNTIF($C$17:C45,C45)=1,ROUND(SUMIF($C:$C,C45,$W:$W),2), "")</f>
        <v/>
      </c>
    </row>
    <row r="46" spans="1:25" s="17" customFormat="1" ht="41.25" hidden="1" customHeight="1" x14ac:dyDescent="0.2">
      <c r="A46" s="57"/>
      <c r="B46" s="57"/>
      <c r="C46" s="57"/>
      <c r="D46" s="57" t="str" cm="1">
        <f t="array" ref="D46">IFERROR(
_xlfn.XLOOKUP(1,
(CODE_PRICE!$A$3:$A$1003=$A$8)*
(CODE_PRICE!$B$3:$B$1003=C46),
CODE_PRICE!$C$3:$C$1003
),
"")</f>
        <v/>
      </c>
      <c r="E46" s="58"/>
      <c r="F46" s="58"/>
      <c r="G46" s="59"/>
      <c r="H46" s="60"/>
      <c r="I46" s="58"/>
      <c r="J46" s="61"/>
      <c r="K46" s="62"/>
      <c r="L46" s="63" t="str" cm="1">
        <f t="array" ref="L46">IF(F46="untrim",_xlfn.XLOOKUP(1,(TRIM('SIZE GUIDE'!$A$3:$A$2015)=TRIM(F46))*(TRIM('SIZE GUIDE'!$B$3:$B$2015)=TRIM(G46))*(TRIM('SIZE GUIDE'!$C$3:$C$2015)=TRIM(I46)),'SIZE GUIDE'!$D$3:$D$2015),"")</f>
        <v/>
      </c>
      <c r="M46" s="64"/>
      <c r="N46" s="63"/>
      <c r="O46" s="65"/>
      <c r="P46" s="65" t="str" cm="1">
        <f t="array" ref="P46">IF(F46="trim",IFERROR(INDEX('SIZE GUIDE'!$E:$E,MATCH(1,('SIZE GUIDE'!$A:$A=$F46)*('SIZE GUIDE'!$B:$B=$G46)*('SIZE GUIDE'!$C:$C=$I46),0)),""),"")</f>
        <v/>
      </c>
      <c r="Q46" s="65"/>
      <c r="R46" s="66">
        <f t="shared" si="5"/>
        <v>0</v>
      </c>
      <c r="S46" s="59"/>
      <c r="T46" s="59"/>
      <c r="U46" s="93"/>
      <c r="V46" s="94"/>
      <c r="W46" s="95"/>
      <c r="X46" s="59" t="str">
        <f>IF(OR(E46="",C46=""),"",IF(COUNTIFS($E$17:E46,E46,$C$17:C46,C46)=1,E46&amp;" - "&amp;C46&amp;" - "&amp;SUMIFS($J$17:$J$5002,$E$17:$E$5002,E46,$C$17:$C$5002,C46)&amp;I46&amp;" - "&amp;TEXT(SUMIFS($U$17:$U$5002,$E$17:$E$5002,E46,$C$17:$C$5002,C46),"0.00")&amp;" Bf",""))</f>
        <v/>
      </c>
      <c r="Y46" s="24" t="str">
        <f>IF(COUNTIF($C$17:C46,C46)=1,ROUND(SUMIF($C:$C,C46,$W:$W),2), "")</f>
        <v/>
      </c>
    </row>
    <row r="47" spans="1:25" s="17" customFormat="1" ht="41.25" hidden="1" customHeight="1" x14ac:dyDescent="0.2">
      <c r="A47" s="57"/>
      <c r="B47" s="57"/>
      <c r="C47" s="57"/>
      <c r="D47" s="57" t="str" cm="1">
        <f t="array" ref="D47">IFERROR(
_xlfn.XLOOKUP(1,
(CODE_PRICE!$A$3:$A$1003=$A$8)*
(CODE_PRICE!$B$3:$B$1003=C47),
CODE_PRICE!$C$3:$C$1003
),
"")</f>
        <v/>
      </c>
      <c r="E47" s="58"/>
      <c r="F47" s="58"/>
      <c r="G47" s="59"/>
      <c r="H47" s="60"/>
      <c r="I47" s="58"/>
      <c r="J47" s="61"/>
      <c r="K47" s="62"/>
      <c r="L47" s="63" t="str" cm="1">
        <f t="array" ref="L47">IF(F47="untrim",_xlfn.XLOOKUP(1,(TRIM('SIZE GUIDE'!$A$3:$A$2015)=TRIM(F47))*(TRIM('SIZE GUIDE'!$B$3:$B$2015)=TRIM(G47))*(TRIM('SIZE GUIDE'!$C$3:$C$2015)=TRIM(I47)),'SIZE GUIDE'!$D$3:$D$2015),"")</f>
        <v/>
      </c>
      <c r="M47" s="64"/>
      <c r="N47" s="63"/>
      <c r="O47" s="65"/>
      <c r="P47" s="65" t="str" cm="1">
        <f t="array" ref="P47">IF(F47="trim",IFERROR(INDEX('SIZE GUIDE'!$E:$E,MATCH(1,('SIZE GUIDE'!$A:$A=$F47)*('SIZE GUIDE'!$B:$B=$G47)*('SIZE GUIDE'!$C:$C=$I47),0)),""),"")</f>
        <v/>
      </c>
      <c r="Q47" s="65"/>
      <c r="R47" s="66">
        <f t="shared" si="5"/>
        <v>0</v>
      </c>
      <c r="S47" s="59"/>
      <c r="T47" s="59"/>
      <c r="U47" s="93"/>
      <c r="V47" s="94"/>
      <c r="W47" s="95"/>
      <c r="X47" s="59" t="str">
        <f>IF(OR(E47="",C47=""),"",IF(COUNTIFS($E$17:E47,E47,$C$17:C47,C47)=1,E47&amp;" - "&amp;C47&amp;" - "&amp;SUMIFS($J$17:$J$5002,$E$17:$E$5002,E47,$C$17:$C$5002,C47)&amp;I47&amp;" - "&amp;TEXT(SUMIFS($U$17:$U$5002,$E$17:$E$5002,E47,$C$17:$C$5002,C47),"0.00")&amp;" Bf",""))</f>
        <v/>
      </c>
      <c r="Y47" s="24" t="str">
        <f>IF(COUNTIF($C$17:C47,C47)=1,ROUND(SUMIF($C:$C,C47,$W:$W),2), "")</f>
        <v/>
      </c>
    </row>
    <row r="48" spans="1:25" s="17" customFormat="1" ht="41.25" hidden="1" customHeight="1" x14ac:dyDescent="0.2">
      <c r="A48" s="57"/>
      <c r="B48" s="57"/>
      <c r="C48" s="57"/>
      <c r="D48" s="57" t="str" cm="1">
        <f t="array" ref="D48">IFERROR(
_xlfn.XLOOKUP(1,
(CODE_PRICE!$A$3:$A$1003=$A$8)*
(CODE_PRICE!$B$3:$B$1003=C48),
CODE_PRICE!$C$3:$C$1003
),
"")</f>
        <v/>
      </c>
      <c r="E48" s="58"/>
      <c r="F48" s="58"/>
      <c r="G48" s="59"/>
      <c r="H48" s="60"/>
      <c r="I48" s="58"/>
      <c r="J48" s="61"/>
      <c r="K48" s="62"/>
      <c r="L48" s="63" t="str" cm="1">
        <f t="array" ref="L48">IF(F48="untrim",_xlfn.XLOOKUP(1,(TRIM('SIZE GUIDE'!$A$3:$A$2015)=TRIM(F48))*(TRIM('SIZE GUIDE'!$B$3:$B$2015)=TRIM(G48))*(TRIM('SIZE GUIDE'!$C$3:$C$2015)=TRIM(I48)),'SIZE GUIDE'!$D$3:$D$2015),"")</f>
        <v/>
      </c>
      <c r="M48" s="64"/>
      <c r="N48" s="63"/>
      <c r="O48" s="65"/>
      <c r="P48" s="65" t="str" cm="1">
        <f t="array" ref="P48">IF(F48="trim",IFERROR(INDEX('SIZE GUIDE'!$E:$E,MATCH(1,('SIZE GUIDE'!$A:$A=$F48)*('SIZE GUIDE'!$B:$B=$G48)*('SIZE GUIDE'!$C:$C=$I48),0)),""),"")</f>
        <v/>
      </c>
      <c r="Q48" s="65"/>
      <c r="R48" s="66">
        <f t="shared" si="5"/>
        <v>0</v>
      </c>
      <c r="S48" s="59"/>
      <c r="T48" s="59"/>
      <c r="U48" s="93"/>
      <c r="V48" s="94"/>
      <c r="W48" s="95"/>
      <c r="X48" s="59" t="str">
        <f>IF(OR(E48="",C48=""),"",IF(COUNTIFS($E$17:E48,E48,$C$17:C48,C48)=1,E48&amp;" - "&amp;C48&amp;" - "&amp;SUMIFS($J$17:$J$5002,$E$17:$E$5002,E48,$C$17:$C$5002,C48)&amp;I48&amp;" - "&amp;TEXT(SUMIFS($U$17:$U$5002,$E$17:$E$5002,E48,$C$17:$C$5002,C48),"0.00")&amp;" Bf",""))</f>
        <v/>
      </c>
      <c r="Y48" s="24" t="str">
        <f>IF(COUNTIF($C$17:C48,C48)=1,ROUND(SUMIF($C:$C,C48,$W:$W),2), "")</f>
        <v/>
      </c>
    </row>
    <row r="49" spans="1:25" s="17" customFormat="1" ht="41.25" hidden="1" customHeight="1" x14ac:dyDescent="0.2">
      <c r="A49" s="57"/>
      <c r="B49" s="57"/>
      <c r="C49" s="57"/>
      <c r="D49" s="57" t="str" cm="1">
        <f t="array" ref="D49">IFERROR(
_xlfn.XLOOKUP(1,
(CODE_PRICE!$A$3:$A$1003=$A$8)*
(CODE_PRICE!$B$3:$B$1003=C49),
CODE_PRICE!$C$3:$C$1003
),
"")</f>
        <v/>
      </c>
      <c r="E49" s="58"/>
      <c r="F49" s="58"/>
      <c r="G49" s="59"/>
      <c r="H49" s="60"/>
      <c r="I49" s="58"/>
      <c r="J49" s="61"/>
      <c r="K49" s="62"/>
      <c r="L49" s="63" t="str" cm="1">
        <f t="array" ref="L49">IF(F49="untrim",_xlfn.XLOOKUP(1,(TRIM('SIZE GUIDE'!$A$3:$A$2015)=TRIM(F49))*(TRIM('SIZE GUIDE'!$B$3:$B$2015)=TRIM(G49))*(TRIM('SIZE GUIDE'!$C$3:$C$2015)=TRIM(I49)),'SIZE GUIDE'!$D$3:$D$2015),"")</f>
        <v/>
      </c>
      <c r="M49" s="64"/>
      <c r="N49" s="63"/>
      <c r="O49" s="65"/>
      <c r="P49" s="65" t="str" cm="1">
        <f t="array" ref="P49">IF(F49="trim",IFERROR(INDEX('SIZE GUIDE'!$E:$E,MATCH(1,('SIZE GUIDE'!$A:$A=$F49)*('SIZE GUIDE'!$B:$B=$G49)*('SIZE GUIDE'!$C:$C=$I49),0)),""),"")</f>
        <v/>
      </c>
      <c r="Q49" s="65"/>
      <c r="R49" s="66">
        <f t="shared" si="5"/>
        <v>0</v>
      </c>
      <c r="S49" s="59"/>
      <c r="T49" s="59"/>
      <c r="U49" s="93"/>
      <c r="V49" s="94"/>
      <c r="W49" s="95"/>
      <c r="X49" s="59" t="str">
        <f>IF(OR(E49="",C49=""),"",IF(COUNTIFS($E$17:E49,E49,$C$17:C49,C49)=1,E49&amp;" - "&amp;C49&amp;" - "&amp;SUMIFS($J$17:$J$5002,$E$17:$E$5002,E49,$C$17:$C$5002,C49)&amp;I49&amp;" - "&amp;TEXT(SUMIFS($U$17:$U$5002,$E$17:$E$5002,E49,$C$17:$C$5002,C49),"0.00")&amp;" Bf",""))</f>
        <v/>
      </c>
      <c r="Y49" s="24" t="str">
        <f>IF(COUNTIF($C$17:C49,C49)=1,ROUND(SUMIF($C:$C,C49,$W:$W),2), "")</f>
        <v/>
      </c>
    </row>
    <row r="50" spans="1:25" s="17" customFormat="1" ht="41.25" customHeight="1" thickBot="1" x14ac:dyDescent="0.25">
      <c r="A50" s="53"/>
      <c r="B50" s="53"/>
      <c r="C50" s="53"/>
      <c r="D50" s="53" t="str" cm="1">
        <f t="array" ref="D50">IFERROR(
_xlfn.XLOOKUP(1,
(CODE_PRICE!$A$3:$A$1003=$A$8)*
(CODE_PRICE!$B$3:$B$1003=C50),
CODE_PRICE!$C$3:$C$1003
),
"")</f>
        <v/>
      </c>
      <c r="E50" s="53"/>
      <c r="F50" s="67"/>
      <c r="G50" s="68"/>
      <c r="H50" s="68"/>
      <c r="I50" s="69" t="s">
        <v>155</v>
      </c>
      <c r="J50" s="70">
        <f>SUM(J17:J49)</f>
        <v>10</v>
      </c>
      <c r="K50" s="55"/>
      <c r="L50" s="55"/>
      <c r="M50" s="55"/>
      <c r="N50" s="55"/>
      <c r="O50" s="56"/>
      <c r="P50" s="56"/>
      <c r="Q50" s="56"/>
      <c r="R50" s="67"/>
      <c r="S50" s="67"/>
      <c r="T50" s="67"/>
      <c r="U50" s="96">
        <f>SUM(U17:U49)</f>
        <v>21306.375</v>
      </c>
      <c r="V50" s="97"/>
      <c r="W50" s="92">
        <f>SUM(W17:W49)</f>
        <v>7009.7973750000019</v>
      </c>
      <c r="X50" s="109"/>
      <c r="Y50" s="109"/>
    </row>
    <row r="51" spans="1:25" s="17" customFormat="1" ht="41.25" customHeight="1" x14ac:dyDescent="0.2">
      <c r="A51" s="57"/>
      <c r="B51" s="71"/>
      <c r="C51" s="71"/>
      <c r="D51" s="156" t="str" cm="1">
        <f t="array" ref="D51">IFERROR(
_xlfn.XLOOKUP(1,
(CODE_PRICE!$A$3:$A$1003=$A$8)*
(CODE_PRICE!$B$3:$B$1003=C51),
CODE_PRICE!$C$3:$C$1003
),
"")</f>
        <v/>
      </c>
      <c r="E51" s="72"/>
      <c r="F51" s="72"/>
      <c r="G51" s="73"/>
      <c r="H51" s="74"/>
      <c r="I51" s="75" t="s">
        <v>156</v>
      </c>
      <c r="J51" s="76"/>
      <c r="K51" s="77"/>
      <c r="L51" s="78"/>
      <c r="M51" s="79"/>
      <c r="N51" s="78"/>
      <c r="O51" s="78"/>
      <c r="P51" s="78"/>
      <c r="Q51" s="78"/>
      <c r="R51" s="80"/>
      <c r="S51" s="80"/>
      <c r="T51" s="80"/>
      <c r="U51" s="81"/>
      <c r="V51" s="82"/>
      <c r="W51" s="83">
        <v>900</v>
      </c>
      <c r="X51" s="19"/>
      <c r="Y51" s="25"/>
    </row>
    <row r="52" spans="1:25" s="17" customFormat="1" ht="41.25" customHeight="1" thickBot="1" x14ac:dyDescent="0.25">
      <c r="A52" s="53"/>
      <c r="B52" s="53"/>
      <c r="C52" s="68"/>
      <c r="D52" s="68" t="str" cm="1">
        <f t="array" ref="D52">IFERROR(
_xlfn.XLOOKUP(1,
(CODE_PRICE!$A$3:$A$1003=$A$8)*
(CODE_PRICE!$B$3:$B$1003=C52),
CODE_PRICE!$C$3:$C$1003
),
"")</f>
        <v/>
      </c>
      <c r="E52" s="67"/>
      <c r="F52" s="67"/>
      <c r="G52" s="67"/>
      <c r="H52" s="67"/>
      <c r="I52" s="69" t="s">
        <v>162</v>
      </c>
      <c r="J52" s="70">
        <f>J50</f>
        <v>10</v>
      </c>
      <c r="K52" s="55"/>
      <c r="L52" s="55"/>
      <c r="M52" s="55"/>
      <c r="N52" s="55"/>
      <c r="O52" s="56"/>
      <c r="P52" s="56"/>
      <c r="Q52" s="56"/>
      <c r="R52" s="67"/>
      <c r="S52" s="67"/>
      <c r="T52" s="67"/>
      <c r="U52" s="96">
        <f>U50</f>
        <v>21306.375</v>
      </c>
      <c r="V52" s="97"/>
      <c r="W52" s="92">
        <f>+W50+W51</f>
        <v>7909.7973750000019</v>
      </c>
      <c r="X52" s="109"/>
      <c r="Y52" s="109"/>
    </row>
    <row r="53" spans="1:25" ht="15" customHeight="1" x14ac:dyDescent="0.25">
      <c r="A53" s="48"/>
      <c r="B53" s="48"/>
      <c r="C53" s="48"/>
      <c r="D53" s="48"/>
      <c r="E53" s="48"/>
      <c r="F53" s="48"/>
      <c r="G53" s="84"/>
      <c r="H53" s="48"/>
      <c r="I53" s="85"/>
      <c r="J53" s="85"/>
      <c r="K53" s="8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89"/>
    </row>
    <row r="54" spans="1:25" ht="15" customHeight="1" x14ac:dyDescent="0.25">
      <c r="A54" s="48" t="s">
        <v>153</v>
      </c>
      <c r="B54" s="48"/>
      <c r="C54" s="48"/>
      <c r="D54" s="48"/>
      <c r="E54" s="48"/>
      <c r="F54" s="48"/>
      <c r="G54" s="84"/>
      <c r="H54" s="48"/>
      <c r="I54" s="85"/>
      <c r="J54" s="85"/>
      <c r="K54" s="8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89"/>
    </row>
    <row r="55" spans="1:25" ht="15" customHeight="1" x14ac:dyDescent="0.25">
      <c r="A55" s="48"/>
      <c r="B55" s="48"/>
      <c r="C55" s="48"/>
      <c r="D55" s="48"/>
      <c r="E55" s="48"/>
      <c r="F55" s="48"/>
      <c r="G55" s="84"/>
      <c r="H55" s="48"/>
      <c r="I55" s="85"/>
      <c r="J55" s="85"/>
      <c r="K55" s="85"/>
      <c r="L55" s="35"/>
      <c r="M55" s="35"/>
      <c r="O55" s="35"/>
      <c r="P55" s="35"/>
      <c r="Q55" s="35"/>
      <c r="R55" s="35"/>
      <c r="S55" s="35"/>
      <c r="T55" s="35"/>
      <c r="U55" s="35"/>
      <c r="V55" s="35"/>
      <c r="W55" s="89"/>
    </row>
    <row r="56" spans="1:25" ht="15" customHeight="1" x14ac:dyDescent="0.25">
      <c r="A56" s="48" t="s">
        <v>154</v>
      </c>
      <c r="B56" s="48"/>
      <c r="C56" s="48"/>
      <c r="D56" s="48"/>
      <c r="E56" s="48"/>
      <c r="F56" s="48"/>
      <c r="G56" s="84"/>
      <c r="H56" s="48"/>
      <c r="I56" s="85"/>
      <c r="J56" s="85"/>
      <c r="K56" s="85"/>
      <c r="L56" s="35"/>
      <c r="M56" s="35"/>
      <c r="O56" s="35"/>
      <c r="P56" s="35"/>
      <c r="Q56" s="35"/>
      <c r="R56" s="35"/>
      <c r="S56" s="35"/>
      <c r="T56" s="35"/>
      <c r="U56" s="35"/>
      <c r="V56" s="35"/>
      <c r="W56" s="89"/>
    </row>
    <row r="57" spans="1:25" ht="15" customHeight="1" x14ac:dyDescent="0.25">
      <c r="A57" s="48"/>
      <c r="B57" s="48"/>
      <c r="C57" s="48"/>
      <c r="D57" s="48"/>
      <c r="E57" s="48"/>
      <c r="F57" s="48"/>
      <c r="G57" s="84"/>
      <c r="H57" s="48"/>
      <c r="I57" s="85"/>
      <c r="J57" s="85"/>
      <c r="K57" s="85"/>
      <c r="L57" s="35"/>
      <c r="M57" s="35"/>
      <c r="O57" s="35"/>
      <c r="P57" s="35"/>
      <c r="Q57" s="35"/>
      <c r="R57" s="35"/>
      <c r="S57" s="35"/>
      <c r="T57" s="35"/>
      <c r="U57" s="35"/>
      <c r="V57" s="35"/>
      <c r="W57" s="89"/>
    </row>
    <row r="58" spans="1:25" ht="15" customHeight="1" x14ac:dyDescent="0.25">
      <c r="A58" s="48"/>
      <c r="B58" s="48"/>
      <c r="C58" s="48"/>
      <c r="D58" s="48"/>
      <c r="E58" s="48"/>
      <c r="F58" s="48"/>
      <c r="G58" s="84"/>
      <c r="H58" s="48"/>
      <c r="I58" s="85"/>
      <c r="J58" s="85"/>
      <c r="K58" s="85"/>
      <c r="L58" s="35"/>
      <c r="M58" s="35"/>
      <c r="O58" s="35"/>
      <c r="P58" s="35"/>
      <c r="Q58" s="35"/>
      <c r="R58" s="35"/>
      <c r="S58" s="35"/>
      <c r="T58" s="35"/>
      <c r="U58" s="35"/>
      <c r="V58" s="35"/>
      <c r="W58" s="89"/>
    </row>
    <row r="59" spans="1:25" ht="15" customHeight="1" x14ac:dyDescent="0.25">
      <c r="A59" s="86"/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5"/>
      <c r="M59" s="35"/>
      <c r="O59" s="35"/>
      <c r="P59" s="35"/>
      <c r="Q59" s="35"/>
      <c r="R59" s="35"/>
      <c r="S59" s="35"/>
      <c r="T59" s="35"/>
      <c r="U59" s="35"/>
      <c r="V59" s="35"/>
      <c r="W59" s="89"/>
    </row>
    <row r="60" spans="1:25" ht="15" customHeight="1" x14ac:dyDescent="0.25">
      <c r="A60" s="86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5"/>
      <c r="M60" s="35"/>
      <c r="O60" s="35"/>
      <c r="P60" s="35"/>
      <c r="Q60" s="35"/>
      <c r="R60" s="35"/>
      <c r="S60" s="35"/>
      <c r="T60" s="35"/>
      <c r="U60" s="35"/>
      <c r="V60" s="35"/>
      <c r="W60" s="89"/>
    </row>
  </sheetData>
  <mergeCells count="5">
    <mergeCell ref="A7:F7"/>
    <mergeCell ref="G7:H7"/>
    <mergeCell ref="S9:T9"/>
    <mergeCell ref="B59:K59"/>
    <mergeCell ref="B60:K60"/>
  </mergeCells>
  <conditionalFormatting sqref="C27:D27">
    <cfRule type="containsText" dxfId="17" priority="1" operator="containsText" text="CFN50180W">
      <formula>NOT(ISERROR(SEARCH(("CFN50180W"),(C27))))</formula>
    </cfRule>
    <cfRule type="containsText" dxfId="16" priority="2" operator="containsText" text="CFN17138W">
      <formula>NOT(ISERROR(SEARCH(("CFN17138W"),(C27))))</formula>
    </cfRule>
    <cfRule type="containsText" dxfId="15" priority="3" operator="containsText" text="CFN39180W">
      <formula>NOT(ISERROR(SEARCH(("CFN39180W"),(C27))))</formula>
    </cfRule>
    <cfRule type="containsText" dxfId="14" priority="4" operator="containsText" text="CFN34150">
      <formula>NOT(ISERROR(SEARCH(("CFN34150"),(C27))))</formula>
    </cfRule>
    <cfRule type="containsText" dxfId="13" priority="5" operator="containsText" text="CFN50131">
      <formula>NOT(ISERROR(SEARCH(("CFN50131"),(C27))))</formula>
    </cfRule>
    <cfRule type="containsText" dxfId="12" priority="6" operator="containsText" text="CFN30100W">
      <formula>NOT(ISERROR(SEARCH(("CFN30100W"),(C27))))</formula>
    </cfRule>
  </conditionalFormatting>
  <pageMargins left="0" right="0" top="1" bottom="1" header="0.511811023622047" footer="0.511811023622047"/>
  <pageSetup scale="30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xr:uid="{231D9445-19C2-44B8-99FF-57BD8CDED692}">
          <x14:formula1>
            <xm:f>CODE_MASTER_AS!$A$3:$A$14</xm:f>
          </x14:formula1>
          <xm:sqref>G50:H50 C28:C49 C51:C52 D17:D52 C17:C26</xm:sqref>
        </x14:dataValidation>
        <x14:dataValidation type="list" allowBlank="1" xr:uid="{75CBEE0E-9142-4AE6-B5AF-104C7F97553A}">
          <x14:formula1>
            <xm:f>'SIZE GUIDE'!$A$3:$A$38</xm:f>
          </x14:formula1>
          <xm:sqref>F17:F52</xm:sqref>
        </x14:dataValidation>
        <x14:dataValidation type="list" allowBlank="1" xr:uid="{0A4FCC3A-7AA7-44D4-9A80-4DFDB390AF21}">
          <x14:formula1>
            <xm:f>LISTS!$B$2:$B$8</xm:f>
          </x14:formula1>
          <x14:formula2>
            <xm:f>0</xm:f>
          </x14:formula2>
          <xm:sqref>I17:I52</xm:sqref>
        </x14:dataValidation>
        <x14:dataValidation type="list" allowBlank="1" showInputMessage="1" showErrorMessage="1" xr:uid="{7CFE5B05-1BE9-4C68-9E40-4A136CB4EF8E}">
          <x14:formula1>
            <xm:f>'SIZE GUIDE'!$B:$B</xm:f>
          </x14:formula1>
          <xm:sqref>H50 G17:G52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0860E-1959-4B4F-B1C1-BD4DA8381849}">
  <sheetPr codeName="Sheet17">
    <pageSetUpPr fitToPage="1"/>
  </sheetPr>
  <dimension ref="A1:Y60"/>
  <sheetViews>
    <sheetView showGridLines="0" view="pageBreakPreview" topLeftCell="A15" zoomScale="89" zoomScaleNormal="68" zoomScaleSheetLayoutView="89" workbookViewId="0">
      <selection activeCell="X58" sqref="X58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15.1640625" style="16" hidden="1" customWidth="1"/>
    <col min="5" max="5" width="16.83203125" style="16" customWidth="1"/>
    <col min="6" max="6" width="11.83203125" style="16" hidden="1" customWidth="1"/>
    <col min="7" max="7" width="21.5" style="16" customWidth="1"/>
    <col min="8" max="8" width="10.6640625" style="16" customWidth="1"/>
    <col min="9" max="9" width="14" style="16" customWidth="1"/>
    <col min="10" max="16" width="10.6640625" style="16" hidden="1" customWidth="1"/>
    <col min="17" max="19" width="10.6640625" style="16" customWidth="1"/>
    <col min="20" max="21" width="14.6640625" style="16" customWidth="1"/>
    <col min="22" max="22" width="14.6640625" style="98" customWidth="1"/>
    <col min="23" max="23" width="39.83203125" style="16" customWidth="1"/>
    <col min="24" max="24" width="18.33203125" style="23" customWidth="1"/>
    <col min="25" max="28" width="8.6640625" style="16" customWidth="1"/>
    <col min="29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9"/>
      <c r="K1" s="29"/>
      <c r="L1" s="29"/>
      <c r="M1" s="29"/>
      <c r="N1" s="27"/>
      <c r="O1" s="27"/>
      <c r="P1" s="121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30"/>
      <c r="K2" s="31"/>
      <c r="L2" s="29"/>
      <c r="M2" s="32" t="s">
        <v>161</v>
      </c>
      <c r="N2" s="27"/>
      <c r="O2" s="27"/>
      <c r="P2" s="28" t="s">
        <v>160</v>
      </c>
      <c r="R2" s="20"/>
      <c r="S2" s="21"/>
      <c r="U2" s="13"/>
      <c r="V2" s="20" t="s">
        <v>151</v>
      </c>
      <c r="W2" s="20"/>
      <c r="X2" s="22"/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37"/>
      <c r="K3" s="37"/>
      <c r="L3" s="37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37"/>
      <c r="K4" s="37"/>
      <c r="L4" s="37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37"/>
      <c r="K5" s="37"/>
      <c r="L5" s="37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37"/>
      <c r="K6" s="37"/>
      <c r="L6" s="37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5"/>
      <c r="I7" s="35"/>
      <c r="J7" s="37"/>
      <c r="K7" s="37"/>
      <c r="L7" s="37"/>
      <c r="M7" s="37"/>
      <c r="N7" s="38"/>
      <c r="O7" s="38"/>
      <c r="P7" s="38"/>
      <c r="Q7" s="43" t="s">
        <v>147</v>
      </c>
      <c r="R7" s="43"/>
      <c r="S7" s="43"/>
      <c r="T7" s="43"/>
      <c r="U7" s="43"/>
      <c r="V7" s="43" t="s">
        <v>148</v>
      </c>
      <c r="W7" s="43"/>
      <c r="X7" s="43"/>
    </row>
    <row r="8" spans="1:24" ht="15" customHeight="1" x14ac:dyDescent="0.25">
      <c r="A8" s="44" t="s">
        <v>207</v>
      </c>
      <c r="B8" s="45"/>
      <c r="C8" s="45"/>
      <c r="D8" s="46"/>
      <c r="E8" s="46"/>
      <c r="F8" s="36"/>
      <c r="G8" s="46"/>
      <c r="H8" s="35"/>
      <c r="I8" s="35"/>
      <c r="J8" s="37"/>
      <c r="K8" s="37"/>
      <c r="L8" s="37"/>
      <c r="M8" s="37"/>
      <c r="N8" s="38"/>
      <c r="O8" s="38"/>
      <c r="P8" s="38"/>
      <c r="Q8" s="105" t="s">
        <v>274</v>
      </c>
      <c r="R8" s="87"/>
      <c r="S8" s="106"/>
      <c r="T8" s="46"/>
      <c r="U8" s="107"/>
      <c r="V8" s="108">
        <v>46199</v>
      </c>
      <c r="W8" s="13"/>
      <c r="X8" s="22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37"/>
      <c r="K9" s="37"/>
      <c r="L9" s="37"/>
      <c r="M9" s="37"/>
      <c r="N9" s="38"/>
      <c r="O9" s="38"/>
      <c r="P9" s="38"/>
      <c r="Q9" s="86"/>
      <c r="R9" s="320"/>
      <c r="S9" s="320"/>
      <c r="T9" s="46"/>
      <c r="U9" s="107"/>
      <c r="V9" s="33"/>
      <c r="W9" s="13"/>
      <c r="X9" s="22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37"/>
      <c r="K10" s="37"/>
      <c r="L10" s="37"/>
      <c r="M10" s="37"/>
      <c r="N10" s="38"/>
      <c r="O10" s="38"/>
      <c r="P10" s="38"/>
      <c r="Q10" s="42" t="s">
        <v>149</v>
      </c>
      <c r="R10" s="43"/>
      <c r="S10" s="43"/>
      <c r="T10" s="43"/>
      <c r="U10" s="43"/>
      <c r="V10" s="43" t="s">
        <v>150</v>
      </c>
      <c r="W10" s="43"/>
      <c r="X10" s="43"/>
    </row>
    <row r="11" spans="1:24" ht="15" customHeight="1" x14ac:dyDescent="0.25">
      <c r="A11" s="188" t="s">
        <v>253</v>
      </c>
      <c r="B11" s="34"/>
      <c r="C11" s="35"/>
      <c r="D11" s="35"/>
      <c r="E11" s="46"/>
      <c r="F11" s="46"/>
      <c r="G11" s="46"/>
      <c r="H11" s="35"/>
      <c r="I11" s="35"/>
      <c r="J11" s="37"/>
      <c r="K11" s="37"/>
      <c r="L11" s="37"/>
      <c r="M11" s="37"/>
      <c r="N11" s="38"/>
      <c r="O11" s="38"/>
      <c r="P11" s="38"/>
      <c r="Q11" s="105" t="s">
        <v>275</v>
      </c>
      <c r="R11" s="86"/>
      <c r="S11" s="86"/>
      <c r="T11" s="46"/>
      <c r="U11" s="107"/>
      <c r="V11" s="86"/>
      <c r="W11" s="13"/>
      <c r="X11" s="22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37"/>
      <c r="K12" s="37"/>
      <c r="L12" s="37"/>
      <c r="M12" s="37"/>
      <c r="N12" s="38"/>
      <c r="O12" s="38"/>
      <c r="P12" s="38"/>
      <c r="Q12" s="48"/>
      <c r="R12" s="48"/>
      <c r="S12" s="48"/>
      <c r="T12" s="48"/>
      <c r="U12" s="47"/>
      <c r="V12" s="49"/>
      <c r="W12" s="13"/>
      <c r="X12" s="22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5"/>
      <c r="K13" s="50"/>
      <c r="L13" s="50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17" customFormat="1" ht="41.25" customHeight="1" x14ac:dyDescent="0.2">
      <c r="A14" s="53" t="s">
        <v>158</v>
      </c>
      <c r="B14" s="53" t="s">
        <v>0</v>
      </c>
      <c r="C14" s="53" t="s">
        <v>1</v>
      </c>
      <c r="D14" s="54" t="s">
        <v>135</v>
      </c>
      <c r="E14" s="54" t="s">
        <v>157</v>
      </c>
      <c r="F14" s="54" t="s">
        <v>3</v>
      </c>
      <c r="G14" s="54" t="s">
        <v>152</v>
      </c>
      <c r="H14" s="54" t="s">
        <v>105</v>
      </c>
      <c r="I14" s="54" t="s">
        <v>5</v>
      </c>
      <c r="J14" s="55" t="s">
        <v>64</v>
      </c>
      <c r="K14" s="55" t="s">
        <v>136</v>
      </c>
      <c r="L14" s="55" t="s">
        <v>24</v>
      </c>
      <c r="M14" s="55" t="s">
        <v>108</v>
      </c>
      <c r="N14" s="56" t="s">
        <v>136</v>
      </c>
      <c r="O14" s="56" t="s">
        <v>24</v>
      </c>
      <c r="P14" s="122" t="s">
        <v>108</v>
      </c>
      <c r="Q14" s="54" t="s">
        <v>136</v>
      </c>
      <c r="R14" s="54" t="s">
        <v>24</v>
      </c>
      <c r="S14" s="54" t="s">
        <v>108</v>
      </c>
      <c r="T14" s="90" t="s">
        <v>159</v>
      </c>
      <c r="U14" s="91" t="s">
        <v>6</v>
      </c>
      <c r="V14" s="92" t="s">
        <v>7</v>
      </c>
      <c r="W14" s="53" t="s">
        <v>140</v>
      </c>
      <c r="X14" s="26" t="s">
        <v>141</v>
      </c>
    </row>
    <row r="15" spans="1:24" s="17" customFormat="1" ht="36" customHeight="1" x14ac:dyDescent="0.2">
      <c r="A15" s="57">
        <v>1</v>
      </c>
      <c r="B15" s="57" t="str" cm="1">
        <f t="array" ref="B15">_xlfn.LET(_xlpm.r,_xlfn.XLOOKUP(1,
(TRIM(CODE_PRICE!$A$4:$A$2003)=TRIM($C$4))*
(TRIM(CODE_PRICE!$B$4:$B$2003)=TRIM(C15)),
CODE_PRICE!$C$4:$C$2003,
""),
IF(OR(_xlpm.r="",_xlpm.r=0),"",_xlpm.r))</f>
        <v/>
      </c>
      <c r="C15" s="57" t="s">
        <v>89</v>
      </c>
      <c r="D15" s="58" t="str">
        <f>_xlfn.XLOOKUP(B15,CODE_PRICE!C:C,CODE_PRICE!D:D,"")</f>
        <v/>
      </c>
      <c r="E15" s="58" t="s">
        <v>11</v>
      </c>
      <c r="F15" s="59" t="s">
        <v>213</v>
      </c>
      <c r="G15" s="60" t="str">
        <f>IF(COUNTIFS($C$15:C15,C15,$H$15:H15,H15)=1,
SUMIFS($I$15:$I$49,$C$15:$C$49,C15,$H$15:$H$49,H15)&amp;H15&amp;" "&amp;C15,
"")</f>
        <v>7S CFN30100W</v>
      </c>
      <c r="H15" s="58" t="s">
        <v>22</v>
      </c>
      <c r="I15" s="61">
        <v>1</v>
      </c>
      <c r="J15" s="158"/>
      <c r="K15" s="158" cm="1">
        <f t="array" ref="K15">IF(E15="untrim",_xlfn.XLOOKUP(1,(TRIM('SIZE GUIDE'!$A$3:$A$2015)=TRIM(E15))*(TRIM('SIZE GUIDE'!$B$3:$B$2015)=TRIM(F15))*(TRIM('SIZE GUIDE'!$C$3:$C$2015)=TRIM(H15)),'SIZE GUIDE'!$D$3:$D$2015),"")</f>
        <v>108</v>
      </c>
      <c r="L15" s="168" cm="1">
        <f t="array" ref="L15">IF(E15="untrim",IFERROR(INDEX('SIZE GUIDE'!$E:$E,MATCH(1,('SIZE GUIDE'!$A:$A=$E15)*('SIZE GUIDE'!$B:$B=$F15)*('SIZE GUIDE'!$C:$C=$H15),0)),""),"")</f>
        <v>81</v>
      </c>
      <c r="M15" s="158">
        <v>28</v>
      </c>
      <c r="N15" s="65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65" t="str" cm="1">
        <f t="array" ref="O15">IF(E15="trim",IFERROR(INDEX('SIZE GUIDE'!$E:$E,MATCH(1,('SIZE GUIDE'!$A:$A=$E15)*('SIZE GUIDE'!$B:$B=$F15)*('SIZE GUIDE'!$C:$C=$H15),0)),""),"")</f>
        <v/>
      </c>
      <c r="P15" s="65"/>
      <c r="Q15" s="59">
        <f>K15</f>
        <v>108</v>
      </c>
      <c r="R15" s="130">
        <f>L15</f>
        <v>81</v>
      </c>
      <c r="S15" s="59">
        <f t="shared" ref="S15:S21" si="0">IF(E15="untrim",M15-0.5,P15-0.5)</f>
        <v>27.5</v>
      </c>
      <c r="T15" s="93">
        <f t="shared" ref="T15:T21" si="1">IFERROR(Q15*R15*S15/144*I15,"")</f>
        <v>1670.625</v>
      </c>
      <c r="U15" s="94">
        <v>0.21179999999999999</v>
      </c>
      <c r="V15" s="95">
        <f>T15*U15</f>
        <v>353.83837499999998</v>
      </c>
      <c r="W15" s="102" t="str">
        <f>IF(COUNTIF($C$15:C15,C15)=1,C15 &amp; " - " &amp; TEXT(SUMIF($C:$C,C15,$T:$T),"0.00"),"")</f>
        <v>CFN30100W - 14124.38</v>
      </c>
      <c r="X15" s="103">
        <f>IF(COUNTIF($C$15:C15,C15)=1,ROUND(SUMIF($C:$C,C15,$V:$V),2), "")</f>
        <v>2991.54</v>
      </c>
    </row>
    <row r="16" spans="1:24" s="17" customFormat="1" ht="36" customHeight="1" x14ac:dyDescent="0.2">
      <c r="A16" s="57">
        <f t="shared" ref="A16:A21" si="2">A15+1</f>
        <v>2</v>
      </c>
      <c r="B16" s="57" t="str" cm="1">
        <f t="array" ref="B16">_xlfn.LET(_xlpm.r,_xlfn.XLOOKUP(1,
(TRIM(CODE_PRICE!$A$4:$A$2003)=TRIM($C$4))*
(TRIM(CODE_PRICE!$B$4:$B$2003)=TRIM(C16)),
CODE_PRICE!$C$4:$C$2003,
""),
IF(OR(_xlpm.r="",_xlpm.r=0),"",_xlpm.r))</f>
        <v/>
      </c>
      <c r="C16" s="57" t="s">
        <v>89</v>
      </c>
      <c r="D16" s="58" t="str">
        <f>_xlfn.XLOOKUP(B16,CODE_PRICE!C:C,CODE_PRICE!D:D,"")</f>
        <v/>
      </c>
      <c r="E16" s="58" t="s">
        <v>11</v>
      </c>
      <c r="F16" s="59" t="s">
        <v>213</v>
      </c>
      <c r="G16" s="60" t="str">
        <f>IF(COUNTIFS($C$15:C16,C16,$H$15:H16,H16)=1,
SUMIFS($I$15:$I$49,$C$15:$C$49,C16,$H$15:$H$49,H16)&amp;H16&amp;" "&amp;C16,
"")</f>
        <v/>
      </c>
      <c r="H16" s="58" t="s">
        <v>22</v>
      </c>
      <c r="I16" s="61">
        <v>1</v>
      </c>
      <c r="J16" s="158"/>
      <c r="K16" s="158" cm="1">
        <f t="array" ref="K16">IF(E16="untrim",_xlfn.XLOOKUP(1,(TRIM('SIZE GUIDE'!$A$3:$A$2015)=TRIM(E16))*(TRIM('SIZE GUIDE'!$B$3:$B$2015)=TRIM(F16))*(TRIM('SIZE GUIDE'!$C$3:$C$2015)=TRIM(H16)),'SIZE GUIDE'!$D$3:$D$2015),"")</f>
        <v>108</v>
      </c>
      <c r="L16" s="168" cm="1">
        <f t="array" ref="L16">IF(E16="untrim",IFERROR(INDEX('SIZE GUIDE'!$E:$E,MATCH(1,('SIZE GUIDE'!$A:$A=$E16)*('SIZE GUIDE'!$B:$B=$F16)*('SIZE GUIDE'!$C:$C=$H16),0)),""),"")</f>
        <v>81</v>
      </c>
      <c r="M16" s="158">
        <v>37</v>
      </c>
      <c r="N16" s="65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65" t="str" cm="1">
        <f t="array" ref="O16">IF(E16="trim",IFERROR(INDEX('SIZE GUIDE'!$E:$E,MATCH(1,('SIZE GUIDE'!$A:$A=$E16)*('SIZE GUIDE'!$B:$B=$F16)*('SIZE GUIDE'!$C:$C=$H16),0)),""),"")</f>
        <v/>
      </c>
      <c r="P16" s="65"/>
      <c r="Q16" s="59">
        <f t="shared" ref="Q16:R21" si="3">K16</f>
        <v>108</v>
      </c>
      <c r="R16" s="130">
        <f t="shared" si="3"/>
        <v>81</v>
      </c>
      <c r="S16" s="59">
        <f t="shared" si="0"/>
        <v>36.5</v>
      </c>
      <c r="T16" s="93">
        <f t="shared" si="1"/>
        <v>2217.375</v>
      </c>
      <c r="U16" s="94">
        <v>0.21179999999999999</v>
      </c>
      <c r="V16" s="95">
        <f t="shared" ref="V16:V21" si="4">T16*U16</f>
        <v>469.64002499999998</v>
      </c>
      <c r="W16" s="102" t="str">
        <f>IF(COUNTIF($C$15:C16,C16)=1,C16 &amp; " - " &amp; TEXT(SUMIF($C:$C,C16,$T:$T),"0.00"),"")</f>
        <v/>
      </c>
      <c r="X16" s="103" t="str">
        <f>IF(COUNTIF($C$15:C16,C16)=1,ROUND(SUMIF($C:$C,C16,$V:$V),2), "")</f>
        <v/>
      </c>
    </row>
    <row r="17" spans="1:24" s="17" customFormat="1" ht="36" customHeight="1" x14ac:dyDescent="0.2">
      <c r="A17" s="57">
        <f t="shared" si="2"/>
        <v>3</v>
      </c>
      <c r="B17" s="57" t="str" cm="1">
        <f t="array" ref="B17">_xlfn.LET(_xlpm.r,_xlfn.XLOOKUP(1,
(TRIM(CODE_PRICE!$A$4:$A$2003)=TRIM($C$4))*
(TRIM(CODE_PRICE!$B$4:$B$2003)=TRIM(C17)),
CODE_PRICE!$C$4:$C$2003,
""),
IF(OR(_xlpm.r="",_xlpm.r=0),"",_xlpm.r))</f>
        <v/>
      </c>
      <c r="C17" s="57" t="s">
        <v>89</v>
      </c>
      <c r="D17" s="58" t="str">
        <f>_xlfn.XLOOKUP(B17,CODE_PRICE!C:C,CODE_PRICE!D:D,"")</f>
        <v/>
      </c>
      <c r="E17" s="58" t="s">
        <v>11</v>
      </c>
      <c r="F17" s="59" t="s">
        <v>213</v>
      </c>
      <c r="G17" s="60" t="str">
        <f>IF(COUNTIFS($C$15:C17,C17,$H$15:H17,H17)=1,
SUMIFS($I$15:$I$49,$C$15:$C$49,C17,$H$15:$H$49,H17)&amp;H17&amp;" "&amp;C17,
"")</f>
        <v/>
      </c>
      <c r="H17" s="58" t="s">
        <v>22</v>
      </c>
      <c r="I17" s="61">
        <v>1</v>
      </c>
      <c r="J17" s="158"/>
      <c r="K17" s="158" cm="1">
        <f t="array" ref="K17">IF(E17="untrim",_xlfn.XLOOKUP(1,(TRIM('SIZE GUIDE'!$A$3:$A$2015)=TRIM(E17))*(TRIM('SIZE GUIDE'!$B$3:$B$2015)=TRIM(F17))*(TRIM('SIZE GUIDE'!$C$3:$C$2015)=TRIM(H17)),'SIZE GUIDE'!$D$3:$D$2015),"")</f>
        <v>108</v>
      </c>
      <c r="L17" s="168" cm="1">
        <f t="array" ref="L17">IF(E17="untrim",IFERROR(INDEX('SIZE GUIDE'!$E:$E,MATCH(1,('SIZE GUIDE'!$A:$A=$E17)*('SIZE GUIDE'!$B:$B=$F17)*('SIZE GUIDE'!$C:$C=$H17),0)),""),"")</f>
        <v>81</v>
      </c>
      <c r="M17" s="158">
        <v>29</v>
      </c>
      <c r="N17" s="65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65" t="str" cm="1">
        <f t="array" ref="O17">IF(E17="trim",IFERROR(INDEX('SIZE GUIDE'!$E:$E,MATCH(1,('SIZE GUIDE'!$A:$A=$E17)*('SIZE GUIDE'!$B:$B=$F17)*('SIZE GUIDE'!$C:$C=$H17),0)),""),"")</f>
        <v/>
      </c>
      <c r="P17" s="65"/>
      <c r="Q17" s="59">
        <f t="shared" si="3"/>
        <v>108</v>
      </c>
      <c r="R17" s="130">
        <f t="shared" si="3"/>
        <v>81</v>
      </c>
      <c r="S17" s="59">
        <f t="shared" si="0"/>
        <v>28.5</v>
      </c>
      <c r="T17" s="93">
        <f t="shared" si="1"/>
        <v>1731.375</v>
      </c>
      <c r="U17" s="94">
        <v>0.21179999999999999</v>
      </c>
      <c r="V17" s="95">
        <f t="shared" si="4"/>
        <v>366.70522499999998</v>
      </c>
      <c r="W17" s="102" t="str">
        <f>IF(COUNTIF($C$15:C17,C17)=1,C17 &amp; " - " &amp; TEXT(SUMIF($C:$C,C17,$T:$T),"0.00"),"")</f>
        <v/>
      </c>
      <c r="X17" s="103" t="str">
        <f>IF(COUNTIF($C$15:C17,C17)=1,ROUND(SUMIF($C:$C,C17,$V:$V),2), "")</f>
        <v/>
      </c>
    </row>
    <row r="18" spans="1:24" s="17" customFormat="1" ht="36" customHeight="1" x14ac:dyDescent="0.2">
      <c r="A18" s="57">
        <f t="shared" si="2"/>
        <v>4</v>
      </c>
      <c r="B18" s="57" t="str" cm="1">
        <f t="array" ref="B18">_xlfn.LET(_xlpm.r,_xlfn.XLOOKUP(1,
(TRIM(CODE_PRICE!$A$4:$A$2003)=TRIM($C$4))*
(TRIM(CODE_PRICE!$B$4:$B$2003)=TRIM(C18)),
CODE_PRICE!$C$4:$C$2003,
""),
IF(OR(_xlpm.r="",_xlpm.r=0),"",_xlpm.r))</f>
        <v/>
      </c>
      <c r="C18" s="57" t="s">
        <v>89</v>
      </c>
      <c r="D18" s="58" t="str">
        <f>_xlfn.XLOOKUP(B18,CODE_PRICE!C:C,CODE_PRICE!D:D,"")</f>
        <v/>
      </c>
      <c r="E18" s="58" t="s">
        <v>11</v>
      </c>
      <c r="F18" s="59" t="s">
        <v>213</v>
      </c>
      <c r="G18" s="60" t="str">
        <f>IF(COUNTIFS($C$15:C18,C18,$H$15:H18,H18)=1,
SUMIFS($I$15:$I$49,$C$15:$C$49,C18,$H$15:$H$49,H18)&amp;H18&amp;" "&amp;C18,
"")</f>
        <v/>
      </c>
      <c r="H18" s="58" t="s">
        <v>22</v>
      </c>
      <c r="I18" s="61">
        <v>1</v>
      </c>
      <c r="J18" s="158"/>
      <c r="K18" s="158" cm="1">
        <f t="array" ref="K18">IF(E18="untrim",_xlfn.XLOOKUP(1,(TRIM('SIZE GUIDE'!$A$3:$A$2015)=TRIM(E18))*(TRIM('SIZE GUIDE'!$B$3:$B$2015)=TRIM(F18))*(TRIM('SIZE GUIDE'!$C$3:$C$2015)=TRIM(H18)),'SIZE GUIDE'!$D$3:$D$2015),"")</f>
        <v>108</v>
      </c>
      <c r="L18" s="168" cm="1">
        <f t="array" ref="L18">IF(E18="untrim",IFERROR(INDEX('SIZE GUIDE'!$E:$E,MATCH(1,('SIZE GUIDE'!$A:$A=$E18)*('SIZE GUIDE'!$B:$B=$F18)*('SIZE GUIDE'!$C:$C=$H18),0)),""),"")</f>
        <v>81</v>
      </c>
      <c r="M18" s="158">
        <v>32</v>
      </c>
      <c r="N18" s="65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65" t="str" cm="1">
        <f t="array" ref="O18">IF(E18="trim",IFERROR(INDEX('SIZE GUIDE'!$E:$E,MATCH(1,('SIZE GUIDE'!$A:$A=$E18)*('SIZE GUIDE'!$B:$B=$F18)*('SIZE GUIDE'!$C:$C=$H18),0)),""),"")</f>
        <v/>
      </c>
      <c r="P18" s="65"/>
      <c r="Q18" s="59">
        <f t="shared" si="3"/>
        <v>108</v>
      </c>
      <c r="R18" s="130">
        <f t="shared" si="3"/>
        <v>81</v>
      </c>
      <c r="S18" s="59">
        <f t="shared" si="0"/>
        <v>31.5</v>
      </c>
      <c r="T18" s="93">
        <f t="shared" si="1"/>
        <v>1913.625</v>
      </c>
      <c r="U18" s="94">
        <v>0.21179999999999999</v>
      </c>
      <c r="V18" s="95">
        <f t="shared" si="4"/>
        <v>405.30577499999998</v>
      </c>
      <c r="W18" s="102" t="str">
        <f>IF(COUNTIF($C$15:C18,C18)=1,C18 &amp; " - " &amp; TEXT(SUMIF($C:$C,C18,$T:$T),"0.00"),"")</f>
        <v/>
      </c>
      <c r="X18" s="103" t="str">
        <f>IF(COUNTIF($C$15:C18,C18)=1,ROUND(SUMIF($C:$C,C18,$V:$V),2), "")</f>
        <v/>
      </c>
    </row>
    <row r="19" spans="1:24" s="17" customFormat="1" ht="36" customHeight="1" x14ac:dyDescent="0.2">
      <c r="A19" s="57">
        <f t="shared" si="2"/>
        <v>5</v>
      </c>
      <c r="B19" s="57" t="str" cm="1">
        <f t="array" ref="B19">_xlfn.LET(_xlpm.r,_xlfn.XLOOKUP(1,
(TRIM(CODE_PRICE!$A$4:$A$2003)=TRIM($C$4))*
(TRIM(CODE_PRICE!$B$4:$B$2003)=TRIM(C19)),
CODE_PRICE!$C$4:$C$2003,
""),
IF(OR(_xlpm.r="",_xlpm.r=0),"",_xlpm.r))</f>
        <v/>
      </c>
      <c r="C19" s="57" t="s">
        <v>89</v>
      </c>
      <c r="D19" s="58" t="str">
        <f>_xlfn.XLOOKUP(B19,CODE_PRICE!C:C,CODE_PRICE!D:D,"")</f>
        <v/>
      </c>
      <c r="E19" s="58" t="s">
        <v>11</v>
      </c>
      <c r="F19" s="59" t="s">
        <v>213</v>
      </c>
      <c r="G19" s="60" t="str">
        <f>IF(COUNTIFS($C$15:C19,C19,$H$15:H19,H19)=1,
SUMIFS($I$15:$I$49,$C$15:$C$49,C19,$H$15:$H$49,H19)&amp;H19&amp;" "&amp;C19,
"")</f>
        <v/>
      </c>
      <c r="H19" s="58" t="s">
        <v>22</v>
      </c>
      <c r="I19" s="61">
        <v>1</v>
      </c>
      <c r="J19" s="158"/>
      <c r="K19" s="158" cm="1">
        <f t="array" ref="K19">IF(E19="untrim",_xlfn.XLOOKUP(1,(TRIM('SIZE GUIDE'!$A$3:$A$2015)=TRIM(E19))*(TRIM('SIZE GUIDE'!$B$3:$B$2015)=TRIM(F19))*(TRIM('SIZE GUIDE'!$C$3:$C$2015)=TRIM(H19)),'SIZE GUIDE'!$D$3:$D$2015),"")</f>
        <v>108</v>
      </c>
      <c r="L19" s="168" cm="1">
        <f t="array" ref="L19">IF(E19="untrim",IFERROR(INDEX('SIZE GUIDE'!$E:$E,MATCH(1,('SIZE GUIDE'!$A:$A=$E19)*('SIZE GUIDE'!$B:$B=$F19)*('SIZE GUIDE'!$C:$C=$H19),0)),""),"")</f>
        <v>81</v>
      </c>
      <c r="M19" s="158">
        <v>38</v>
      </c>
      <c r="N19" s="65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65" t="str" cm="1">
        <f t="array" ref="O19">IF(E19="trim",IFERROR(INDEX('SIZE GUIDE'!$E:$E,MATCH(1,('SIZE GUIDE'!$A:$A=$E19)*('SIZE GUIDE'!$B:$B=$F19)*('SIZE GUIDE'!$C:$C=$H19),0)),""),"")</f>
        <v/>
      </c>
      <c r="P19" s="65"/>
      <c r="Q19" s="59">
        <f t="shared" si="3"/>
        <v>108</v>
      </c>
      <c r="R19" s="130">
        <f t="shared" si="3"/>
        <v>81</v>
      </c>
      <c r="S19" s="59">
        <f t="shared" si="0"/>
        <v>37.5</v>
      </c>
      <c r="T19" s="93">
        <f t="shared" si="1"/>
        <v>2278.125</v>
      </c>
      <c r="U19" s="94">
        <v>0.21179999999999999</v>
      </c>
      <c r="V19" s="95">
        <f t="shared" si="4"/>
        <v>482.50687499999998</v>
      </c>
      <c r="W19" s="102" t="str">
        <f>IF(COUNTIF($C$15:C19,C19)=1,C19 &amp; " - " &amp; TEXT(SUMIF($C:$C,C19,$T:$T),"0.00"),"")</f>
        <v/>
      </c>
      <c r="X19" s="103" t="str">
        <f>IF(COUNTIF($C$15:C19,C19)=1,ROUND(SUMIF($C:$C,C19,$V:$V),2), "")</f>
        <v/>
      </c>
    </row>
    <row r="20" spans="1:24" s="17" customFormat="1" ht="36" customHeight="1" x14ac:dyDescent="0.2">
      <c r="A20" s="57">
        <f t="shared" si="2"/>
        <v>6</v>
      </c>
      <c r="B20" s="57" t="str" cm="1">
        <f t="array" ref="B20">_xlfn.LET(_xlpm.r,_xlfn.XLOOKUP(1,
(TRIM(CODE_PRICE!$A$4:$A$2003)=TRIM($C$4))*
(TRIM(CODE_PRICE!$B$4:$B$2003)=TRIM(C20)),
CODE_PRICE!$C$4:$C$2003,
""),
IF(OR(_xlpm.r="",_xlpm.r=0),"",_xlpm.r))</f>
        <v/>
      </c>
      <c r="C20" s="57" t="s">
        <v>89</v>
      </c>
      <c r="D20" s="58" t="str">
        <f>_xlfn.XLOOKUP(B20,CODE_PRICE!C:C,CODE_PRICE!D:D,"")</f>
        <v/>
      </c>
      <c r="E20" s="58" t="s">
        <v>11</v>
      </c>
      <c r="F20" s="59" t="s">
        <v>213</v>
      </c>
      <c r="G20" s="60" t="str">
        <f>IF(COUNTIFS($C$15:C20,C20,$H$15:H20,H20)=1,
SUMIFS($I$15:$I$49,$C$15:$C$49,C20,$H$15:$H$49,H20)&amp;H20&amp;" "&amp;C20,
"")</f>
        <v/>
      </c>
      <c r="H20" s="58" t="s">
        <v>22</v>
      </c>
      <c r="I20" s="61">
        <v>1</v>
      </c>
      <c r="J20" s="158"/>
      <c r="K20" s="158" cm="1">
        <f t="array" ref="K20">IF(E20="untrim",_xlfn.XLOOKUP(1,(TRIM('SIZE GUIDE'!$A$3:$A$2015)=TRIM(E20))*(TRIM('SIZE GUIDE'!$B$3:$B$2015)=TRIM(F20))*(TRIM('SIZE GUIDE'!$C$3:$C$2015)=TRIM(H20)),'SIZE GUIDE'!$D$3:$D$2015),"")</f>
        <v>108</v>
      </c>
      <c r="L20" s="168" cm="1">
        <f t="array" ref="L20">IF(E20="untrim",IFERROR(INDEX('SIZE GUIDE'!$E:$E,MATCH(1,('SIZE GUIDE'!$A:$A=$E20)*('SIZE GUIDE'!$B:$B=$F20)*('SIZE GUIDE'!$C:$C=$H20),0)),""),"")</f>
        <v>81</v>
      </c>
      <c r="M20" s="158">
        <v>34</v>
      </c>
      <c r="N20" s="65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65" t="str" cm="1">
        <f t="array" ref="O20">IF(E20="trim",IFERROR(INDEX('SIZE GUIDE'!$E:$E,MATCH(1,('SIZE GUIDE'!$A:$A=$E20)*('SIZE GUIDE'!$B:$B=$F20)*('SIZE GUIDE'!$C:$C=$H20),0)),""),"")</f>
        <v/>
      </c>
      <c r="P20" s="65"/>
      <c r="Q20" s="59">
        <f t="shared" si="3"/>
        <v>108</v>
      </c>
      <c r="R20" s="130">
        <f t="shared" si="3"/>
        <v>81</v>
      </c>
      <c r="S20" s="59">
        <f t="shared" si="0"/>
        <v>33.5</v>
      </c>
      <c r="T20" s="93">
        <f t="shared" si="1"/>
        <v>2035.125</v>
      </c>
      <c r="U20" s="94">
        <v>0.21179999999999999</v>
      </c>
      <c r="V20" s="95">
        <f t="shared" si="4"/>
        <v>431.03947499999998</v>
      </c>
      <c r="W20" s="102" t="str">
        <f>IF(COUNTIF($C$15:C20,C20)=1,C20 &amp; " - " &amp; TEXT(SUMIF($C:$C,C20,$T:$T),"0.00"),"")</f>
        <v/>
      </c>
      <c r="X20" s="103" t="str">
        <f>IF(COUNTIF($C$15:C20,C20)=1,ROUND(SUMIF($C:$C,C20,$V:$V),2), "")</f>
        <v/>
      </c>
    </row>
    <row r="21" spans="1:24" s="17" customFormat="1" ht="36" customHeight="1" x14ac:dyDescent="0.2">
      <c r="A21" s="57">
        <f t="shared" si="2"/>
        <v>7</v>
      </c>
      <c r="B21" s="57" t="str" cm="1">
        <f t="array" ref="B21">_xlfn.LET(_xlpm.r,_xlfn.XLOOKUP(1,
(TRIM(CODE_PRICE!$A$4:$A$2003)=TRIM($C$4))*
(TRIM(CODE_PRICE!$B$4:$B$2003)=TRIM(C21)),
CODE_PRICE!$C$4:$C$2003,
""),
IF(OR(_xlpm.r="",_xlpm.r=0),"",_xlpm.r))</f>
        <v/>
      </c>
      <c r="C21" s="57" t="s">
        <v>89</v>
      </c>
      <c r="D21" s="58" t="str">
        <f>_xlfn.XLOOKUP(B21,CODE_PRICE!C:C,CODE_PRICE!D:D,"")</f>
        <v/>
      </c>
      <c r="E21" s="58" t="s">
        <v>11</v>
      </c>
      <c r="F21" s="59" t="s">
        <v>213</v>
      </c>
      <c r="G21" s="60" t="str">
        <f>IF(COUNTIFS($C$15:C21,C21,$H$15:H21,H21)=1,
SUMIFS($I$15:$I$49,$C$15:$C$49,C21,$H$15:$H$49,H21)&amp;H21&amp;" "&amp;C21,
"")</f>
        <v/>
      </c>
      <c r="H21" s="58" t="s">
        <v>22</v>
      </c>
      <c r="I21" s="61">
        <v>1</v>
      </c>
      <c r="J21" s="158"/>
      <c r="K21" s="158" cm="1">
        <f t="array" ref="K21">IF(E21="untrim",_xlfn.XLOOKUP(1,(TRIM('SIZE GUIDE'!$A$3:$A$2015)=TRIM(E21))*(TRIM('SIZE GUIDE'!$B$3:$B$2015)=TRIM(F21))*(TRIM('SIZE GUIDE'!$C$3:$C$2015)=TRIM(H21)),'SIZE GUIDE'!$D$3:$D$2015),"")</f>
        <v>108</v>
      </c>
      <c r="L21" s="168" cm="1">
        <f t="array" ref="L21">IF(E21="untrim",IFERROR(INDEX('SIZE GUIDE'!$E:$E,MATCH(1,('SIZE GUIDE'!$A:$A=$E21)*('SIZE GUIDE'!$B:$B=$F21)*('SIZE GUIDE'!$C:$C=$H21),0)),""),"")</f>
        <v>81</v>
      </c>
      <c r="M21" s="158">
        <v>38</v>
      </c>
      <c r="N21" s="65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65" t="str" cm="1">
        <f t="array" ref="O21">IF(E21="trim",IFERROR(INDEX('SIZE GUIDE'!$E:$E,MATCH(1,('SIZE GUIDE'!$A:$A=$E21)*('SIZE GUIDE'!$B:$B=$F21)*('SIZE GUIDE'!$C:$C=$H21),0)),""),"")</f>
        <v/>
      </c>
      <c r="P21" s="65"/>
      <c r="Q21" s="59">
        <f t="shared" si="3"/>
        <v>108</v>
      </c>
      <c r="R21" s="130">
        <f t="shared" si="3"/>
        <v>81</v>
      </c>
      <c r="S21" s="59">
        <f t="shared" si="0"/>
        <v>37.5</v>
      </c>
      <c r="T21" s="93">
        <f t="shared" si="1"/>
        <v>2278.125</v>
      </c>
      <c r="U21" s="94">
        <v>0.21179999999999999</v>
      </c>
      <c r="V21" s="95">
        <f t="shared" si="4"/>
        <v>482.50687499999998</v>
      </c>
      <c r="W21" s="102" t="str">
        <f>IF(COUNTIF($C$15:C21,C21)=1,C21 &amp; " - " &amp; TEXT(SUMIF($C:$C,C21,$T:$T),"0.00"),"")</f>
        <v/>
      </c>
      <c r="X21" s="103" t="str">
        <f>IF(COUNTIF($C$15:C21,C21)=1,ROUND(SUMIF($C:$C,C21,$V:$V),2), "")</f>
        <v/>
      </c>
    </row>
    <row r="22" spans="1:24" s="17" customFormat="1" ht="36" hidden="1" customHeight="1" x14ac:dyDescent="0.2">
      <c r="A22" s="57"/>
      <c r="B22" s="57"/>
      <c r="C22" s="57"/>
      <c r="D22" s="58"/>
      <c r="E22" s="58"/>
      <c r="F22" s="59"/>
      <c r="G22" s="60"/>
      <c r="H22" s="58"/>
      <c r="I22" s="61"/>
      <c r="J22" s="158"/>
      <c r="K22" s="158"/>
      <c r="L22" s="168"/>
      <c r="M22" s="158"/>
      <c r="N22" s="65"/>
      <c r="O22" s="65"/>
      <c r="P22" s="65"/>
      <c r="Q22" s="59"/>
      <c r="R22" s="130"/>
      <c r="S22" s="59"/>
      <c r="T22" s="93"/>
      <c r="U22" s="94"/>
      <c r="V22" s="95"/>
      <c r="W22" s="102"/>
      <c r="X22" s="103"/>
    </row>
    <row r="23" spans="1:24" s="17" customFormat="1" ht="36" hidden="1" customHeight="1" x14ac:dyDescent="0.2">
      <c r="A23" s="57"/>
      <c r="B23" s="57"/>
      <c r="C23" s="57"/>
      <c r="D23" s="58"/>
      <c r="E23" s="58"/>
      <c r="F23" s="59"/>
      <c r="G23" s="60"/>
      <c r="H23" s="58"/>
      <c r="I23" s="61"/>
      <c r="J23" s="158"/>
      <c r="K23" s="158"/>
      <c r="L23" s="168"/>
      <c r="M23" s="158"/>
      <c r="N23" s="65"/>
      <c r="O23" s="65"/>
      <c r="P23" s="65"/>
      <c r="Q23" s="59"/>
      <c r="R23" s="130"/>
      <c r="S23" s="59"/>
      <c r="T23" s="93"/>
      <c r="U23" s="94"/>
      <c r="V23" s="95"/>
      <c r="W23" s="102"/>
      <c r="X23" s="103"/>
    </row>
    <row r="24" spans="1:24" s="17" customFormat="1" ht="36" hidden="1" customHeight="1" x14ac:dyDescent="0.2">
      <c r="A24" s="57"/>
      <c r="B24" s="57"/>
      <c r="C24" s="57"/>
      <c r="D24" s="58"/>
      <c r="E24" s="58"/>
      <c r="F24" s="59"/>
      <c r="G24" s="60"/>
      <c r="H24" s="58"/>
      <c r="I24" s="61"/>
      <c r="J24" s="158"/>
      <c r="K24" s="158"/>
      <c r="L24" s="168"/>
      <c r="M24" s="158"/>
      <c r="N24" s="65"/>
      <c r="O24" s="65"/>
      <c r="P24" s="65"/>
      <c r="Q24" s="59"/>
      <c r="R24" s="130"/>
      <c r="S24" s="59"/>
      <c r="T24" s="93"/>
      <c r="U24" s="94"/>
      <c r="V24" s="95"/>
      <c r="W24" s="102"/>
      <c r="X24" s="103"/>
    </row>
    <row r="25" spans="1:24" s="17" customFormat="1" ht="36" hidden="1" customHeight="1" x14ac:dyDescent="0.2">
      <c r="A25" s="57"/>
      <c r="B25" s="57"/>
      <c r="C25" s="57"/>
      <c r="D25" s="58"/>
      <c r="E25" s="58"/>
      <c r="F25" s="59"/>
      <c r="G25" s="60"/>
      <c r="H25" s="58"/>
      <c r="I25" s="61"/>
      <c r="J25" s="158"/>
      <c r="K25" s="158"/>
      <c r="L25" s="168"/>
      <c r="M25" s="158"/>
      <c r="N25" s="65"/>
      <c r="O25" s="65"/>
      <c r="P25" s="65"/>
      <c r="Q25" s="59"/>
      <c r="R25" s="130"/>
      <c r="S25" s="59"/>
      <c r="T25" s="93"/>
      <c r="U25" s="94"/>
      <c r="V25" s="95"/>
      <c r="W25" s="102"/>
      <c r="X25" s="103"/>
    </row>
    <row r="26" spans="1:24" s="17" customFormat="1" ht="36" hidden="1" customHeight="1" x14ac:dyDescent="0.2">
      <c r="A26" s="57"/>
      <c r="B26" s="57"/>
      <c r="C26" s="57"/>
      <c r="D26" s="58"/>
      <c r="E26" s="58"/>
      <c r="F26" s="59"/>
      <c r="G26" s="60"/>
      <c r="H26" s="58"/>
      <c r="I26" s="61"/>
      <c r="J26" s="158"/>
      <c r="K26" s="158"/>
      <c r="L26" s="168"/>
      <c r="M26" s="158"/>
      <c r="N26" s="65"/>
      <c r="O26" s="65"/>
      <c r="P26" s="65"/>
      <c r="Q26" s="59"/>
      <c r="R26" s="130"/>
      <c r="S26" s="59"/>
      <c r="T26" s="93"/>
      <c r="U26" s="94"/>
      <c r="V26" s="95"/>
      <c r="W26" s="102"/>
      <c r="X26" s="103"/>
    </row>
    <row r="27" spans="1:24" s="17" customFormat="1" ht="36" hidden="1" customHeight="1" x14ac:dyDescent="0.2">
      <c r="A27" s="57"/>
      <c r="B27" s="57"/>
      <c r="C27" s="57"/>
      <c r="D27" s="58"/>
      <c r="E27" s="58"/>
      <c r="F27" s="59"/>
      <c r="G27" s="60"/>
      <c r="H27" s="58"/>
      <c r="I27" s="61"/>
      <c r="J27" s="63"/>
      <c r="K27" s="63"/>
      <c r="L27" s="64"/>
      <c r="M27" s="63"/>
      <c r="N27" s="65"/>
      <c r="O27" s="65"/>
      <c r="P27" s="65"/>
      <c r="Q27" s="66"/>
      <c r="R27" s="59"/>
      <c r="S27" s="59"/>
      <c r="T27" s="93"/>
      <c r="U27" s="94"/>
      <c r="V27" s="95"/>
      <c r="W27" s="102"/>
      <c r="X27" s="103"/>
    </row>
    <row r="28" spans="1:24" s="17" customFormat="1" ht="36" hidden="1" customHeight="1" x14ac:dyDescent="0.2">
      <c r="A28" s="57"/>
      <c r="B28" s="57"/>
      <c r="C28" s="57"/>
      <c r="D28" s="58"/>
      <c r="E28" s="58"/>
      <c r="F28" s="59"/>
      <c r="G28" s="60"/>
      <c r="H28" s="58"/>
      <c r="I28" s="61"/>
      <c r="J28" s="63"/>
      <c r="K28" s="63"/>
      <c r="L28" s="64"/>
      <c r="M28" s="63"/>
      <c r="N28" s="65"/>
      <c r="O28" s="65"/>
      <c r="P28" s="65"/>
      <c r="Q28" s="66"/>
      <c r="R28" s="59"/>
      <c r="S28" s="59"/>
      <c r="T28" s="93"/>
      <c r="U28" s="94"/>
      <c r="V28" s="95"/>
      <c r="W28" s="102"/>
      <c r="X28" s="103"/>
    </row>
    <row r="29" spans="1:24" s="17" customFormat="1" ht="36" hidden="1" customHeight="1" x14ac:dyDescent="0.2">
      <c r="A29" s="57"/>
      <c r="B29" s="57"/>
      <c r="C29" s="57"/>
      <c r="D29" s="58"/>
      <c r="E29" s="58"/>
      <c r="F29" s="59"/>
      <c r="G29" s="60"/>
      <c r="H29" s="58"/>
      <c r="I29" s="61"/>
      <c r="J29" s="63"/>
      <c r="K29" s="63"/>
      <c r="L29" s="64"/>
      <c r="M29" s="63"/>
      <c r="N29" s="65"/>
      <c r="O29" s="65"/>
      <c r="P29" s="65"/>
      <c r="Q29" s="66"/>
      <c r="R29" s="59"/>
      <c r="S29" s="59"/>
      <c r="T29" s="93"/>
      <c r="U29" s="99"/>
      <c r="V29" s="95"/>
      <c r="W29" s="102"/>
      <c r="X29" s="103"/>
    </row>
    <row r="30" spans="1:24" s="17" customFormat="1" ht="36" hidden="1" customHeight="1" x14ac:dyDescent="0.2">
      <c r="A30" s="57"/>
      <c r="B30" s="57"/>
      <c r="C30" s="57"/>
      <c r="D30" s="58"/>
      <c r="E30" s="58"/>
      <c r="F30" s="59"/>
      <c r="G30" s="60"/>
      <c r="H30" s="58"/>
      <c r="I30" s="61"/>
      <c r="J30" s="63"/>
      <c r="K30" s="63"/>
      <c r="L30" s="64"/>
      <c r="M30" s="63"/>
      <c r="N30" s="65"/>
      <c r="O30" s="65"/>
      <c r="P30" s="65"/>
      <c r="Q30" s="66"/>
      <c r="R30" s="59"/>
      <c r="S30" s="59"/>
      <c r="T30" s="93"/>
      <c r="U30" s="99"/>
      <c r="V30" s="95"/>
      <c r="W30" s="102"/>
      <c r="X30" s="103"/>
    </row>
    <row r="31" spans="1:24" s="17" customFormat="1" ht="36" hidden="1" customHeight="1" x14ac:dyDescent="0.2">
      <c r="A31" s="57"/>
      <c r="B31" s="57"/>
      <c r="C31" s="57"/>
      <c r="D31" s="58"/>
      <c r="E31" s="58"/>
      <c r="F31" s="59"/>
      <c r="G31" s="60"/>
      <c r="H31" s="58"/>
      <c r="I31" s="61"/>
      <c r="J31" s="63"/>
      <c r="K31" s="63"/>
      <c r="L31" s="64"/>
      <c r="M31" s="63"/>
      <c r="N31" s="65"/>
      <c r="O31" s="65"/>
      <c r="P31" s="65"/>
      <c r="Q31" s="66"/>
      <c r="R31" s="59"/>
      <c r="S31" s="59"/>
      <c r="T31" s="93"/>
      <c r="U31" s="99"/>
      <c r="V31" s="95"/>
      <c r="W31" s="102"/>
      <c r="X31" s="103"/>
    </row>
    <row r="32" spans="1:24" s="17" customFormat="1" ht="36" hidden="1" customHeight="1" x14ac:dyDescent="0.2">
      <c r="A32" s="57"/>
      <c r="B32" s="57"/>
      <c r="C32" s="57"/>
      <c r="D32" s="58"/>
      <c r="E32" s="58"/>
      <c r="F32" s="59"/>
      <c r="G32" s="60"/>
      <c r="H32" s="58"/>
      <c r="I32" s="61"/>
      <c r="J32" s="63"/>
      <c r="K32" s="63"/>
      <c r="L32" s="64"/>
      <c r="M32" s="63"/>
      <c r="N32" s="65"/>
      <c r="O32" s="65"/>
      <c r="P32" s="65"/>
      <c r="Q32" s="66"/>
      <c r="R32" s="59"/>
      <c r="S32" s="59"/>
      <c r="T32" s="93"/>
      <c r="U32" s="99"/>
      <c r="V32" s="95"/>
      <c r="W32" s="102"/>
      <c r="X32" s="103"/>
    </row>
    <row r="33" spans="1:24" s="17" customFormat="1" ht="36" hidden="1" customHeight="1" x14ac:dyDescent="0.2">
      <c r="A33" s="57"/>
      <c r="B33" s="57"/>
      <c r="C33" s="57"/>
      <c r="D33" s="58"/>
      <c r="E33" s="58"/>
      <c r="F33" s="59"/>
      <c r="G33" s="60"/>
      <c r="H33" s="58"/>
      <c r="I33" s="61"/>
      <c r="J33" s="63"/>
      <c r="K33" s="63"/>
      <c r="L33" s="64"/>
      <c r="M33" s="63"/>
      <c r="N33" s="65"/>
      <c r="O33" s="65"/>
      <c r="P33" s="65"/>
      <c r="Q33" s="66"/>
      <c r="R33" s="59"/>
      <c r="S33" s="59"/>
      <c r="T33" s="93"/>
      <c r="U33" s="99"/>
      <c r="V33" s="95"/>
      <c r="W33" s="102"/>
      <c r="X33" s="103" t="str">
        <f>IF(COUNTIF($C$15:C33,C33)=1,ROUND(SUMIF($C:$C,C33,$V:$V),2), "")</f>
        <v/>
      </c>
    </row>
    <row r="34" spans="1:24" s="17" customFormat="1" ht="36" hidden="1" customHeight="1" x14ac:dyDescent="0.2">
      <c r="A34" s="57"/>
      <c r="B34" s="57"/>
      <c r="C34" s="57"/>
      <c r="D34" s="58"/>
      <c r="E34" s="58"/>
      <c r="F34" s="59"/>
      <c r="G34" s="60"/>
      <c r="H34" s="58"/>
      <c r="I34" s="61"/>
      <c r="J34" s="63"/>
      <c r="K34" s="63"/>
      <c r="L34" s="64"/>
      <c r="M34" s="63"/>
      <c r="N34" s="65"/>
      <c r="O34" s="65"/>
      <c r="P34" s="65"/>
      <c r="Q34" s="66"/>
      <c r="R34" s="59"/>
      <c r="S34" s="59"/>
      <c r="T34" s="93"/>
      <c r="U34" s="99"/>
      <c r="V34" s="95"/>
      <c r="W34" s="102"/>
      <c r="X34" s="103" t="str">
        <f>IF(COUNTIF($C$15:C34,C34)=1,ROUND(SUMIF($C:$C,C34,$V:$V),2), "")</f>
        <v/>
      </c>
    </row>
    <row r="35" spans="1:24" s="17" customFormat="1" ht="36" hidden="1" customHeight="1" x14ac:dyDescent="0.2">
      <c r="A35" s="57"/>
      <c r="B35" s="57"/>
      <c r="C35" s="57"/>
      <c r="D35" s="58"/>
      <c r="E35" s="58"/>
      <c r="F35" s="59"/>
      <c r="G35" s="60"/>
      <c r="H35" s="58"/>
      <c r="I35" s="61"/>
      <c r="J35" s="63"/>
      <c r="K35" s="63"/>
      <c r="L35" s="64"/>
      <c r="M35" s="63"/>
      <c r="N35" s="65"/>
      <c r="O35" s="65"/>
      <c r="P35" s="65"/>
      <c r="Q35" s="66"/>
      <c r="R35" s="59"/>
      <c r="S35" s="59"/>
      <c r="T35" s="93"/>
      <c r="U35" s="99"/>
      <c r="V35" s="95"/>
      <c r="W35" s="102"/>
      <c r="X35" s="103" t="str">
        <f>IF(COUNTIF($C$15:C35,C35)=1,ROUND(SUMIF($C:$C,C35,$V:$V),2), "")</f>
        <v/>
      </c>
    </row>
    <row r="36" spans="1:24" s="17" customFormat="1" ht="36" hidden="1" customHeight="1" x14ac:dyDescent="0.2">
      <c r="A36" s="57"/>
      <c r="B36" s="57"/>
      <c r="C36" s="57"/>
      <c r="D36" s="58"/>
      <c r="E36" s="58"/>
      <c r="F36" s="59"/>
      <c r="G36" s="60"/>
      <c r="H36" s="58"/>
      <c r="I36" s="61"/>
      <c r="J36" s="63"/>
      <c r="K36" s="63"/>
      <c r="L36" s="64"/>
      <c r="M36" s="63"/>
      <c r="N36" s="65"/>
      <c r="O36" s="65"/>
      <c r="P36" s="65"/>
      <c r="Q36" s="66"/>
      <c r="R36" s="59"/>
      <c r="S36" s="59"/>
      <c r="T36" s="93"/>
      <c r="U36" s="99"/>
      <c r="V36" s="95"/>
      <c r="W36" s="102"/>
      <c r="X36" s="103" t="str">
        <f>IF(COUNTIF($C$15:C36,C36)=1,ROUND(SUMIF($C:$C,C36,$V:$V),2), "")</f>
        <v/>
      </c>
    </row>
    <row r="37" spans="1:24" s="17" customFormat="1" ht="41.25" hidden="1" customHeight="1" x14ac:dyDescent="0.2">
      <c r="A37" s="57"/>
      <c r="B37" s="57"/>
      <c r="C37" s="57"/>
      <c r="D37" s="58"/>
      <c r="E37" s="58"/>
      <c r="F37" s="59"/>
      <c r="G37" s="60"/>
      <c r="H37" s="58"/>
      <c r="I37" s="61"/>
      <c r="J37" s="63"/>
      <c r="K37" s="63"/>
      <c r="L37" s="64"/>
      <c r="M37" s="63"/>
      <c r="N37" s="65"/>
      <c r="O37" s="65"/>
      <c r="P37" s="65"/>
      <c r="Q37" s="66"/>
      <c r="R37" s="59"/>
      <c r="S37" s="59"/>
      <c r="T37" s="93"/>
      <c r="U37" s="94"/>
      <c r="V37" s="95"/>
      <c r="W37" s="18"/>
      <c r="X37" s="24" t="str">
        <f>IF(COUNTIF($C$15:C37,C37)=1,ROUND(SUMIF($C:$C,C37,$V:$V),2), "")</f>
        <v/>
      </c>
    </row>
    <row r="38" spans="1:24" s="17" customFormat="1" ht="41.25" hidden="1" customHeight="1" x14ac:dyDescent="0.2">
      <c r="A38" s="57"/>
      <c r="B38" s="57"/>
      <c r="C38" s="57"/>
      <c r="D38" s="58"/>
      <c r="E38" s="58"/>
      <c r="F38" s="59"/>
      <c r="G38" s="60"/>
      <c r="H38" s="58"/>
      <c r="I38" s="61"/>
      <c r="J38" s="63"/>
      <c r="K38" s="63"/>
      <c r="L38" s="64"/>
      <c r="M38" s="63"/>
      <c r="N38" s="65"/>
      <c r="O38" s="65"/>
      <c r="P38" s="65"/>
      <c r="Q38" s="66"/>
      <c r="R38" s="59"/>
      <c r="S38" s="59"/>
      <c r="T38" s="93"/>
      <c r="U38" s="94"/>
      <c r="V38" s="95"/>
      <c r="W38" s="18"/>
      <c r="X38" s="24" t="str">
        <f>IF(COUNTIF($C$15:C38,C38)=1,ROUND(SUMIF($C:$C,C38,$V:$V),2), "")</f>
        <v/>
      </c>
    </row>
    <row r="39" spans="1:24" s="17" customFormat="1" ht="41.25" hidden="1" customHeight="1" x14ac:dyDescent="0.2">
      <c r="A39" s="57"/>
      <c r="B39" s="57"/>
      <c r="C39" s="57"/>
      <c r="D39" s="58"/>
      <c r="E39" s="58"/>
      <c r="F39" s="59"/>
      <c r="G39" s="60"/>
      <c r="H39" s="58"/>
      <c r="I39" s="61"/>
      <c r="J39" s="63"/>
      <c r="K39" s="63"/>
      <c r="L39" s="64"/>
      <c r="M39" s="63"/>
      <c r="N39" s="65"/>
      <c r="O39" s="65"/>
      <c r="P39" s="65"/>
      <c r="Q39" s="66"/>
      <c r="R39" s="59"/>
      <c r="S39" s="59"/>
      <c r="T39" s="93"/>
      <c r="U39" s="94"/>
      <c r="V39" s="95"/>
      <c r="W39" s="18"/>
      <c r="X39" s="24" t="str">
        <f>IF(COUNTIF($C$15:C39,C39)=1,ROUND(SUMIF($C:$C,C39,$V:$V),2), "")</f>
        <v/>
      </c>
    </row>
    <row r="40" spans="1:24" s="17" customFormat="1" ht="41.25" hidden="1" customHeight="1" x14ac:dyDescent="0.2">
      <c r="A40" s="57"/>
      <c r="B40" s="57"/>
      <c r="C40" s="57"/>
      <c r="D40" s="58"/>
      <c r="E40" s="58"/>
      <c r="F40" s="59"/>
      <c r="G40" s="60"/>
      <c r="H40" s="58"/>
      <c r="I40" s="61"/>
      <c r="J40" s="63"/>
      <c r="K40" s="63"/>
      <c r="L40" s="64"/>
      <c r="M40" s="63"/>
      <c r="N40" s="65"/>
      <c r="O40" s="65"/>
      <c r="P40" s="65"/>
      <c r="Q40" s="66"/>
      <c r="R40" s="59"/>
      <c r="S40" s="59"/>
      <c r="T40" s="93"/>
      <c r="U40" s="94"/>
      <c r="V40" s="95"/>
      <c r="W40" s="18"/>
      <c r="X40" s="24" t="str">
        <f>IF(COUNTIF($C$15:C40,C40)=1,ROUND(SUMIF($C:$C,C40,$V:$V),2), "")</f>
        <v/>
      </c>
    </row>
    <row r="41" spans="1:24" s="17" customFormat="1" ht="41.25" hidden="1" customHeight="1" x14ac:dyDescent="0.2">
      <c r="A41" s="57"/>
      <c r="B41" s="57"/>
      <c r="C41" s="57"/>
      <c r="D41" s="58"/>
      <c r="E41" s="58"/>
      <c r="F41" s="59"/>
      <c r="G41" s="60"/>
      <c r="H41" s="58"/>
      <c r="I41" s="61"/>
      <c r="J41" s="63"/>
      <c r="K41" s="63"/>
      <c r="L41" s="64"/>
      <c r="M41" s="63"/>
      <c r="N41" s="65" t="str" cm="1">
        <f t="array" ref="N41">IF(E41="trim",_xlfn.XLOOKUP(1,(TRIM('SIZE GUIDE'!$A$3:$A$2015)=TRIM(E41))*(TRIM('SIZE GUIDE'!$B$3:$B$2015)=TRIM(F41))*(TRIM('SIZE GUIDE'!$C$3:$C$2015)=TRIM(H41)),'SIZE GUIDE'!$D$3:$D$2015),"")</f>
        <v/>
      </c>
      <c r="O41" s="65" t="str" cm="1">
        <f t="array" ref="O41">IF(E41="trim",IFERROR(INDEX('SIZE GUIDE'!$E:$E,MATCH(1,('SIZE GUIDE'!$A:$A=$E41)*('SIZE GUIDE'!$B:$B=$F41)*('SIZE GUIDE'!$C:$C=$H41),0)),""),"")</f>
        <v/>
      </c>
      <c r="P41" s="65"/>
      <c r="Q41" s="66" t="str">
        <f>IF(E41="untrim",K41-1,N41)</f>
        <v/>
      </c>
      <c r="R41" s="59" t="str">
        <f>IF(E41="untrim",L41-1,O41)</f>
        <v/>
      </c>
      <c r="S41" s="59"/>
      <c r="T41" s="93" t="str">
        <f t="shared" ref="T41:T49" si="5">IFERROR(Q41*R41*S41/144*I41,"")</f>
        <v/>
      </c>
      <c r="U41" s="94"/>
      <c r="V41" s="95"/>
      <c r="W41" s="18"/>
      <c r="X41" s="24" t="str">
        <f>IF(COUNTIF($C$15:C41,C41)=1,ROUND(SUMIF($C:$C,C41,$V:$V),2), "")</f>
        <v/>
      </c>
    </row>
    <row r="42" spans="1:24" s="17" customFormat="1" ht="41.25" hidden="1" customHeight="1" x14ac:dyDescent="0.2">
      <c r="A42" s="57"/>
      <c r="B42" s="57"/>
      <c r="C42" s="57"/>
      <c r="D42" s="58"/>
      <c r="E42" s="58"/>
      <c r="F42" s="59"/>
      <c r="G42" s="60"/>
      <c r="H42" s="58"/>
      <c r="I42" s="61"/>
      <c r="J42" s="63"/>
      <c r="K42" s="63" t="str" cm="1">
        <f t="array" ref="K42">IF(E42="untrim",_xlfn.XLOOKUP(1,(TRIM('SIZE GUIDE'!$A$3:$A$2015)=TRIM(E42))*(TRIM('SIZE GUIDE'!$B$3:$B$2015)=TRIM(F42))*(TRIM('SIZE GUIDE'!$C$3:$C$2015)=TRIM(H42)),'SIZE GUIDE'!$D$3:$D$2015),"")</f>
        <v/>
      </c>
      <c r="L42" s="64"/>
      <c r="M42" s="63"/>
      <c r="N42" s="65" t="str" cm="1">
        <f t="array" ref="N42">IF(E42="trim",_xlfn.XLOOKUP(1,(TRIM('SIZE GUIDE'!$A$3:$A$2015)=TRIM(E42))*(TRIM('SIZE GUIDE'!$B$3:$B$2015)=TRIM(F42))*(TRIM('SIZE GUIDE'!$C$3:$C$2015)=TRIM(H42)),'SIZE GUIDE'!$D$3:$D$2015),"")</f>
        <v/>
      </c>
      <c r="O42" s="65" t="str" cm="1">
        <f t="array" ref="O42">IF(E42="trim",IFERROR(INDEX('SIZE GUIDE'!$E:$E,MATCH(1,('SIZE GUIDE'!$A:$A=$E42)*('SIZE GUIDE'!$B:$B=$F42)*('SIZE GUIDE'!$C:$C=$H42),0)),""),"")</f>
        <v/>
      </c>
      <c r="P42" s="65"/>
      <c r="Q42" s="66" t="str">
        <f t="shared" ref="Q42:Q49" si="6">IF(E42="untrim",K42-1.5,N42)</f>
        <v/>
      </c>
      <c r="R42" s="59"/>
      <c r="S42" s="59"/>
      <c r="T42" s="93" t="str">
        <f t="shared" si="5"/>
        <v/>
      </c>
      <c r="U42" s="94"/>
      <c r="V42" s="95"/>
      <c r="W42" s="18"/>
      <c r="X42" s="24" t="str">
        <f>IF(COUNTIF($C$15:C42,C42)=1,ROUND(SUMIF($C:$C,C42,$V:$V),2), "")</f>
        <v/>
      </c>
    </row>
    <row r="43" spans="1:24" s="17" customFormat="1" ht="41.25" hidden="1" customHeight="1" x14ac:dyDescent="0.2">
      <c r="A43" s="57"/>
      <c r="B43" s="57"/>
      <c r="C43" s="57"/>
      <c r="D43" s="58"/>
      <c r="E43" s="58"/>
      <c r="F43" s="59"/>
      <c r="G43" s="60"/>
      <c r="H43" s="58"/>
      <c r="I43" s="61"/>
      <c r="J43" s="63"/>
      <c r="K43" s="63" t="str" cm="1">
        <f t="array" ref="K43">IF(E43="untrim",_xlfn.XLOOKUP(1,(TRIM('SIZE GUIDE'!$A$3:$A$2015)=TRIM(E43))*(TRIM('SIZE GUIDE'!$B$3:$B$2015)=TRIM(F43))*(TRIM('SIZE GUIDE'!$C$3:$C$2015)=TRIM(H43)),'SIZE GUIDE'!$D$3:$D$2015),"")</f>
        <v/>
      </c>
      <c r="L43" s="64"/>
      <c r="M43" s="63"/>
      <c r="N43" s="65" t="str" cm="1">
        <f t="array" ref="N43">IF(E43="trim",_xlfn.XLOOKUP(1,(TRIM('SIZE GUIDE'!$A$3:$A$2015)=TRIM(E43))*(TRIM('SIZE GUIDE'!$B$3:$B$2015)=TRIM(F43))*(TRIM('SIZE GUIDE'!$C$3:$C$2015)=TRIM(H43)),'SIZE GUIDE'!$D$3:$D$2015),"")</f>
        <v/>
      </c>
      <c r="O43" s="65" t="str" cm="1">
        <f t="array" ref="O43">IF(E43="trim",IFERROR(INDEX('SIZE GUIDE'!$E:$E,MATCH(1,('SIZE GUIDE'!$A:$A=$E43)*('SIZE GUIDE'!$B:$B=$F43)*('SIZE GUIDE'!$C:$C=$H43),0)),""),"")</f>
        <v/>
      </c>
      <c r="P43" s="65"/>
      <c r="Q43" s="66" t="str">
        <f t="shared" si="6"/>
        <v/>
      </c>
      <c r="R43" s="59"/>
      <c r="S43" s="59"/>
      <c r="T43" s="93" t="str">
        <f t="shared" si="5"/>
        <v/>
      </c>
      <c r="U43" s="94"/>
      <c r="V43" s="95"/>
      <c r="W43" s="18"/>
      <c r="X43" s="24" t="str">
        <f>IF(COUNTIF($C$15:C43,C43)=1,ROUND(SUMIF($C:$C,C43,$V:$V),2), "")</f>
        <v/>
      </c>
    </row>
    <row r="44" spans="1:24" s="17" customFormat="1" ht="41.25" hidden="1" customHeight="1" x14ac:dyDescent="0.2">
      <c r="A44" s="57"/>
      <c r="B44" s="57"/>
      <c r="C44" s="57"/>
      <c r="D44" s="58"/>
      <c r="E44" s="58"/>
      <c r="F44" s="59"/>
      <c r="G44" s="60"/>
      <c r="H44" s="58"/>
      <c r="I44" s="61"/>
      <c r="J44" s="63"/>
      <c r="K44" s="63" t="str" cm="1">
        <f t="array" ref="K44">IF(E44="untrim",_xlfn.XLOOKUP(1,(TRIM('SIZE GUIDE'!$A$3:$A$2015)=TRIM(E44))*(TRIM('SIZE GUIDE'!$B$3:$B$2015)=TRIM(F44))*(TRIM('SIZE GUIDE'!$C$3:$C$2015)=TRIM(H44)),'SIZE GUIDE'!$D$3:$D$2015),"")</f>
        <v/>
      </c>
      <c r="L44" s="64"/>
      <c r="M44" s="63"/>
      <c r="N44" s="65" t="str" cm="1">
        <f t="array" ref="N44">IF(E44="trim",_xlfn.XLOOKUP(1,(TRIM('SIZE GUIDE'!$A$3:$A$2015)=TRIM(E44))*(TRIM('SIZE GUIDE'!$B$3:$B$2015)=TRIM(F44))*(TRIM('SIZE GUIDE'!$C$3:$C$2015)=TRIM(H44)),'SIZE GUIDE'!$D$3:$D$2015),"")</f>
        <v/>
      </c>
      <c r="O44" s="65" t="str" cm="1">
        <f t="array" ref="O44">IF(E44="trim",IFERROR(INDEX('SIZE GUIDE'!$E:$E,MATCH(1,('SIZE GUIDE'!$A:$A=$E44)*('SIZE GUIDE'!$B:$B=$F44)*('SIZE GUIDE'!$C:$C=$H44),0)),""),"")</f>
        <v/>
      </c>
      <c r="P44" s="65"/>
      <c r="Q44" s="66" t="str">
        <f t="shared" si="6"/>
        <v/>
      </c>
      <c r="R44" s="59"/>
      <c r="S44" s="59"/>
      <c r="T44" s="93" t="str">
        <f t="shared" si="5"/>
        <v/>
      </c>
      <c r="U44" s="94"/>
      <c r="V44" s="95"/>
      <c r="W44" s="18"/>
      <c r="X44" s="24" t="str">
        <f>IF(COUNTIF($C$15:C44,C44)=1,ROUND(SUMIF($C:$C,C44,$V:$V),2), "")</f>
        <v/>
      </c>
    </row>
    <row r="45" spans="1:24" s="17" customFormat="1" ht="41.25" hidden="1" customHeight="1" x14ac:dyDescent="0.2">
      <c r="A45" s="57"/>
      <c r="B45" s="57"/>
      <c r="C45" s="57"/>
      <c r="D45" s="58"/>
      <c r="E45" s="58"/>
      <c r="F45" s="59"/>
      <c r="G45" s="60"/>
      <c r="H45" s="58"/>
      <c r="I45" s="61"/>
      <c r="J45" s="63"/>
      <c r="K45" s="63" t="str" cm="1">
        <f t="array" ref="K45">IF(E45="untrim",_xlfn.XLOOKUP(1,(TRIM('SIZE GUIDE'!$A$3:$A$2015)=TRIM(E45))*(TRIM('SIZE GUIDE'!$B$3:$B$2015)=TRIM(F45))*(TRIM('SIZE GUIDE'!$C$3:$C$2015)=TRIM(H45)),'SIZE GUIDE'!$D$3:$D$2015),"")</f>
        <v/>
      </c>
      <c r="L45" s="64"/>
      <c r="M45" s="63"/>
      <c r="N45" s="65" t="str" cm="1">
        <f t="array" ref="N45">IF(E45="trim",_xlfn.XLOOKUP(1,(TRIM('SIZE GUIDE'!$A$3:$A$2015)=TRIM(E45))*(TRIM('SIZE GUIDE'!$B$3:$B$2015)=TRIM(F45))*(TRIM('SIZE GUIDE'!$C$3:$C$2015)=TRIM(H45)),'SIZE GUIDE'!$D$3:$D$2015),"")</f>
        <v/>
      </c>
      <c r="O45" s="65" t="str" cm="1">
        <f t="array" ref="O45">IF(E45="trim",IFERROR(INDEX('SIZE GUIDE'!$E:$E,MATCH(1,('SIZE GUIDE'!$A:$A=$E45)*('SIZE GUIDE'!$B:$B=$F45)*('SIZE GUIDE'!$C:$C=$H45),0)),""),"")</f>
        <v/>
      </c>
      <c r="P45" s="65"/>
      <c r="Q45" s="66" t="str">
        <f t="shared" si="6"/>
        <v/>
      </c>
      <c r="R45" s="59"/>
      <c r="S45" s="59"/>
      <c r="T45" s="93" t="str">
        <f t="shared" si="5"/>
        <v/>
      </c>
      <c r="U45" s="94"/>
      <c r="V45" s="95"/>
      <c r="W45" s="18"/>
      <c r="X45" s="24" t="str">
        <f>IF(COUNTIF($C$15:C45,C45)=1,ROUND(SUMIF($C:$C,C45,$V:$V),2), "")</f>
        <v/>
      </c>
    </row>
    <row r="46" spans="1:24" s="17" customFormat="1" ht="41.25" hidden="1" customHeight="1" x14ac:dyDescent="0.2">
      <c r="A46" s="57"/>
      <c r="B46" s="57"/>
      <c r="C46" s="57"/>
      <c r="D46" s="58"/>
      <c r="E46" s="58"/>
      <c r="F46" s="59"/>
      <c r="G46" s="60"/>
      <c r="H46" s="58"/>
      <c r="I46" s="61"/>
      <c r="J46" s="63"/>
      <c r="K46" s="63" t="str" cm="1">
        <f t="array" ref="K46">IF(E46="untrim",_xlfn.XLOOKUP(1,(TRIM('SIZE GUIDE'!$A$3:$A$2015)=TRIM(E46))*(TRIM('SIZE GUIDE'!$B$3:$B$2015)=TRIM(F46))*(TRIM('SIZE GUIDE'!$C$3:$C$2015)=TRIM(H46)),'SIZE GUIDE'!$D$3:$D$2015),"")</f>
        <v/>
      </c>
      <c r="L46" s="64"/>
      <c r="M46" s="63"/>
      <c r="N46" s="65" t="str" cm="1">
        <f t="array" ref="N46">IF(E46="trim",_xlfn.XLOOKUP(1,(TRIM('SIZE GUIDE'!$A$3:$A$2015)=TRIM(E46))*(TRIM('SIZE GUIDE'!$B$3:$B$2015)=TRIM(F46))*(TRIM('SIZE GUIDE'!$C$3:$C$2015)=TRIM(H46)),'SIZE GUIDE'!$D$3:$D$2015),"")</f>
        <v/>
      </c>
      <c r="O46" s="65" t="str" cm="1">
        <f t="array" ref="O46">IF(E46="trim",IFERROR(INDEX('SIZE GUIDE'!$E:$E,MATCH(1,('SIZE GUIDE'!$A:$A=$E46)*('SIZE GUIDE'!$B:$B=$F46)*('SIZE GUIDE'!$C:$C=$H46),0)),""),"")</f>
        <v/>
      </c>
      <c r="P46" s="65"/>
      <c r="Q46" s="66" t="str">
        <f t="shared" si="6"/>
        <v/>
      </c>
      <c r="R46" s="59"/>
      <c r="S46" s="59"/>
      <c r="T46" s="93" t="str">
        <f t="shared" si="5"/>
        <v/>
      </c>
      <c r="U46" s="94"/>
      <c r="V46" s="95"/>
      <c r="W46" s="18"/>
      <c r="X46" s="24" t="str">
        <f>IF(COUNTIF($C$15:C46,C46)=1,ROUND(SUMIF($C:$C,C46,$V:$V),2), "")</f>
        <v/>
      </c>
    </row>
    <row r="47" spans="1:24" s="17" customFormat="1" ht="41.25" hidden="1" customHeight="1" x14ac:dyDescent="0.2">
      <c r="A47" s="57"/>
      <c r="B47" s="57"/>
      <c r="C47" s="57"/>
      <c r="D47" s="58"/>
      <c r="E47" s="58"/>
      <c r="F47" s="59"/>
      <c r="G47" s="60"/>
      <c r="H47" s="58"/>
      <c r="I47" s="61"/>
      <c r="J47" s="63"/>
      <c r="K47" s="63" t="str" cm="1">
        <f t="array" ref="K47">IF(E47="untrim",_xlfn.XLOOKUP(1,(TRIM('SIZE GUIDE'!$A$3:$A$2015)=TRIM(E47))*(TRIM('SIZE GUIDE'!$B$3:$B$2015)=TRIM(F47))*(TRIM('SIZE GUIDE'!$C$3:$C$2015)=TRIM(H47)),'SIZE GUIDE'!$D$3:$D$2015),"")</f>
        <v/>
      </c>
      <c r="L47" s="64"/>
      <c r="M47" s="63"/>
      <c r="N47" s="65" t="str" cm="1">
        <f t="array" ref="N47">IF(E47="trim",_xlfn.XLOOKUP(1,(TRIM('SIZE GUIDE'!$A$3:$A$2015)=TRIM(E47))*(TRIM('SIZE GUIDE'!$B$3:$B$2015)=TRIM(F47))*(TRIM('SIZE GUIDE'!$C$3:$C$2015)=TRIM(H47)),'SIZE GUIDE'!$D$3:$D$2015),"")</f>
        <v/>
      </c>
      <c r="O47" s="65" t="str" cm="1">
        <f t="array" ref="O47">IF(E47="trim",IFERROR(INDEX('SIZE GUIDE'!$E:$E,MATCH(1,('SIZE GUIDE'!$A:$A=$E47)*('SIZE GUIDE'!$B:$B=$F47)*('SIZE GUIDE'!$C:$C=$H47),0)),""),"")</f>
        <v/>
      </c>
      <c r="P47" s="65"/>
      <c r="Q47" s="66" t="str">
        <f t="shared" si="6"/>
        <v/>
      </c>
      <c r="R47" s="59"/>
      <c r="S47" s="59"/>
      <c r="T47" s="93" t="str">
        <f t="shared" si="5"/>
        <v/>
      </c>
      <c r="U47" s="94"/>
      <c r="V47" s="95"/>
      <c r="W47" s="18"/>
      <c r="X47" s="24" t="str">
        <f>IF(COUNTIF($C$15:C47,C47)=1,ROUND(SUMIF($C:$C,C47,$V:$V),2), "")</f>
        <v/>
      </c>
    </row>
    <row r="48" spans="1:24" s="17" customFormat="1" ht="41.25" hidden="1" customHeight="1" x14ac:dyDescent="0.2">
      <c r="A48" s="57"/>
      <c r="B48" s="57"/>
      <c r="C48" s="57"/>
      <c r="D48" s="58"/>
      <c r="E48" s="58"/>
      <c r="F48" s="59"/>
      <c r="G48" s="60"/>
      <c r="H48" s="58"/>
      <c r="I48" s="61"/>
      <c r="J48" s="63"/>
      <c r="K48" s="63" t="str" cm="1">
        <f t="array" ref="K48">IF(E48="untrim",_xlfn.XLOOKUP(1,(TRIM('SIZE GUIDE'!$A$3:$A$2015)=TRIM(E48))*(TRIM('SIZE GUIDE'!$B$3:$B$2015)=TRIM(F48))*(TRIM('SIZE GUIDE'!$C$3:$C$2015)=TRIM(H48)),'SIZE GUIDE'!$D$3:$D$2015),"")</f>
        <v/>
      </c>
      <c r="L48" s="64"/>
      <c r="M48" s="63"/>
      <c r="N48" s="65" t="str" cm="1">
        <f t="array" ref="N48">IF(E48="trim",_xlfn.XLOOKUP(1,(TRIM('SIZE GUIDE'!$A$3:$A$2015)=TRIM(E48))*(TRIM('SIZE GUIDE'!$B$3:$B$2015)=TRIM(F48))*(TRIM('SIZE GUIDE'!$C$3:$C$2015)=TRIM(H48)),'SIZE GUIDE'!$D$3:$D$2015),"")</f>
        <v/>
      </c>
      <c r="O48" s="65" t="str" cm="1">
        <f t="array" ref="O48">IF(E48="trim",IFERROR(INDEX('SIZE GUIDE'!$E:$E,MATCH(1,('SIZE GUIDE'!$A:$A=$E48)*('SIZE GUIDE'!$B:$B=$F48)*('SIZE GUIDE'!$C:$C=$H48),0)),""),"")</f>
        <v/>
      </c>
      <c r="P48" s="65"/>
      <c r="Q48" s="66" t="str">
        <f t="shared" si="6"/>
        <v/>
      </c>
      <c r="R48" s="59"/>
      <c r="S48" s="59"/>
      <c r="T48" s="93" t="str">
        <f t="shared" si="5"/>
        <v/>
      </c>
      <c r="U48" s="94"/>
      <c r="V48" s="95"/>
      <c r="W48" s="18"/>
      <c r="X48" s="24" t="str">
        <f>IF(COUNTIF($C$15:C48,C48)=1,ROUND(SUMIF($C:$C,C48,$V:$V),2), "")</f>
        <v/>
      </c>
    </row>
    <row r="49" spans="1:25" s="17" customFormat="1" ht="41.25" hidden="1" customHeight="1" x14ac:dyDescent="0.2">
      <c r="A49" s="57"/>
      <c r="B49" s="57"/>
      <c r="C49" s="57"/>
      <c r="D49" s="58"/>
      <c r="E49" s="58"/>
      <c r="F49" s="59"/>
      <c r="G49" s="60"/>
      <c r="H49" s="58"/>
      <c r="I49" s="61"/>
      <c r="J49" s="63"/>
      <c r="K49" s="63" t="str" cm="1">
        <f t="array" ref="K49">IF(E49="untrim",_xlfn.XLOOKUP(1,(TRIM('SIZE GUIDE'!$A$3:$A$2015)=TRIM(E49))*(TRIM('SIZE GUIDE'!$B$3:$B$2015)=TRIM(F49))*(TRIM('SIZE GUIDE'!$C$3:$C$2015)=TRIM(H49)),'SIZE GUIDE'!$D$3:$D$2015),"")</f>
        <v/>
      </c>
      <c r="L49" s="64"/>
      <c r="M49" s="63"/>
      <c r="N49" s="65" t="str" cm="1">
        <f t="array" ref="N49">IF(E49="trim",_xlfn.XLOOKUP(1,(TRIM('SIZE GUIDE'!$A$3:$A$2015)=TRIM(E49))*(TRIM('SIZE GUIDE'!$B$3:$B$2015)=TRIM(F49))*(TRIM('SIZE GUIDE'!$C$3:$C$2015)=TRIM(H49)),'SIZE GUIDE'!$D$3:$D$2015),"")</f>
        <v/>
      </c>
      <c r="O49" s="65" t="str" cm="1">
        <f t="array" ref="O49">IF(E49="trim",IFERROR(INDEX('SIZE GUIDE'!$E:$E,MATCH(1,('SIZE GUIDE'!$A:$A=$E49)*('SIZE GUIDE'!$B:$B=$F49)*('SIZE GUIDE'!$C:$C=$H49),0)),""),"")</f>
        <v/>
      </c>
      <c r="P49" s="65"/>
      <c r="Q49" s="66" t="str">
        <f t="shared" si="6"/>
        <v/>
      </c>
      <c r="R49" s="59"/>
      <c r="S49" s="59"/>
      <c r="T49" s="93" t="str">
        <f t="shared" si="5"/>
        <v/>
      </c>
      <c r="U49" s="94"/>
      <c r="V49" s="95"/>
      <c r="W49" s="18"/>
      <c r="X49" s="24" t="str">
        <f>IF(COUNTIF($C$15:C49,C49)=1,ROUND(SUMIF($C:$C,C49,$V:$V),2), "")</f>
        <v/>
      </c>
    </row>
    <row r="50" spans="1:25" s="17" customFormat="1" ht="41.25" customHeight="1" thickBot="1" x14ac:dyDescent="0.25">
      <c r="A50" s="53"/>
      <c r="B50" s="53"/>
      <c r="C50" s="53"/>
      <c r="D50" s="53"/>
      <c r="E50" s="67"/>
      <c r="F50" s="68"/>
      <c r="G50" s="68"/>
      <c r="H50" s="69" t="s">
        <v>155</v>
      </c>
      <c r="I50" s="70">
        <f>SUM(I15:I49)</f>
        <v>7</v>
      </c>
      <c r="J50" s="55"/>
      <c r="K50" s="55"/>
      <c r="L50" s="55"/>
      <c r="M50" s="55"/>
      <c r="N50" s="56"/>
      <c r="O50" s="56"/>
      <c r="P50" s="122"/>
      <c r="Q50" s="67"/>
      <c r="R50" s="67"/>
      <c r="S50" s="67"/>
      <c r="T50" s="96">
        <f>SUM(T15:T49)</f>
        <v>14124.375</v>
      </c>
      <c r="U50" s="97"/>
      <c r="V50" s="92">
        <f>SUM(V15:V49)</f>
        <v>2991.542625</v>
      </c>
      <c r="W50" s="109">
        <f>T50</f>
        <v>14124.375</v>
      </c>
      <c r="X50" s="104">
        <f>SUM(X15:X49)</f>
        <v>2991.54</v>
      </c>
    </row>
    <row r="51" spans="1:25" s="17" customFormat="1" ht="41.25" customHeight="1" x14ac:dyDescent="0.2">
      <c r="A51" s="57"/>
      <c r="B51" s="71"/>
      <c r="C51" s="71"/>
      <c r="D51" s="72"/>
      <c r="E51" s="72"/>
      <c r="F51" s="73"/>
      <c r="G51" s="74"/>
      <c r="H51" s="75" t="s">
        <v>156</v>
      </c>
      <c r="I51" s="76"/>
      <c r="J51" s="77"/>
      <c r="K51" s="78"/>
      <c r="L51" s="79"/>
      <c r="M51" s="78"/>
      <c r="N51" s="78"/>
      <c r="O51" s="78"/>
      <c r="P51" s="78"/>
      <c r="Q51" s="80"/>
      <c r="R51" s="80"/>
      <c r="S51" s="80"/>
      <c r="T51" s="81"/>
      <c r="U51" s="82"/>
      <c r="V51" s="83"/>
      <c r="W51" s="19"/>
      <c r="X51" s="25"/>
    </row>
    <row r="52" spans="1:25" s="17" customFormat="1" ht="41.25" customHeight="1" thickBot="1" x14ac:dyDescent="0.25">
      <c r="A52" s="53"/>
      <c r="B52" s="53"/>
      <c r="C52" s="68"/>
      <c r="D52" s="67"/>
      <c r="E52" s="67"/>
      <c r="F52" s="67"/>
      <c r="G52" s="67"/>
      <c r="H52" s="69" t="s">
        <v>162</v>
      </c>
      <c r="I52" s="70">
        <f>I50</f>
        <v>7</v>
      </c>
      <c r="J52" s="55"/>
      <c r="K52" s="55"/>
      <c r="L52" s="55"/>
      <c r="M52" s="55"/>
      <c r="N52" s="56"/>
      <c r="O52" s="56"/>
      <c r="P52" s="122"/>
      <c r="Q52" s="67"/>
      <c r="R52" s="67"/>
      <c r="S52" s="67"/>
      <c r="T52" s="96">
        <f>T50</f>
        <v>14124.375</v>
      </c>
      <c r="U52" s="97"/>
      <c r="V52" s="92">
        <f>+V50+V51</f>
        <v>2991.542625</v>
      </c>
      <c r="W52" s="109">
        <f>W50</f>
        <v>14124.375</v>
      </c>
      <c r="X52" s="104">
        <f>X50</f>
        <v>2991.54</v>
      </c>
    </row>
    <row r="53" spans="1:25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8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5" ht="15" customHeight="1" x14ac:dyDescent="0.25">
      <c r="A54" s="48" t="s">
        <v>153</v>
      </c>
      <c r="B54" s="48"/>
      <c r="C54" s="48"/>
      <c r="D54" s="48"/>
      <c r="E54" s="48"/>
      <c r="F54" s="84"/>
      <c r="G54" s="48"/>
      <c r="H54" s="85"/>
      <c r="I54" s="85"/>
      <c r="J54" s="8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5" ht="15" customHeight="1" x14ac:dyDescent="0.25">
      <c r="A55" s="48"/>
      <c r="B55" s="48"/>
      <c r="C55" s="48"/>
      <c r="D55" s="48"/>
      <c r="E55" s="48"/>
      <c r="F55" s="84"/>
      <c r="G55" s="48"/>
      <c r="H55" s="85"/>
      <c r="I55" s="85"/>
      <c r="J55" s="8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5" ht="15" customHeight="1" x14ac:dyDescent="0.25">
      <c r="A56" s="48" t="s">
        <v>154</v>
      </c>
      <c r="B56" s="48"/>
      <c r="C56" s="48"/>
      <c r="D56" s="48"/>
      <c r="E56" s="48"/>
      <c r="F56" s="84"/>
      <c r="G56" s="48"/>
      <c r="H56" s="85"/>
      <c r="I56" s="85"/>
      <c r="J56" s="8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89"/>
    </row>
    <row r="57" spans="1:25" ht="15" customHeight="1" x14ac:dyDescent="0.25">
      <c r="A57" s="48"/>
      <c r="B57" s="48"/>
      <c r="C57" s="48"/>
      <c r="D57" s="48"/>
      <c r="E57" s="48"/>
      <c r="F57" s="84"/>
      <c r="G57" s="48"/>
      <c r="H57" s="85"/>
      <c r="I57" s="85"/>
      <c r="J57" s="8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89"/>
    </row>
    <row r="58" spans="1:25" ht="15" customHeight="1" x14ac:dyDescent="0.25">
      <c r="A58" s="48"/>
      <c r="B58" s="48"/>
      <c r="C58" s="48"/>
      <c r="D58" s="48"/>
      <c r="E58" s="48"/>
      <c r="F58" s="84"/>
      <c r="G58" s="48"/>
      <c r="H58" s="85"/>
      <c r="I58" s="85"/>
      <c r="J58" s="8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89"/>
    </row>
    <row r="59" spans="1:25" ht="15" customHeight="1" x14ac:dyDescent="0.25">
      <c r="A59" s="86"/>
      <c r="B59" s="318"/>
      <c r="C59" s="318"/>
      <c r="D59" s="318"/>
      <c r="E59" s="318"/>
      <c r="F59" s="318"/>
      <c r="G59" s="318"/>
      <c r="H59" s="318"/>
      <c r="I59" s="318"/>
      <c r="J59" s="318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89"/>
    </row>
    <row r="60" spans="1:25" ht="15" customHeight="1" x14ac:dyDescent="0.25">
      <c r="A60" s="86"/>
      <c r="B60" s="319"/>
      <c r="C60" s="319"/>
      <c r="D60" s="319"/>
      <c r="E60" s="319"/>
      <c r="F60" s="319"/>
      <c r="G60" s="319"/>
      <c r="H60" s="319"/>
      <c r="I60" s="319"/>
      <c r="J60" s="319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89"/>
      <c r="X60" s="16"/>
      <c r="Y60" s="23"/>
    </row>
  </sheetData>
  <mergeCells count="5">
    <mergeCell ref="A7:E7"/>
    <mergeCell ref="F7:G7"/>
    <mergeCell ref="R9:S9"/>
    <mergeCell ref="B59:J59"/>
    <mergeCell ref="B60:J60"/>
  </mergeCells>
  <pageMargins left="0" right="0" top="1" bottom="0" header="0.511811023622047" footer="0.511811023622047"/>
  <pageSetup paperSize="9" scale="56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xr:uid="{FF25FD79-05A6-4173-88DB-41E584B0A75C}">
          <x14:formula1>
            <xm:f>CODE_MASTER_AS!$A$3:$A$14</xm:f>
          </x14:formula1>
          <xm:sqref>F50:G50 C51:C52 C15:C49</xm:sqref>
        </x14:dataValidation>
        <x14:dataValidation type="list" allowBlank="1" xr:uid="{7082CC66-D56B-4ECE-8080-4B8841CB8445}">
          <x14:formula1>
            <xm:f>'SIZE GUIDE'!$A$3:$A$38</xm:f>
          </x14:formula1>
          <xm:sqref>E15:E52</xm:sqref>
        </x14:dataValidation>
        <x14:dataValidation type="list" allowBlank="1" xr:uid="{047DC2F3-0054-4F75-9F5E-6287423C840D}">
          <x14:formula1>
            <xm:f>LISTS!$B$2:$B$8</xm:f>
          </x14:formula1>
          <x14:formula2>
            <xm:f>0</xm:f>
          </x14:formula2>
          <xm:sqref>H15:H52</xm:sqref>
        </x14:dataValidation>
        <x14:dataValidation type="list" allowBlank="1" showInputMessage="1" showErrorMessage="1" xr:uid="{75DD6258-60CC-44BA-AD04-5147430E2C8B}">
          <x14:formula1>
            <xm:f>'SIZE GUIDE'!$B:$B</xm:f>
          </x14:formula1>
          <xm:sqref>G50 F15:F52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87BEA-7908-48AA-A337-3166BB050966}">
  <sheetPr codeName="Sheet18">
    <pageSetUpPr fitToPage="1"/>
  </sheetPr>
  <dimension ref="A1:Y39"/>
  <sheetViews>
    <sheetView showGridLines="0" view="pageBreakPreview" topLeftCell="A6" zoomScale="89" zoomScaleNormal="68" zoomScaleSheetLayoutView="89" workbookViewId="0">
      <selection activeCell="Y11" sqref="Y11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26.33203125" style="16" customWidth="1"/>
    <col min="4" max="4" width="15.1640625" style="16" hidden="1" customWidth="1"/>
    <col min="5" max="5" width="16.83203125" style="16" customWidth="1"/>
    <col min="6" max="6" width="11.83203125" style="16" hidden="1" customWidth="1"/>
    <col min="7" max="7" width="21.5" style="16" customWidth="1"/>
    <col min="8" max="8" width="10.6640625" style="16" customWidth="1"/>
    <col min="9" max="9" width="14" style="16" customWidth="1"/>
    <col min="10" max="16" width="10.6640625" style="16" hidden="1" customWidth="1"/>
    <col min="17" max="19" width="10.6640625" style="16" customWidth="1"/>
    <col min="20" max="21" width="14.6640625" style="16" customWidth="1"/>
    <col min="22" max="22" width="14.6640625" style="98" customWidth="1"/>
    <col min="23" max="23" width="39.83203125" style="16" customWidth="1"/>
    <col min="24" max="24" width="18.33203125" style="23" customWidth="1"/>
    <col min="25" max="28" width="8.6640625" style="16" customWidth="1"/>
    <col min="29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9"/>
      <c r="K1" s="29"/>
      <c r="L1" s="29"/>
      <c r="M1" s="29"/>
      <c r="N1" s="27"/>
      <c r="O1" s="27"/>
      <c r="P1" s="121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30"/>
      <c r="K2" s="31"/>
      <c r="L2" s="29"/>
      <c r="M2" s="32" t="s">
        <v>161</v>
      </c>
      <c r="N2" s="27"/>
      <c r="O2" s="27"/>
      <c r="P2" s="28" t="s">
        <v>160</v>
      </c>
      <c r="R2" s="20"/>
      <c r="S2" s="21"/>
      <c r="U2" s="13"/>
      <c r="V2" s="20" t="s">
        <v>151</v>
      </c>
      <c r="W2" s="20"/>
      <c r="X2" s="22"/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37"/>
      <c r="K3" s="37"/>
      <c r="L3" s="37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37"/>
      <c r="K4" s="37"/>
      <c r="L4" s="37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37"/>
      <c r="K5" s="37"/>
      <c r="L5" s="37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37"/>
      <c r="K6" s="37"/>
      <c r="L6" s="37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5"/>
      <c r="I7" s="35"/>
      <c r="J7" s="37"/>
      <c r="K7" s="37"/>
      <c r="L7" s="37"/>
      <c r="M7" s="37"/>
      <c r="N7" s="38"/>
      <c r="O7" s="38"/>
      <c r="P7" s="38"/>
      <c r="Q7" s="43" t="s">
        <v>147</v>
      </c>
      <c r="R7" s="43"/>
      <c r="S7" s="43"/>
      <c r="T7" s="43"/>
      <c r="U7" s="43"/>
      <c r="V7" s="43" t="s">
        <v>148</v>
      </c>
      <c r="W7" s="43"/>
      <c r="X7" s="43"/>
    </row>
    <row r="8" spans="1:24" ht="15" customHeight="1" x14ac:dyDescent="0.25">
      <c r="A8" s="44" t="s">
        <v>207</v>
      </c>
      <c r="B8" s="45"/>
      <c r="C8" s="45"/>
      <c r="D8" s="46"/>
      <c r="E8" s="46"/>
      <c r="F8" s="36"/>
      <c r="G8" s="46"/>
      <c r="H8" s="35"/>
      <c r="I8" s="35"/>
      <c r="J8" s="37"/>
      <c r="K8" s="37"/>
      <c r="L8" s="37"/>
      <c r="M8" s="37"/>
      <c r="N8" s="38"/>
      <c r="O8" s="38"/>
      <c r="P8" s="38"/>
      <c r="Q8" s="105" t="s">
        <v>277</v>
      </c>
      <c r="R8" s="87"/>
      <c r="S8" s="106"/>
      <c r="T8" s="46"/>
      <c r="U8" s="107"/>
      <c r="V8" s="108">
        <v>46205</v>
      </c>
      <c r="W8" s="13"/>
      <c r="X8" s="22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37"/>
      <c r="K9" s="37"/>
      <c r="L9" s="37"/>
      <c r="M9" s="37"/>
      <c r="N9" s="38"/>
      <c r="O9" s="38"/>
      <c r="P9" s="38"/>
      <c r="Q9" s="86"/>
      <c r="R9" s="320"/>
      <c r="S9" s="320"/>
      <c r="T9" s="46"/>
      <c r="U9" s="107"/>
      <c r="V9" s="33"/>
      <c r="W9" s="13"/>
      <c r="X9" s="22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37"/>
      <c r="K10" s="37"/>
      <c r="L10" s="37"/>
      <c r="M10" s="37"/>
      <c r="N10" s="38"/>
      <c r="O10" s="38"/>
      <c r="P10" s="38"/>
      <c r="Q10" s="42" t="s">
        <v>149</v>
      </c>
      <c r="R10" s="43"/>
      <c r="S10" s="43"/>
      <c r="T10" s="43"/>
      <c r="U10" s="43"/>
      <c r="V10" s="43" t="s">
        <v>150</v>
      </c>
      <c r="W10" s="43"/>
      <c r="X10" s="43"/>
    </row>
    <row r="11" spans="1:24" ht="15" customHeight="1" x14ac:dyDescent="0.25">
      <c r="A11" s="188" t="s">
        <v>288</v>
      </c>
      <c r="B11" s="34"/>
      <c r="C11" s="35"/>
      <c r="D11" s="35"/>
      <c r="E11" s="46"/>
      <c r="F11" s="46"/>
      <c r="G11" s="46"/>
      <c r="H11" s="35"/>
      <c r="I11" s="35"/>
      <c r="J11" s="37"/>
      <c r="K11" s="37"/>
      <c r="L11" s="37"/>
      <c r="M11" s="37"/>
      <c r="N11" s="38"/>
      <c r="O11" s="38"/>
      <c r="P11" s="38"/>
      <c r="Q11" s="105" t="s">
        <v>276</v>
      </c>
      <c r="R11" s="86"/>
      <c r="S11" s="86"/>
      <c r="T11" s="46"/>
      <c r="U11" s="107"/>
      <c r="V11" s="86"/>
      <c r="W11" s="13"/>
      <c r="X11" s="22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37"/>
      <c r="K12" s="37"/>
      <c r="L12" s="37"/>
      <c r="M12" s="37"/>
      <c r="N12" s="38"/>
      <c r="O12" s="38"/>
      <c r="P12" s="38"/>
      <c r="Q12" s="48"/>
      <c r="R12" s="48"/>
      <c r="S12" s="48"/>
      <c r="T12" s="48"/>
      <c r="U12" s="47"/>
      <c r="V12" s="49"/>
      <c r="W12" s="13"/>
      <c r="X12" s="22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5"/>
      <c r="K13" s="50"/>
      <c r="L13" s="50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17" customFormat="1" ht="41.25" customHeight="1" x14ac:dyDescent="0.2">
      <c r="A14" s="53" t="s">
        <v>158</v>
      </c>
      <c r="B14" s="53" t="s">
        <v>0</v>
      </c>
      <c r="C14" s="53" t="s">
        <v>1</v>
      </c>
      <c r="D14" s="54" t="s">
        <v>135</v>
      </c>
      <c r="E14" s="54" t="s">
        <v>157</v>
      </c>
      <c r="F14" s="54" t="s">
        <v>3</v>
      </c>
      <c r="G14" s="54" t="s">
        <v>152</v>
      </c>
      <c r="H14" s="54" t="s">
        <v>105</v>
      </c>
      <c r="I14" s="54" t="s">
        <v>5</v>
      </c>
      <c r="J14" s="55" t="s">
        <v>64</v>
      </c>
      <c r="K14" s="55" t="s">
        <v>136</v>
      </c>
      <c r="L14" s="55" t="s">
        <v>24</v>
      </c>
      <c r="M14" s="55" t="s">
        <v>108</v>
      </c>
      <c r="N14" s="56" t="s">
        <v>136</v>
      </c>
      <c r="O14" s="56" t="s">
        <v>24</v>
      </c>
      <c r="P14" s="122" t="s">
        <v>108</v>
      </c>
      <c r="Q14" s="54" t="s">
        <v>136</v>
      </c>
      <c r="R14" s="54" t="s">
        <v>24</v>
      </c>
      <c r="S14" s="54" t="s">
        <v>108</v>
      </c>
      <c r="T14" s="90" t="s">
        <v>159</v>
      </c>
      <c r="U14" s="91" t="s">
        <v>6</v>
      </c>
      <c r="V14" s="92" t="s">
        <v>7</v>
      </c>
      <c r="W14" s="53" t="s">
        <v>140</v>
      </c>
      <c r="X14" s="26" t="s">
        <v>141</v>
      </c>
    </row>
    <row r="15" spans="1:24" s="17" customFormat="1" ht="36" customHeight="1" x14ac:dyDescent="0.2">
      <c r="A15" s="57">
        <v>1</v>
      </c>
      <c r="B15" s="57" t="str" cm="1">
        <f t="array" ref="B15">_xlfn.LET(_xlpm.r,_xlfn.XLOOKUP(1,
(TRIM(CODE_PRICE!$A$4:$A$2003)=TRIM($C$4))*
(TRIM(CODE_PRICE!$B$4:$B$2003)=TRIM(C15)),
CODE_PRICE!$C$4:$C$2003,
""),
IF(OR(_xlpm.r="",_xlpm.r=0),"",_xlpm.r))</f>
        <v/>
      </c>
      <c r="C15" s="57" t="s">
        <v>89</v>
      </c>
      <c r="D15" s="58" t="str">
        <f>_xlfn.XLOOKUP(B15,CODE_PRICE!C:C,CODE_PRICE!D:D,"")</f>
        <v/>
      </c>
      <c r="E15" s="58" t="s">
        <v>11</v>
      </c>
      <c r="F15" s="59" t="s">
        <v>213</v>
      </c>
      <c r="G15" s="60" t="str">
        <f>IF(COUNTIFS($C$15:C15,C15,$H$15:H15,H15)=1,
SUMIFS($I$15:$I$28,$C$15:$C$28,C15,$H$15:$H$28,H15)&amp;H15&amp;" "&amp;C15,
"")</f>
        <v>10S CFN30100W</v>
      </c>
      <c r="H15" s="58" t="s">
        <v>22</v>
      </c>
      <c r="I15" s="61">
        <v>1</v>
      </c>
      <c r="J15" s="158"/>
      <c r="K15" s="158" cm="1">
        <f t="array" ref="K15">IF(E15="untrim",_xlfn.XLOOKUP(1,(TRIM('SIZE GUIDE'!$A$3:$A$2015)=TRIM(E15))*(TRIM('SIZE GUIDE'!$B$3:$B$2015)=TRIM(F15))*(TRIM('SIZE GUIDE'!$C$3:$C$2015)=TRIM(H15)),'SIZE GUIDE'!$D$3:$D$2015),"")</f>
        <v>108</v>
      </c>
      <c r="L15" s="168" cm="1">
        <f t="array" ref="L15">IF(E15="untrim",IFERROR(INDEX('SIZE GUIDE'!$E:$E,MATCH(1,('SIZE GUIDE'!$A:$A=$E15)*('SIZE GUIDE'!$B:$B=$F15)*('SIZE GUIDE'!$C:$C=$H15),0)),""),"")</f>
        <v>81</v>
      </c>
      <c r="M15" s="158">
        <v>42</v>
      </c>
      <c r="N15" s="65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65" t="str" cm="1">
        <f t="array" ref="O15">IF(E15="trim",IFERROR(INDEX('SIZE GUIDE'!$E:$E,MATCH(1,('SIZE GUIDE'!$A:$A=$E15)*('SIZE GUIDE'!$B:$B=$F15)*('SIZE GUIDE'!$C:$C=$H15),0)),""),"")</f>
        <v/>
      </c>
      <c r="P15" s="65"/>
      <c r="Q15" s="258">
        <f>K15</f>
        <v>108</v>
      </c>
      <c r="R15" s="258">
        <f>L15</f>
        <v>81</v>
      </c>
      <c r="S15" s="258">
        <f>IF(E15="untrim",M15-0.5,P15-0.5)</f>
        <v>41.5</v>
      </c>
      <c r="T15" s="93">
        <f t="shared" ref="T15:T24" si="0">IFERROR(Q15*R15*S15/144*I15,"")</f>
        <v>2521.125</v>
      </c>
      <c r="U15" s="94">
        <f>SUMIFS(CODE_PRICE!F:F,CODE_PRICE!B:B,C15,CODE_PRICE!A:A,$A$8)</f>
        <v>0.1968</v>
      </c>
      <c r="V15" s="95">
        <f>T15*U15</f>
        <v>496.1574</v>
      </c>
      <c r="W15" s="102" t="str">
        <f>IF(COUNTIF($C$15:C15,C15)=1,C15 &amp; " - " &amp; TEXT(SUMIF($C:$C,C15,$T:$T),"0.00"),"")</f>
        <v>CFN30100W - 25241.63</v>
      </c>
      <c r="X15" s="103">
        <f>IF(COUNTIF($C$15:C15,C15)=1,ROUND(SUMIF($C:$C,C15,$V:$V),2), "")</f>
        <v>4967.55</v>
      </c>
    </row>
    <row r="16" spans="1:24" s="17" customFormat="1" ht="36" customHeight="1" x14ac:dyDescent="0.2">
      <c r="A16" s="57">
        <f>A15+1</f>
        <v>2</v>
      </c>
      <c r="B16" s="57" t="str" cm="1">
        <f t="array" ref="B16">_xlfn.LET(_xlpm.r,_xlfn.XLOOKUP(1,
(TRIM(CODE_PRICE!$A$4:$A$2003)=TRIM($C$4))*
(TRIM(CODE_PRICE!$B$4:$B$2003)=TRIM(C16)),
CODE_PRICE!$C$4:$C$2003,
""),
IF(OR(_xlpm.r="",_xlpm.r=0),"",_xlpm.r))</f>
        <v/>
      </c>
      <c r="C16" s="57" t="s">
        <v>89</v>
      </c>
      <c r="D16" s="58" t="str">
        <f>_xlfn.XLOOKUP(B16,CODE_PRICE!C:C,CODE_PRICE!D:D,"")</f>
        <v/>
      </c>
      <c r="E16" s="58" t="s">
        <v>11</v>
      </c>
      <c r="F16" s="59" t="s">
        <v>213</v>
      </c>
      <c r="G16" s="60" t="str">
        <f>IF(COUNTIFS($C$15:C16,C16,$H$15:H16,H16)=1,
SUMIFS($I$15:$I$28,$C$15:$C$28,C16,$H$15:$H$28,H16)&amp;H16&amp;" "&amp;C16,
"")</f>
        <v/>
      </c>
      <c r="H16" s="58" t="s">
        <v>22</v>
      </c>
      <c r="I16" s="61">
        <v>1</v>
      </c>
      <c r="J16" s="158"/>
      <c r="K16" s="158" cm="1">
        <f t="array" ref="K16">IF(E16="untrim",_xlfn.XLOOKUP(1,(TRIM('SIZE GUIDE'!$A$3:$A$2015)=TRIM(E16))*(TRIM('SIZE GUIDE'!$B$3:$B$2015)=TRIM(F16))*(TRIM('SIZE GUIDE'!$C$3:$C$2015)=TRIM(H16)),'SIZE GUIDE'!$D$3:$D$2015),"")</f>
        <v>108</v>
      </c>
      <c r="L16" s="168" cm="1">
        <f t="array" ref="L16">IF(E16="untrim",IFERROR(INDEX('SIZE GUIDE'!$E:$E,MATCH(1,('SIZE GUIDE'!$A:$A=$E16)*('SIZE GUIDE'!$B:$B=$F16)*('SIZE GUIDE'!$C:$C=$H16),0)),""),"")</f>
        <v>81</v>
      </c>
      <c r="M16" s="158">
        <v>42</v>
      </c>
      <c r="N16" s="65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65" t="str" cm="1">
        <f t="array" ref="O16">IF(E16="trim",IFERROR(INDEX('SIZE GUIDE'!$E:$E,MATCH(1,('SIZE GUIDE'!$A:$A=$E16)*('SIZE GUIDE'!$B:$B=$F16)*('SIZE GUIDE'!$C:$C=$H16),0)),""),"")</f>
        <v/>
      </c>
      <c r="P16" s="65"/>
      <c r="Q16" s="258">
        <f t="shared" ref="Q16:R24" si="1">K16</f>
        <v>108</v>
      </c>
      <c r="R16" s="258">
        <f t="shared" si="1"/>
        <v>81</v>
      </c>
      <c r="S16" s="258">
        <f>IF(E16="untrim",M16-0.5,P16-0.5)</f>
        <v>41.5</v>
      </c>
      <c r="T16" s="93">
        <f t="shared" si="0"/>
        <v>2521.125</v>
      </c>
      <c r="U16" s="94">
        <f>SUMIFS(CODE_PRICE!F:F,CODE_PRICE!B:B,C16,CODE_PRICE!A:A,$A$8)</f>
        <v>0.1968</v>
      </c>
      <c r="V16" s="95">
        <f t="shared" ref="V16:V24" si="2">T16*U16</f>
        <v>496.1574</v>
      </c>
      <c r="W16" s="102" t="str">
        <f>IF(COUNTIF($C$15:C16,C16)=1,C16 &amp; " - " &amp; TEXT(SUMIF($C:$C,C16,$T:$T),"0.00"),"")</f>
        <v/>
      </c>
      <c r="X16" s="103" t="str">
        <f>IF(COUNTIF($C$15:C16,C16)=1,ROUND(SUMIF($C:$C,C16,$V:$V),2), "")</f>
        <v/>
      </c>
    </row>
    <row r="17" spans="1:24" s="17" customFormat="1" ht="36" customHeight="1" x14ac:dyDescent="0.2">
      <c r="A17" s="57">
        <f t="shared" ref="A17:A23" si="3">A16+1</f>
        <v>3</v>
      </c>
      <c r="B17" s="57" t="str" cm="1">
        <f t="array" ref="B17">_xlfn.LET(_xlpm.r,_xlfn.XLOOKUP(1,
(TRIM(CODE_PRICE!$A$4:$A$2003)=TRIM($C$4))*
(TRIM(CODE_PRICE!$B$4:$B$2003)=TRIM(C17)),
CODE_PRICE!$C$4:$C$2003,
""),
IF(OR(_xlpm.r="",_xlpm.r=0),"",_xlpm.r))</f>
        <v/>
      </c>
      <c r="C17" s="57" t="s">
        <v>89</v>
      </c>
      <c r="D17" s="58" t="str">
        <f>_xlfn.XLOOKUP(B17,CODE_PRICE!C:C,CODE_PRICE!D:D,"")</f>
        <v/>
      </c>
      <c r="E17" s="58" t="s">
        <v>11</v>
      </c>
      <c r="F17" s="59" t="s">
        <v>213</v>
      </c>
      <c r="G17" s="60" t="str">
        <f>IF(COUNTIFS($C$15:C17,C17,$H$15:H17,H17)=1,
SUMIFS($I$15:$I$28,$C$15:$C$28,C17,$H$15:$H$28,H17)&amp;H17&amp;" "&amp;C17,
"")</f>
        <v/>
      </c>
      <c r="H17" s="58" t="s">
        <v>22</v>
      </c>
      <c r="I17" s="61">
        <v>1</v>
      </c>
      <c r="J17" s="158"/>
      <c r="K17" s="158" cm="1">
        <f t="array" ref="K17">IF(E17="untrim",_xlfn.XLOOKUP(1,(TRIM('SIZE GUIDE'!$A$3:$A$2015)=TRIM(E17))*(TRIM('SIZE GUIDE'!$B$3:$B$2015)=TRIM(F17))*(TRIM('SIZE GUIDE'!$C$3:$C$2015)=TRIM(H17)),'SIZE GUIDE'!$D$3:$D$2015),"")</f>
        <v>108</v>
      </c>
      <c r="L17" s="168" cm="1">
        <f t="array" ref="L17">IF(E17="untrim",IFERROR(INDEX('SIZE GUIDE'!$E:$E,MATCH(1,('SIZE GUIDE'!$A:$A=$E17)*('SIZE GUIDE'!$B:$B=$F17)*('SIZE GUIDE'!$C:$C=$H17),0)),""),"")</f>
        <v>81</v>
      </c>
      <c r="M17" s="158">
        <v>42</v>
      </c>
      <c r="N17" s="65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65" t="str" cm="1">
        <f t="array" ref="O17">IF(E17="trim",IFERROR(INDEX('SIZE GUIDE'!$E:$E,MATCH(1,('SIZE GUIDE'!$A:$A=$E17)*('SIZE GUIDE'!$B:$B=$F17)*('SIZE GUIDE'!$C:$C=$H17),0)),""),"")</f>
        <v/>
      </c>
      <c r="P17" s="65"/>
      <c r="Q17" s="258">
        <f t="shared" si="1"/>
        <v>108</v>
      </c>
      <c r="R17" s="258">
        <f t="shared" si="1"/>
        <v>81</v>
      </c>
      <c r="S17" s="258">
        <f>IF(E17="untrim",M17-0.5,P17-0.5)</f>
        <v>41.5</v>
      </c>
      <c r="T17" s="93">
        <f t="shared" si="0"/>
        <v>2521.125</v>
      </c>
      <c r="U17" s="94">
        <f>SUMIFS(CODE_PRICE!F:F,CODE_PRICE!B:B,C17,CODE_PRICE!A:A,$A$8)</f>
        <v>0.1968</v>
      </c>
      <c r="V17" s="95">
        <f t="shared" si="2"/>
        <v>496.1574</v>
      </c>
      <c r="W17" s="102" t="str">
        <f>IF(COUNTIF($C$15:C17,C17)=1,C17 &amp; " - " &amp; TEXT(SUMIF($C:$C,C17,$T:$T),"0.00"),"")</f>
        <v/>
      </c>
      <c r="X17" s="103" t="str">
        <f>IF(COUNTIF($C$15:C17,C17)=1,ROUND(SUMIF($C:$C,C17,$V:$V),2), "")</f>
        <v/>
      </c>
    </row>
    <row r="18" spans="1:24" s="17" customFormat="1" ht="36" customHeight="1" x14ac:dyDescent="0.2">
      <c r="A18" s="57">
        <f t="shared" si="3"/>
        <v>4</v>
      </c>
      <c r="B18" s="57" t="str" cm="1">
        <f t="array" ref="B18">_xlfn.LET(_xlpm.r,_xlfn.XLOOKUP(1,
(TRIM(CODE_PRICE!$A$4:$A$2003)=TRIM($C$4))*
(TRIM(CODE_PRICE!$B$4:$B$2003)=TRIM(C18)),
CODE_PRICE!$C$4:$C$2003,
""),
IF(OR(_xlpm.r="",_xlpm.r=0),"",_xlpm.r))</f>
        <v/>
      </c>
      <c r="C18" s="57" t="s">
        <v>89</v>
      </c>
      <c r="D18" s="58" t="str">
        <f>_xlfn.XLOOKUP(B18,CODE_PRICE!C:C,CODE_PRICE!D:D,"")</f>
        <v/>
      </c>
      <c r="E18" s="58" t="s">
        <v>11</v>
      </c>
      <c r="F18" s="59" t="s">
        <v>213</v>
      </c>
      <c r="G18" s="60" t="str">
        <f>IF(COUNTIFS($C$15:C18,C18,$H$15:H18,H18)=1,
SUMIFS($I$15:$I$28,$C$15:$C$28,C18,$H$15:$H$28,H18)&amp;H18&amp;" "&amp;C18,
"")</f>
        <v/>
      </c>
      <c r="H18" s="58" t="s">
        <v>22</v>
      </c>
      <c r="I18" s="61">
        <v>1</v>
      </c>
      <c r="J18" s="158"/>
      <c r="K18" s="158" cm="1">
        <f t="array" ref="K18">IF(E18="untrim",_xlfn.XLOOKUP(1,(TRIM('SIZE GUIDE'!$A$3:$A$2015)=TRIM(E18))*(TRIM('SIZE GUIDE'!$B$3:$B$2015)=TRIM(F18))*(TRIM('SIZE GUIDE'!$C$3:$C$2015)=TRIM(H18)),'SIZE GUIDE'!$D$3:$D$2015),"")</f>
        <v>108</v>
      </c>
      <c r="L18" s="168" cm="1">
        <f t="array" ref="L18">IF(E18="untrim",IFERROR(INDEX('SIZE GUIDE'!$E:$E,MATCH(1,('SIZE GUIDE'!$A:$A=$E18)*('SIZE GUIDE'!$B:$B=$F18)*('SIZE GUIDE'!$C:$C=$H18),0)),""),"")</f>
        <v>81</v>
      </c>
      <c r="M18" s="158">
        <v>42</v>
      </c>
      <c r="N18" s="65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65" t="str" cm="1">
        <f t="array" ref="O18">IF(E18="trim",IFERROR(INDEX('SIZE GUIDE'!$E:$E,MATCH(1,('SIZE GUIDE'!$A:$A=$E18)*('SIZE GUIDE'!$B:$B=$F18)*('SIZE GUIDE'!$C:$C=$H18),0)),""),"")</f>
        <v/>
      </c>
      <c r="P18" s="65"/>
      <c r="Q18" s="258">
        <f t="shared" si="1"/>
        <v>108</v>
      </c>
      <c r="R18" s="258">
        <f t="shared" si="1"/>
        <v>81</v>
      </c>
      <c r="S18" s="258">
        <f t="shared" ref="S18:S24" si="4">IF(E18="untrim",M18-0.5,P18-0.5)</f>
        <v>41.5</v>
      </c>
      <c r="T18" s="93">
        <f t="shared" si="0"/>
        <v>2521.125</v>
      </c>
      <c r="U18" s="94">
        <f>SUMIFS(CODE_PRICE!F:F,CODE_PRICE!B:B,C18,CODE_PRICE!A:A,$A$8)</f>
        <v>0.1968</v>
      </c>
      <c r="V18" s="95">
        <f t="shared" si="2"/>
        <v>496.1574</v>
      </c>
      <c r="W18" s="102" t="str">
        <f>IF(COUNTIF($C$15:C18,C18)=1,C18 &amp; " - " &amp; TEXT(SUMIF($C:$C,C18,$T:$T),"0.00"),"")</f>
        <v/>
      </c>
      <c r="X18" s="103" t="str">
        <f>IF(COUNTIF($C$15:C18,C18)=1,ROUND(SUMIF($C:$C,C18,$V:$V),2), "")</f>
        <v/>
      </c>
    </row>
    <row r="19" spans="1:24" s="17" customFormat="1" ht="36" customHeight="1" x14ac:dyDescent="0.2">
      <c r="A19" s="57">
        <f t="shared" si="3"/>
        <v>5</v>
      </c>
      <c r="B19" s="57" t="str" cm="1">
        <f t="array" ref="B19">_xlfn.LET(_xlpm.r,_xlfn.XLOOKUP(1,
(TRIM(CODE_PRICE!$A$4:$A$2003)=TRIM($C$4))*
(TRIM(CODE_PRICE!$B$4:$B$2003)=TRIM(C19)),
CODE_PRICE!$C$4:$C$2003,
""),
IF(OR(_xlpm.r="",_xlpm.r=0),"",_xlpm.r))</f>
        <v/>
      </c>
      <c r="C19" s="57" t="s">
        <v>89</v>
      </c>
      <c r="D19" s="58" t="str">
        <f>_xlfn.XLOOKUP(B19,CODE_PRICE!C:C,CODE_PRICE!D:D,"")</f>
        <v/>
      </c>
      <c r="E19" s="58" t="s">
        <v>11</v>
      </c>
      <c r="F19" s="59" t="s">
        <v>213</v>
      </c>
      <c r="G19" s="60" t="str">
        <f>IF(COUNTIFS($C$15:C19,C19,$H$15:H19,H19)=1,
SUMIFS($I$15:$I$28,$C$15:$C$28,C19,$H$15:$H$28,H19)&amp;H19&amp;" "&amp;C19,
"")</f>
        <v/>
      </c>
      <c r="H19" s="58" t="s">
        <v>22</v>
      </c>
      <c r="I19" s="61">
        <v>1</v>
      </c>
      <c r="J19" s="158"/>
      <c r="K19" s="158" cm="1">
        <f t="array" ref="K19">IF(E19="untrim",_xlfn.XLOOKUP(1,(TRIM('SIZE GUIDE'!$A$3:$A$2015)=TRIM(E19))*(TRIM('SIZE GUIDE'!$B$3:$B$2015)=TRIM(F19))*(TRIM('SIZE GUIDE'!$C$3:$C$2015)=TRIM(H19)),'SIZE GUIDE'!$D$3:$D$2015),"")</f>
        <v>108</v>
      </c>
      <c r="L19" s="168" cm="1">
        <f t="array" ref="L19">IF(E19="untrim",IFERROR(INDEX('SIZE GUIDE'!$E:$E,MATCH(1,('SIZE GUIDE'!$A:$A=$E19)*('SIZE GUIDE'!$B:$B=$F19)*('SIZE GUIDE'!$C:$C=$H19),0)),""),"")</f>
        <v>81</v>
      </c>
      <c r="M19" s="158">
        <v>42</v>
      </c>
      <c r="N19" s="65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65" t="str" cm="1">
        <f t="array" ref="O19">IF(E19="trim",IFERROR(INDEX('SIZE GUIDE'!$E:$E,MATCH(1,('SIZE GUIDE'!$A:$A=$E19)*('SIZE GUIDE'!$B:$B=$F19)*('SIZE GUIDE'!$C:$C=$H19),0)),""),"")</f>
        <v/>
      </c>
      <c r="P19" s="65"/>
      <c r="Q19" s="258">
        <f t="shared" si="1"/>
        <v>108</v>
      </c>
      <c r="R19" s="258">
        <f t="shared" si="1"/>
        <v>81</v>
      </c>
      <c r="S19" s="258">
        <f t="shared" si="4"/>
        <v>41.5</v>
      </c>
      <c r="T19" s="93">
        <f t="shared" si="0"/>
        <v>2521.125</v>
      </c>
      <c r="U19" s="94">
        <f>SUMIFS(CODE_PRICE!F:F,CODE_PRICE!B:B,C19,CODE_PRICE!A:A,$A$8)</f>
        <v>0.1968</v>
      </c>
      <c r="V19" s="95">
        <f t="shared" si="2"/>
        <v>496.1574</v>
      </c>
      <c r="W19" s="102" t="str">
        <f>IF(COUNTIF($C$15:C19,C19)=1,C19 &amp; " - " &amp; TEXT(SUMIF($C:$C,C19,$T:$T),"0.00"),"")</f>
        <v/>
      </c>
      <c r="X19" s="103" t="str">
        <f>IF(COUNTIF($C$15:C19,C19)=1,ROUND(SUMIF($C:$C,C19,$V:$V),2), "")</f>
        <v/>
      </c>
    </row>
    <row r="20" spans="1:24" s="17" customFormat="1" ht="36" customHeight="1" x14ac:dyDescent="0.2">
      <c r="A20" s="57">
        <f t="shared" si="3"/>
        <v>6</v>
      </c>
      <c r="B20" s="57" t="str" cm="1">
        <f t="array" ref="B20">_xlfn.LET(_xlpm.r,_xlfn.XLOOKUP(1,
(TRIM(CODE_PRICE!$A$4:$A$2003)=TRIM($C$4))*
(TRIM(CODE_PRICE!$B$4:$B$2003)=TRIM(C20)),
CODE_PRICE!$C$4:$C$2003,
""),
IF(OR(_xlpm.r="",_xlpm.r=0),"",_xlpm.r))</f>
        <v/>
      </c>
      <c r="C20" s="57" t="s">
        <v>89</v>
      </c>
      <c r="D20" s="58" t="str">
        <f>_xlfn.XLOOKUP(B20,CODE_PRICE!C:C,CODE_PRICE!D:D,"")</f>
        <v/>
      </c>
      <c r="E20" s="58" t="s">
        <v>11</v>
      </c>
      <c r="F20" s="59" t="s">
        <v>213</v>
      </c>
      <c r="G20" s="60" t="str">
        <f>IF(COUNTIFS($C$15:C20,C20,$H$15:H20,H20)=1,
SUMIFS($I$15:$I$28,$C$15:$C$28,C20,$H$15:$H$28,H20)&amp;H20&amp;" "&amp;C20,
"")</f>
        <v/>
      </c>
      <c r="H20" s="58" t="s">
        <v>22</v>
      </c>
      <c r="I20" s="61">
        <v>1</v>
      </c>
      <c r="J20" s="158"/>
      <c r="K20" s="158" cm="1">
        <f t="array" ref="K20">IF(E20="untrim",_xlfn.XLOOKUP(1,(TRIM('SIZE GUIDE'!$A$3:$A$2015)=TRIM(E20))*(TRIM('SIZE GUIDE'!$B$3:$B$2015)=TRIM(F20))*(TRIM('SIZE GUIDE'!$C$3:$C$2015)=TRIM(H20)),'SIZE GUIDE'!$D$3:$D$2015),"")</f>
        <v>108</v>
      </c>
      <c r="L20" s="168" cm="1">
        <f t="array" ref="L20">IF(E20="untrim",IFERROR(INDEX('SIZE GUIDE'!$E:$E,MATCH(1,('SIZE GUIDE'!$A:$A=$E20)*('SIZE GUIDE'!$B:$B=$F20)*('SIZE GUIDE'!$C:$C=$H20),0)),""),"")</f>
        <v>81</v>
      </c>
      <c r="M20" s="158">
        <v>42</v>
      </c>
      <c r="N20" s="65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65" t="str" cm="1">
        <f t="array" ref="O20">IF(E20="trim",IFERROR(INDEX('SIZE GUIDE'!$E:$E,MATCH(1,('SIZE GUIDE'!$A:$A=$E20)*('SIZE GUIDE'!$B:$B=$F20)*('SIZE GUIDE'!$C:$C=$H20),0)),""),"")</f>
        <v/>
      </c>
      <c r="P20" s="65"/>
      <c r="Q20" s="258">
        <f t="shared" si="1"/>
        <v>108</v>
      </c>
      <c r="R20" s="258">
        <f t="shared" si="1"/>
        <v>81</v>
      </c>
      <c r="S20" s="258">
        <f t="shared" si="4"/>
        <v>41.5</v>
      </c>
      <c r="T20" s="93">
        <f t="shared" si="0"/>
        <v>2521.125</v>
      </c>
      <c r="U20" s="94">
        <f>SUMIFS(CODE_PRICE!F:F,CODE_PRICE!B:B,C20,CODE_PRICE!A:A,$A$8)</f>
        <v>0.1968</v>
      </c>
      <c r="V20" s="95">
        <f t="shared" si="2"/>
        <v>496.1574</v>
      </c>
      <c r="W20" s="102" t="str">
        <f>IF(COUNTIF($C$15:C20,C20)=1,C20 &amp; " - " &amp; TEXT(SUMIF($C:$C,C20,$T:$T),"0.00"),"")</f>
        <v/>
      </c>
      <c r="X20" s="103" t="str">
        <f>IF(COUNTIF($C$15:C20,C20)=1,ROUND(SUMIF($C:$C,C20,$V:$V),2), "")</f>
        <v/>
      </c>
    </row>
    <row r="21" spans="1:24" s="17" customFormat="1" ht="36" customHeight="1" x14ac:dyDescent="0.2">
      <c r="A21" s="57">
        <f t="shared" si="3"/>
        <v>7</v>
      </c>
      <c r="B21" s="57" t="str" cm="1">
        <f t="array" ref="B21">_xlfn.LET(_xlpm.r,_xlfn.XLOOKUP(1,
(TRIM(CODE_PRICE!$A$4:$A$2003)=TRIM($C$4))*
(TRIM(CODE_PRICE!$B$4:$B$2003)=TRIM(C21)),
CODE_PRICE!$C$4:$C$2003,
""),
IF(OR(_xlpm.r="",_xlpm.r=0),"",_xlpm.r))</f>
        <v/>
      </c>
      <c r="C21" s="57" t="s">
        <v>89</v>
      </c>
      <c r="D21" s="58" t="str">
        <f>_xlfn.XLOOKUP(B21,CODE_PRICE!C:C,CODE_PRICE!D:D,"")</f>
        <v/>
      </c>
      <c r="E21" s="58" t="s">
        <v>11</v>
      </c>
      <c r="F21" s="59" t="s">
        <v>213</v>
      </c>
      <c r="G21" s="60" t="str">
        <f>IF(COUNTIFS($C$15:C21,C21,$H$15:H21,H21)=1,
SUMIFS($I$15:$I$28,$C$15:$C$28,C21,$H$15:$H$28,H21)&amp;H21&amp;" "&amp;C21,
"")</f>
        <v/>
      </c>
      <c r="H21" s="58" t="s">
        <v>22</v>
      </c>
      <c r="I21" s="61">
        <v>1</v>
      </c>
      <c r="J21" s="158"/>
      <c r="K21" s="158" cm="1">
        <f t="array" ref="K21">IF(E21="untrim",_xlfn.XLOOKUP(1,(TRIM('SIZE GUIDE'!$A$3:$A$2015)=TRIM(E21))*(TRIM('SIZE GUIDE'!$B$3:$B$2015)=TRIM(F21))*(TRIM('SIZE GUIDE'!$C$3:$C$2015)=TRIM(H21)),'SIZE GUIDE'!$D$3:$D$2015),"")</f>
        <v>108</v>
      </c>
      <c r="L21" s="168" cm="1">
        <f t="array" ref="L21">IF(E21="untrim",IFERROR(INDEX('SIZE GUIDE'!$E:$E,MATCH(1,('SIZE GUIDE'!$A:$A=$E21)*('SIZE GUIDE'!$B:$B=$F21)*('SIZE GUIDE'!$C:$C=$H21),0)),""),"")</f>
        <v>81</v>
      </c>
      <c r="M21" s="158">
        <v>42</v>
      </c>
      <c r="N21" s="65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65" t="str" cm="1">
        <f t="array" ref="O21">IF(E21="trim",IFERROR(INDEX('SIZE GUIDE'!$E:$E,MATCH(1,('SIZE GUIDE'!$A:$A=$E21)*('SIZE GUIDE'!$B:$B=$F21)*('SIZE GUIDE'!$C:$C=$H21),0)),""),"")</f>
        <v/>
      </c>
      <c r="P21" s="65"/>
      <c r="Q21" s="258">
        <f t="shared" si="1"/>
        <v>108</v>
      </c>
      <c r="R21" s="258">
        <f t="shared" si="1"/>
        <v>81</v>
      </c>
      <c r="S21" s="258">
        <f t="shared" si="4"/>
        <v>41.5</v>
      </c>
      <c r="T21" s="93">
        <f t="shared" si="0"/>
        <v>2521.125</v>
      </c>
      <c r="U21" s="94">
        <f>SUMIFS(CODE_PRICE!F:F,CODE_PRICE!B:B,C21,CODE_PRICE!A:A,$A$8)</f>
        <v>0.1968</v>
      </c>
      <c r="V21" s="95">
        <f t="shared" si="2"/>
        <v>496.1574</v>
      </c>
      <c r="W21" s="102" t="str">
        <f>IF(COUNTIF($C$15:C21,C21)=1,C21 &amp; " - " &amp; TEXT(SUMIF($C:$C,C21,$T:$T),"0.00"),"")</f>
        <v/>
      </c>
      <c r="X21" s="103" t="str">
        <f>IF(COUNTIF($C$15:C21,C21)=1,ROUND(SUMIF($C:$C,C21,$V:$V),2), "")</f>
        <v/>
      </c>
    </row>
    <row r="22" spans="1:24" s="17" customFormat="1" ht="36" customHeight="1" x14ac:dyDescent="0.2">
      <c r="A22" s="57">
        <f t="shared" si="3"/>
        <v>8</v>
      </c>
      <c r="B22" s="57" t="str" cm="1">
        <f t="array" ref="B22">_xlfn.LET(_xlpm.r,_xlfn.XLOOKUP(1,
(TRIM(CODE_PRICE!$A$4:$A$2003)=TRIM($C$4))*
(TRIM(CODE_PRICE!$B$4:$B$2003)=TRIM(C22)),
CODE_PRICE!$C$4:$C$2003,
""),
IF(OR(_xlpm.r="",_xlpm.r=0),"",_xlpm.r))</f>
        <v/>
      </c>
      <c r="C22" s="57" t="s">
        <v>89</v>
      </c>
      <c r="D22" s="58" t="str">
        <f>_xlfn.XLOOKUP(B22,CODE_PRICE!C:C,CODE_PRICE!D:D,"")</f>
        <v/>
      </c>
      <c r="E22" s="58" t="s">
        <v>11</v>
      </c>
      <c r="F22" s="59" t="s">
        <v>213</v>
      </c>
      <c r="G22" s="60" t="str">
        <f>IF(COUNTIFS($C$15:C22,C22,$H$15:H22,H22)=1,
SUMIFS($I$15:$I$28,$C$15:$C$28,C22,$H$15:$H$28,H22)&amp;H22&amp;" "&amp;C22,
"")</f>
        <v/>
      </c>
      <c r="H22" s="58" t="s">
        <v>22</v>
      </c>
      <c r="I22" s="61">
        <v>1</v>
      </c>
      <c r="J22" s="158"/>
      <c r="K22" s="158" cm="1">
        <f t="array" ref="K22">IF(E22="untrim",_xlfn.XLOOKUP(1,(TRIM('SIZE GUIDE'!$A$3:$A$2015)=TRIM(E22))*(TRIM('SIZE GUIDE'!$B$3:$B$2015)=TRIM(F22))*(TRIM('SIZE GUIDE'!$C$3:$C$2015)=TRIM(H22)),'SIZE GUIDE'!$D$3:$D$2015),"")</f>
        <v>108</v>
      </c>
      <c r="L22" s="168" cm="1">
        <f t="array" ref="L22">IF(E22="untrim",IFERROR(INDEX('SIZE GUIDE'!$E:$E,MATCH(1,('SIZE GUIDE'!$A:$A=$E22)*('SIZE GUIDE'!$B:$B=$F22)*('SIZE GUIDE'!$C:$C=$H22),0)),""),"")</f>
        <v>81</v>
      </c>
      <c r="M22" s="158">
        <v>42.5</v>
      </c>
      <c r="N22" s="65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65" t="str" cm="1">
        <f t="array" ref="O22">IF(E22="trim",IFERROR(INDEX('SIZE GUIDE'!$E:$E,MATCH(1,('SIZE GUIDE'!$A:$A=$E22)*('SIZE GUIDE'!$B:$B=$F22)*('SIZE GUIDE'!$C:$C=$H22),0)),""),"")</f>
        <v/>
      </c>
      <c r="P22" s="65"/>
      <c r="Q22" s="258">
        <f t="shared" si="1"/>
        <v>108</v>
      </c>
      <c r="R22" s="258">
        <f t="shared" si="1"/>
        <v>81</v>
      </c>
      <c r="S22" s="258">
        <f t="shared" si="4"/>
        <v>42</v>
      </c>
      <c r="T22" s="93">
        <f t="shared" si="0"/>
        <v>2551.5</v>
      </c>
      <c r="U22" s="94">
        <f>SUMIFS(CODE_PRICE!F:F,CODE_PRICE!B:B,C22,CODE_PRICE!A:A,$A$8)</f>
        <v>0.1968</v>
      </c>
      <c r="V22" s="95">
        <f t="shared" si="2"/>
        <v>502.1352</v>
      </c>
      <c r="W22" s="102" t="str">
        <f>IF(COUNTIF($C$15:C22,C22)=1,C22 &amp; " - " &amp; TEXT(SUMIF($C:$C,C22,$T:$T),"0.00"),"")</f>
        <v/>
      </c>
      <c r="X22" s="103" t="str">
        <f>IF(COUNTIF($C$15:C22,C22)=1,ROUND(SUMIF($C:$C,C22,$V:$V),2), "")</f>
        <v/>
      </c>
    </row>
    <row r="23" spans="1:24" s="17" customFormat="1" ht="36" customHeight="1" x14ac:dyDescent="0.2">
      <c r="A23" s="57">
        <f t="shared" si="3"/>
        <v>9</v>
      </c>
      <c r="B23" s="57" t="str" cm="1">
        <f t="array" ref="B23">_xlfn.LET(_xlpm.r,_xlfn.XLOOKUP(1,
(TRIM(CODE_PRICE!$A$4:$A$2003)=TRIM($C$4))*
(TRIM(CODE_PRICE!$B$4:$B$2003)=TRIM(C23)),
CODE_PRICE!$C$4:$C$2003,
""),
IF(OR(_xlpm.r="",_xlpm.r=0),"",_xlpm.r))</f>
        <v/>
      </c>
      <c r="C23" s="57" t="s">
        <v>89</v>
      </c>
      <c r="D23" s="58" t="str">
        <f>_xlfn.XLOOKUP(B23,CODE_PRICE!C:C,CODE_PRICE!D:D,"")</f>
        <v/>
      </c>
      <c r="E23" s="58" t="s">
        <v>11</v>
      </c>
      <c r="F23" s="59" t="s">
        <v>213</v>
      </c>
      <c r="G23" s="60" t="str">
        <f>IF(COUNTIFS($C$15:C23,C23,$H$15:H23,H23)=1,
SUMIFS($I$15:$I$28,$C$15:$C$28,C23,$H$15:$H$28,H23)&amp;H23&amp;" "&amp;C23,
"")</f>
        <v/>
      </c>
      <c r="H23" s="58" t="s">
        <v>22</v>
      </c>
      <c r="I23" s="61">
        <v>1</v>
      </c>
      <c r="J23" s="158"/>
      <c r="K23" s="158" cm="1">
        <f t="array" ref="K23">IF(E23="untrim",_xlfn.XLOOKUP(1,(TRIM('SIZE GUIDE'!$A$3:$A$2015)=TRIM(E23))*(TRIM('SIZE GUIDE'!$B$3:$B$2015)=TRIM(F23))*(TRIM('SIZE GUIDE'!$C$3:$C$2015)=TRIM(H23)),'SIZE GUIDE'!$D$3:$D$2015),"")</f>
        <v>108</v>
      </c>
      <c r="L23" s="168" cm="1">
        <f t="array" ref="L23">IF(E23="untrim",IFERROR(INDEX('SIZE GUIDE'!$E:$E,MATCH(1,('SIZE GUIDE'!$A:$A=$E23)*('SIZE GUIDE'!$B:$B=$F23)*('SIZE GUIDE'!$C:$C=$H23),0)),""),"")</f>
        <v>81</v>
      </c>
      <c r="M23" s="158">
        <v>42</v>
      </c>
      <c r="N23" s="65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65" t="str" cm="1">
        <f t="array" ref="O23">IF(E23="trim",IFERROR(INDEX('SIZE GUIDE'!$E:$E,MATCH(1,('SIZE GUIDE'!$A:$A=$E23)*('SIZE GUIDE'!$B:$B=$F23)*('SIZE GUIDE'!$C:$C=$H23),0)),""),"")</f>
        <v/>
      </c>
      <c r="P23" s="65"/>
      <c r="Q23" s="258">
        <f t="shared" si="1"/>
        <v>108</v>
      </c>
      <c r="R23" s="258">
        <f t="shared" si="1"/>
        <v>81</v>
      </c>
      <c r="S23" s="258">
        <f t="shared" si="4"/>
        <v>41.5</v>
      </c>
      <c r="T23" s="93">
        <f t="shared" si="0"/>
        <v>2521.125</v>
      </c>
      <c r="U23" s="94">
        <f>SUMIFS(CODE_PRICE!F:F,CODE_PRICE!B:B,C23,CODE_PRICE!A:A,$A$8)</f>
        <v>0.1968</v>
      </c>
      <c r="V23" s="95">
        <f t="shared" si="2"/>
        <v>496.1574</v>
      </c>
      <c r="W23" s="102" t="str">
        <f>IF(COUNTIF($C$15:C23,C23)=1,C23 &amp; " - " &amp; TEXT(SUMIF($C:$C,C23,$T:$T),"0.00"),"")</f>
        <v/>
      </c>
      <c r="X23" s="103" t="str">
        <f>IF(COUNTIF($C$15:C23,C23)=1,ROUND(SUMIF($C:$C,C23,$V:$V),2), "")</f>
        <v/>
      </c>
    </row>
    <row r="24" spans="1:24" s="17" customFormat="1" ht="36" customHeight="1" x14ac:dyDescent="0.2">
      <c r="A24" s="57">
        <f>A23+1</f>
        <v>10</v>
      </c>
      <c r="B24" s="57" t="str" cm="1">
        <f t="array" ref="B24">_xlfn.LET(_xlpm.r,_xlfn.XLOOKUP(1,
(TRIM(CODE_PRICE!$A$4:$A$2003)=TRIM($C$4))*
(TRIM(CODE_PRICE!$B$4:$B$2003)=TRIM(C24)),
CODE_PRICE!$C$4:$C$2003,
""),
IF(OR(_xlpm.r="",_xlpm.r=0),"",_xlpm.r))</f>
        <v/>
      </c>
      <c r="C24" s="57" t="s">
        <v>89</v>
      </c>
      <c r="D24" s="58" t="str">
        <f>_xlfn.XLOOKUP(B24,CODE_PRICE!C:C,CODE_PRICE!D:D,"")</f>
        <v/>
      </c>
      <c r="E24" s="58" t="s">
        <v>11</v>
      </c>
      <c r="F24" s="59" t="s">
        <v>213</v>
      </c>
      <c r="G24" s="60" t="str">
        <f>IF(COUNTIFS($C$15:C24,C24,$H$15:H24,H24)=1,
SUMIFS($I$15:$I$28,$C$15:$C$28,C24,$H$15:$H$28,H24)&amp;H24&amp;" "&amp;C24,
"")</f>
        <v/>
      </c>
      <c r="H24" s="58" t="s">
        <v>22</v>
      </c>
      <c r="I24" s="61">
        <v>1</v>
      </c>
      <c r="J24" s="158"/>
      <c r="K24" s="158" cm="1">
        <f t="array" ref="K24">IF(E24="untrim",_xlfn.XLOOKUP(1,(TRIM('SIZE GUIDE'!$A$3:$A$2015)=TRIM(E24))*(TRIM('SIZE GUIDE'!$B$3:$B$2015)=TRIM(F24))*(TRIM('SIZE GUIDE'!$C$3:$C$2015)=TRIM(H24)),'SIZE GUIDE'!$D$3:$D$2015),"")</f>
        <v>108</v>
      </c>
      <c r="L24" s="168" cm="1">
        <f t="array" ref="L24">IF(E24="untrim",IFERROR(INDEX('SIZE GUIDE'!$E:$E,MATCH(1,('SIZE GUIDE'!$A:$A=$E24)*('SIZE GUIDE'!$B:$B=$F24)*('SIZE GUIDE'!$C:$C=$H24),0)),""),"")</f>
        <v>81</v>
      </c>
      <c r="M24" s="158">
        <v>42</v>
      </c>
      <c r="N24" s="65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65" t="str" cm="1">
        <f t="array" ref="O24">IF(E24="trim",IFERROR(INDEX('SIZE GUIDE'!$E:$E,MATCH(1,('SIZE GUIDE'!$A:$A=$E24)*('SIZE GUIDE'!$B:$B=$F24)*('SIZE GUIDE'!$C:$C=$H24),0)),""),"")</f>
        <v/>
      </c>
      <c r="P24" s="65"/>
      <c r="Q24" s="258">
        <f t="shared" si="1"/>
        <v>108</v>
      </c>
      <c r="R24" s="258">
        <f t="shared" si="1"/>
        <v>81</v>
      </c>
      <c r="S24" s="258">
        <f t="shared" si="4"/>
        <v>41.5</v>
      </c>
      <c r="T24" s="93">
        <f t="shared" si="0"/>
        <v>2521.125</v>
      </c>
      <c r="U24" s="94">
        <f>SUMIFS(CODE_PRICE!F:F,CODE_PRICE!B:B,C24,CODE_PRICE!A:A,$A$8)</f>
        <v>0.1968</v>
      </c>
      <c r="V24" s="95">
        <f t="shared" si="2"/>
        <v>496.1574</v>
      </c>
      <c r="W24" s="102" t="str">
        <f>IF(COUNTIF($C$15:C24,C24)=1,C24 &amp; " - " &amp; TEXT(SUMIF($C:$C,C24,$T:$T),"0.00"),"")</f>
        <v/>
      </c>
      <c r="X24" s="103" t="str">
        <f>IF(COUNTIF($C$15:C24,C24)=1,ROUND(SUMIF($C:$C,C24,$V:$V),2), "")</f>
        <v/>
      </c>
    </row>
    <row r="25" spans="1:24" s="17" customFormat="1" ht="36" hidden="1" customHeight="1" x14ac:dyDescent="0.2">
      <c r="A25" s="57">
        <f>A24+1</f>
        <v>11</v>
      </c>
      <c r="B25" s="57"/>
      <c r="C25" s="57" t="s">
        <v>278</v>
      </c>
      <c r="D25" s="58"/>
      <c r="E25" s="58" t="s">
        <v>11</v>
      </c>
      <c r="F25" s="59"/>
      <c r="G25" s="60" t="s">
        <v>281</v>
      </c>
      <c r="H25" s="58" t="s">
        <v>16</v>
      </c>
      <c r="I25" s="61"/>
      <c r="J25" s="158"/>
      <c r="K25" s="158"/>
      <c r="L25" s="168"/>
      <c r="M25" s="158"/>
      <c r="N25" s="65"/>
      <c r="O25" s="65"/>
      <c r="P25" s="65"/>
      <c r="Q25" s="258">
        <v>82</v>
      </c>
      <c r="R25" s="258">
        <v>63.5</v>
      </c>
      <c r="S25" s="258">
        <v>30.5</v>
      </c>
      <c r="T25" s="93">
        <v>0</v>
      </c>
      <c r="U25" s="93">
        <v>0</v>
      </c>
      <c r="V25" s="95">
        <v>0</v>
      </c>
      <c r="W25" s="102"/>
      <c r="X25" s="103"/>
    </row>
    <row r="26" spans="1:24" s="17" customFormat="1" ht="36" hidden="1" customHeight="1" x14ac:dyDescent="0.2">
      <c r="A26" s="57">
        <f>A25+1</f>
        <v>12</v>
      </c>
      <c r="B26" s="57"/>
      <c r="C26" s="57" t="s">
        <v>282</v>
      </c>
      <c r="D26" s="58"/>
      <c r="E26" s="58" t="s">
        <v>279</v>
      </c>
      <c r="F26" s="59"/>
      <c r="G26" s="60" t="s">
        <v>280</v>
      </c>
      <c r="H26" s="57" t="s">
        <v>18</v>
      </c>
      <c r="I26" s="61"/>
      <c r="J26" s="158"/>
      <c r="K26" s="158"/>
      <c r="L26" s="168"/>
      <c r="M26" s="158"/>
      <c r="N26" s="65"/>
      <c r="O26" s="65"/>
      <c r="P26" s="65"/>
      <c r="Q26" s="93">
        <v>0</v>
      </c>
      <c r="R26" s="93">
        <v>0</v>
      </c>
      <c r="S26" s="93">
        <v>0</v>
      </c>
      <c r="T26" s="93">
        <v>0</v>
      </c>
      <c r="U26" s="93">
        <v>0</v>
      </c>
      <c r="V26" s="95">
        <v>0</v>
      </c>
      <c r="W26" s="102"/>
      <c r="X26" s="103"/>
    </row>
    <row r="27" spans="1:24" s="17" customFormat="1" ht="36" hidden="1" customHeight="1" x14ac:dyDescent="0.2">
      <c r="A27" s="57">
        <f>A26+1</f>
        <v>13</v>
      </c>
      <c r="B27" s="57"/>
      <c r="C27" s="57" t="s">
        <v>283</v>
      </c>
      <c r="D27" s="58"/>
      <c r="E27" s="58" t="s">
        <v>279</v>
      </c>
      <c r="F27" s="59"/>
      <c r="G27" s="60" t="s">
        <v>280</v>
      </c>
      <c r="H27" s="58" t="s">
        <v>18</v>
      </c>
      <c r="I27" s="61"/>
      <c r="J27" s="158"/>
      <c r="K27" s="158"/>
      <c r="L27" s="168"/>
      <c r="M27" s="158"/>
      <c r="N27" s="65"/>
      <c r="O27" s="65"/>
      <c r="P27" s="65"/>
      <c r="Q27" s="93">
        <v>0</v>
      </c>
      <c r="R27" s="93">
        <v>0</v>
      </c>
      <c r="S27" s="93">
        <v>0</v>
      </c>
      <c r="T27" s="93">
        <v>0</v>
      </c>
      <c r="U27" s="93">
        <v>0</v>
      </c>
      <c r="V27" s="95">
        <v>0</v>
      </c>
      <c r="W27" s="102"/>
      <c r="X27" s="103"/>
    </row>
    <row r="28" spans="1:24" s="17" customFormat="1" ht="36" hidden="1" customHeight="1" x14ac:dyDescent="0.2">
      <c r="A28" s="57"/>
      <c r="B28" s="57"/>
      <c r="C28" s="57"/>
      <c r="D28" s="58"/>
      <c r="E28" s="58"/>
      <c r="F28" s="59"/>
      <c r="G28" s="60"/>
      <c r="H28" s="58"/>
      <c r="I28" s="61"/>
      <c r="J28" s="158"/>
      <c r="K28" s="158"/>
      <c r="L28" s="168"/>
      <c r="M28" s="158"/>
      <c r="N28" s="65"/>
      <c r="O28" s="65"/>
      <c r="P28" s="65"/>
      <c r="Q28" s="93">
        <v>0</v>
      </c>
      <c r="R28" s="93">
        <v>0</v>
      </c>
      <c r="S28" s="93">
        <v>0</v>
      </c>
      <c r="T28" s="93">
        <v>0</v>
      </c>
      <c r="U28" s="93">
        <v>0</v>
      </c>
      <c r="V28" s="95">
        <v>0</v>
      </c>
      <c r="W28" s="102"/>
      <c r="X28" s="103"/>
    </row>
    <row r="29" spans="1:24" s="17" customFormat="1" ht="41.25" customHeight="1" thickBot="1" x14ac:dyDescent="0.25">
      <c r="A29" s="53"/>
      <c r="B29" s="53"/>
      <c r="C29" s="53"/>
      <c r="D29" s="53"/>
      <c r="E29" s="67"/>
      <c r="F29" s="68"/>
      <c r="G29" s="68"/>
      <c r="H29" s="69" t="s">
        <v>155</v>
      </c>
      <c r="I29" s="70">
        <f>SUM(I15:I28)</f>
        <v>10</v>
      </c>
      <c r="J29" s="55"/>
      <c r="K29" s="55"/>
      <c r="L29" s="55"/>
      <c r="M29" s="55"/>
      <c r="N29" s="56"/>
      <c r="O29" s="56"/>
      <c r="P29" s="122"/>
      <c r="Q29" s="67"/>
      <c r="R29" s="67"/>
      <c r="S29" s="67"/>
      <c r="T29" s="96">
        <f>SUM(T15:T28)</f>
        <v>25241.625</v>
      </c>
      <c r="U29" s="97"/>
      <c r="V29" s="92">
        <f>SUM(V15:V28)</f>
        <v>4967.5518000000002</v>
      </c>
      <c r="W29" s="109">
        <f>T29</f>
        <v>25241.625</v>
      </c>
      <c r="X29" s="104">
        <f>SUM(X15:X28)</f>
        <v>4967.55</v>
      </c>
    </row>
    <row r="30" spans="1:24" s="17" customFormat="1" ht="41.25" customHeight="1" x14ac:dyDescent="0.2">
      <c r="A30" s="57"/>
      <c r="B30" s="71"/>
      <c r="C30" s="71"/>
      <c r="D30" s="72"/>
      <c r="E30" s="72"/>
      <c r="F30" s="73"/>
      <c r="G30" s="74"/>
      <c r="H30" s="75" t="s">
        <v>156</v>
      </c>
      <c r="I30" s="76"/>
      <c r="J30" s="77"/>
      <c r="K30" s="78"/>
      <c r="L30" s="79"/>
      <c r="M30" s="78"/>
      <c r="N30" s="78"/>
      <c r="O30" s="78"/>
      <c r="P30" s="78"/>
      <c r="Q30" s="80"/>
      <c r="R30" s="80"/>
      <c r="S30" s="80"/>
      <c r="T30" s="81"/>
      <c r="U30" s="82"/>
      <c r="V30" s="83"/>
      <c r="W30" s="19"/>
      <c r="X30" s="25"/>
    </row>
    <row r="31" spans="1:24" s="17" customFormat="1" ht="41.25" customHeight="1" thickBot="1" x14ac:dyDescent="0.25">
      <c r="A31" s="53"/>
      <c r="B31" s="53"/>
      <c r="C31" s="68"/>
      <c r="D31" s="67"/>
      <c r="E31" s="67"/>
      <c r="F31" s="67"/>
      <c r="G31" s="67"/>
      <c r="H31" s="69" t="s">
        <v>162</v>
      </c>
      <c r="I31" s="70">
        <f>I29</f>
        <v>10</v>
      </c>
      <c r="J31" s="55"/>
      <c r="K31" s="55"/>
      <c r="L31" s="55"/>
      <c r="M31" s="55"/>
      <c r="N31" s="56"/>
      <c r="O31" s="56"/>
      <c r="P31" s="122"/>
      <c r="Q31" s="67"/>
      <c r="R31" s="67"/>
      <c r="S31" s="67"/>
      <c r="T31" s="96">
        <f>T29</f>
        <v>25241.625</v>
      </c>
      <c r="U31" s="97"/>
      <c r="V31" s="92">
        <f>+V29+V30</f>
        <v>4967.5518000000002</v>
      </c>
      <c r="W31" s="109">
        <f>W29</f>
        <v>25241.625</v>
      </c>
      <c r="X31" s="104">
        <f>X29</f>
        <v>4967.55</v>
      </c>
    </row>
    <row r="32" spans="1:24" ht="15" customHeight="1" x14ac:dyDescent="0.25">
      <c r="A32" s="48"/>
      <c r="B32" s="48"/>
      <c r="C32" s="48"/>
      <c r="D32" s="48"/>
      <c r="E32" s="48"/>
      <c r="F32" s="84"/>
      <c r="G32" s="48"/>
      <c r="H32" s="85"/>
      <c r="I32" s="85"/>
      <c r="J32" s="8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89"/>
    </row>
    <row r="33" spans="1:25" ht="15" customHeight="1" x14ac:dyDescent="0.25">
      <c r="A33" s="48" t="s">
        <v>153</v>
      </c>
      <c r="B33" s="48"/>
      <c r="C33" s="48"/>
      <c r="D33" s="48"/>
      <c r="E33" s="48"/>
      <c r="F33" s="84"/>
      <c r="G33" s="48"/>
      <c r="H33" s="85"/>
      <c r="I33" s="85"/>
      <c r="J33" s="8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89"/>
    </row>
    <row r="34" spans="1:25" ht="15" customHeight="1" x14ac:dyDescent="0.25">
      <c r="A34" s="48"/>
      <c r="B34" s="48"/>
      <c r="C34" s="48"/>
      <c r="D34" s="48"/>
      <c r="E34" s="48"/>
      <c r="F34" s="84"/>
      <c r="G34" s="48"/>
      <c r="H34" s="85"/>
      <c r="I34" s="85"/>
      <c r="J34" s="8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89"/>
    </row>
    <row r="35" spans="1:25" ht="15" customHeight="1" x14ac:dyDescent="0.25">
      <c r="A35" s="48" t="s">
        <v>154</v>
      </c>
      <c r="B35" s="48"/>
      <c r="C35" s="48"/>
      <c r="D35" s="48"/>
      <c r="E35" s="48"/>
      <c r="F35" s="84"/>
      <c r="G35" s="48"/>
      <c r="H35" s="85"/>
      <c r="I35" s="85"/>
      <c r="J35" s="8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89"/>
    </row>
    <row r="36" spans="1:25" ht="15" customHeight="1" x14ac:dyDescent="0.25">
      <c r="A36" s="48"/>
      <c r="B36" s="48"/>
      <c r="C36" s="48"/>
      <c r="D36" s="48"/>
      <c r="E36" s="48"/>
      <c r="F36" s="84"/>
      <c r="G36" s="48"/>
      <c r="H36" s="85"/>
      <c r="I36" s="85"/>
      <c r="J36" s="8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89"/>
    </row>
    <row r="37" spans="1:25" ht="15" customHeight="1" x14ac:dyDescent="0.25">
      <c r="A37" s="48"/>
      <c r="B37" s="48"/>
      <c r="C37" s="48"/>
      <c r="D37" s="48"/>
      <c r="E37" s="48"/>
      <c r="F37" s="84"/>
      <c r="G37" s="48"/>
      <c r="H37" s="85"/>
      <c r="I37" s="85"/>
      <c r="J37" s="8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89"/>
    </row>
    <row r="38" spans="1:25" ht="15" customHeight="1" x14ac:dyDescent="0.25">
      <c r="A38" s="86"/>
      <c r="B38" s="318"/>
      <c r="C38" s="318"/>
      <c r="D38" s="318"/>
      <c r="E38" s="318"/>
      <c r="F38" s="318"/>
      <c r="G38" s="318"/>
      <c r="H38" s="318"/>
      <c r="I38" s="318"/>
      <c r="J38" s="318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89"/>
    </row>
    <row r="39" spans="1:25" ht="15" customHeight="1" x14ac:dyDescent="0.25">
      <c r="A39" s="86"/>
      <c r="B39" s="319"/>
      <c r="C39" s="319"/>
      <c r="D39" s="319"/>
      <c r="E39" s="319"/>
      <c r="F39" s="319"/>
      <c r="G39" s="319"/>
      <c r="H39" s="319"/>
      <c r="I39" s="319"/>
      <c r="J39" s="319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89"/>
      <c r="X39" s="16"/>
      <c r="Y39" s="23"/>
    </row>
  </sheetData>
  <mergeCells count="5">
    <mergeCell ref="A7:E7"/>
    <mergeCell ref="F7:G7"/>
    <mergeCell ref="R9:S9"/>
    <mergeCell ref="B38:J38"/>
    <mergeCell ref="B39:J39"/>
  </mergeCells>
  <pageMargins left="0" right="0" top="1" bottom="0" header="0.511811023622047" footer="0.511811023622047"/>
  <pageSetup paperSize="9" scale="54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xr:uid="{F08BF2C8-C966-45AC-8A4D-E36B45C49EBA}">
          <x14:formula1>
            <xm:f>CODE_MASTER_AS!$A$3:$A$14</xm:f>
          </x14:formula1>
          <xm:sqref>F29:G29 C30:C31 C15:C25 C28</xm:sqref>
        </x14:dataValidation>
        <x14:dataValidation type="list" allowBlank="1" xr:uid="{8EC962FE-B290-4B9E-88D6-13BBDE38507F}">
          <x14:formula1>
            <xm:f>'SIZE GUIDE'!$A$3:$A$38</xm:f>
          </x14:formula1>
          <xm:sqref>E15:E31</xm:sqref>
        </x14:dataValidation>
        <x14:dataValidation type="list" allowBlank="1" xr:uid="{DD58FC1F-CA95-43F0-8359-206C349FBB80}">
          <x14:formula1>
            <xm:f>LISTS!$B$2:$B$8</xm:f>
          </x14:formula1>
          <x14:formula2>
            <xm:f>0</xm:f>
          </x14:formula2>
          <xm:sqref>H15:H31</xm:sqref>
        </x14:dataValidation>
        <x14:dataValidation type="list" allowBlank="1" showInputMessage="1" showErrorMessage="1" xr:uid="{D8718022-A18F-4A94-ADD1-7440993E10B1}">
          <x14:formula1>
            <xm:f>'SIZE GUIDE'!$B:$B</xm:f>
          </x14:formula1>
          <xm:sqref>G29 F15:F31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9C064-5E08-481B-803C-FFC883A520D1}">
  <sheetPr codeName="Sheet22">
    <pageSetUpPr fitToPage="1"/>
  </sheetPr>
  <dimension ref="A1:AH55"/>
  <sheetViews>
    <sheetView showGridLines="0" view="pageBreakPreview" topLeftCell="A16" zoomScale="80" zoomScaleNormal="68" zoomScaleSheetLayoutView="80" workbookViewId="0">
      <selection activeCell="S28" sqref="S28:S34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25" style="16" hidden="1" customWidth="1"/>
    <col min="5" max="5" width="16.83203125" style="16" customWidth="1"/>
    <col min="6" max="6" width="15.33203125" style="16" hidden="1" customWidth="1"/>
    <col min="7" max="7" width="23.5" style="16" bestFit="1" customWidth="1"/>
    <col min="8" max="8" width="17.6640625" style="16" customWidth="1"/>
    <col min="9" max="9" width="10.6640625" style="16" customWidth="1"/>
    <col min="10" max="10" width="10.6640625" style="15" hidden="1" customWidth="1"/>
    <col min="11" max="11" width="10.6640625" style="16" hidden="1" customWidth="1"/>
    <col min="12" max="12" width="10.6640625" style="269" hidden="1" customWidth="1"/>
    <col min="13" max="16" width="10.6640625" style="16" hidden="1" customWidth="1"/>
    <col min="17" max="19" width="10.6640625" style="16" customWidth="1"/>
    <col min="20" max="20" width="14.6640625" style="16" customWidth="1"/>
    <col min="21" max="21" width="14.1640625" style="16" customWidth="1"/>
    <col min="22" max="22" width="14.5" style="98" customWidth="1"/>
    <col min="23" max="23" width="28.1640625" style="16" customWidth="1"/>
    <col min="24" max="24" width="20.33203125" style="23" customWidth="1"/>
    <col min="25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45"/>
      <c r="K1" s="29"/>
      <c r="L1" s="261"/>
      <c r="M1" s="29" t="s">
        <v>204</v>
      </c>
      <c r="N1" s="27"/>
      <c r="O1" s="27"/>
      <c r="P1" s="27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246"/>
      <c r="K2" s="31"/>
      <c r="L2" s="261"/>
      <c r="M2" s="32" t="s">
        <v>161</v>
      </c>
      <c r="N2" s="27"/>
      <c r="O2" s="27"/>
      <c r="P2" s="28" t="s">
        <v>160</v>
      </c>
      <c r="R2" s="20"/>
      <c r="S2" s="21"/>
      <c r="U2" s="13"/>
      <c r="V2" s="20"/>
      <c r="W2" s="20"/>
      <c r="X2" s="20" t="s">
        <v>151</v>
      </c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247"/>
      <c r="K3" s="37"/>
      <c r="L3" s="262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247"/>
      <c r="K4" s="37"/>
      <c r="L4" s="262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247"/>
      <c r="K5" s="37"/>
      <c r="L5" s="262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247"/>
      <c r="K6" s="37"/>
      <c r="L6" s="262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5" t="s">
        <v>143</v>
      </c>
      <c r="B7" s="315"/>
      <c r="C7" s="315"/>
      <c r="D7" s="315"/>
      <c r="E7" s="315"/>
      <c r="F7" s="316"/>
      <c r="G7" s="316"/>
      <c r="H7" s="35"/>
      <c r="I7" s="35"/>
      <c r="J7" s="247"/>
      <c r="K7" s="37"/>
      <c r="L7" s="262"/>
      <c r="M7" s="37"/>
      <c r="N7" s="38"/>
      <c r="O7" s="38"/>
      <c r="P7" s="38"/>
      <c r="Q7" s="231" t="s">
        <v>147</v>
      </c>
      <c r="R7" s="231"/>
      <c r="S7" s="231"/>
      <c r="T7" s="231"/>
      <c r="U7" s="231"/>
      <c r="V7" s="231" t="s">
        <v>148</v>
      </c>
      <c r="W7" s="231"/>
      <c r="X7" s="231"/>
    </row>
    <row r="8" spans="1:24" ht="15" customHeight="1" x14ac:dyDescent="0.25">
      <c r="A8" s="44" t="s">
        <v>212</v>
      </c>
      <c r="B8" s="45"/>
      <c r="C8" s="45"/>
      <c r="D8" s="46"/>
      <c r="E8" s="46"/>
      <c r="F8" s="36"/>
      <c r="G8" s="46"/>
      <c r="H8" s="35"/>
      <c r="I8" s="35"/>
      <c r="J8" s="247"/>
      <c r="K8" s="37"/>
      <c r="L8" s="262"/>
      <c r="M8" s="37"/>
      <c r="N8" s="38"/>
      <c r="O8" s="38"/>
      <c r="P8" s="38"/>
      <c r="Q8" s="190" t="s">
        <v>285</v>
      </c>
      <c r="R8" s="191"/>
      <c r="S8" s="192"/>
      <c r="T8" s="193"/>
      <c r="U8" s="194"/>
      <c r="V8" s="195">
        <v>46205</v>
      </c>
      <c r="W8" s="232"/>
      <c r="X8" s="233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247"/>
      <c r="K9" s="37"/>
      <c r="L9" s="262"/>
      <c r="M9" s="37"/>
      <c r="N9" s="38"/>
      <c r="O9" s="38"/>
      <c r="P9" s="38"/>
      <c r="Q9" s="225"/>
      <c r="R9" s="317"/>
      <c r="S9" s="317"/>
      <c r="T9" s="228"/>
      <c r="U9" s="234"/>
      <c r="V9" s="235"/>
      <c r="W9" s="232"/>
      <c r="X9" s="233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247"/>
      <c r="K10" s="37"/>
      <c r="L10" s="262"/>
      <c r="M10" s="37"/>
      <c r="N10" s="38"/>
      <c r="O10" s="38"/>
      <c r="P10" s="38"/>
      <c r="Q10" s="236" t="s">
        <v>149</v>
      </c>
      <c r="R10" s="231"/>
      <c r="S10" s="231"/>
      <c r="T10" s="231"/>
      <c r="U10" s="231"/>
      <c r="V10" s="231" t="s">
        <v>150</v>
      </c>
      <c r="W10" s="231"/>
      <c r="X10" s="231"/>
    </row>
    <row r="11" spans="1:24" ht="15" customHeight="1" x14ac:dyDescent="0.25">
      <c r="A11" s="188" t="s">
        <v>288</v>
      </c>
      <c r="B11" s="34"/>
      <c r="C11" s="35"/>
      <c r="D11" s="35"/>
      <c r="E11" s="46"/>
      <c r="F11" s="46"/>
      <c r="G11" s="46"/>
      <c r="H11" s="35"/>
      <c r="I11" s="35"/>
      <c r="J11" s="247"/>
      <c r="K11" s="37"/>
      <c r="L11" s="262"/>
      <c r="M11" s="37"/>
      <c r="N11" s="38"/>
      <c r="O11" s="38"/>
      <c r="P11" s="38"/>
      <c r="Q11" s="190" t="s">
        <v>284</v>
      </c>
      <c r="R11" s="190"/>
      <c r="S11" s="190"/>
      <c r="T11" s="193"/>
      <c r="U11" s="194"/>
      <c r="V11" s="190"/>
      <c r="W11" s="232"/>
      <c r="X11" s="233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247"/>
      <c r="K12" s="37"/>
      <c r="L12" s="262"/>
      <c r="M12" s="37"/>
      <c r="N12" s="38"/>
      <c r="O12" s="38"/>
      <c r="P12" s="38"/>
      <c r="Q12" s="190"/>
      <c r="R12" s="190"/>
      <c r="S12" s="190"/>
      <c r="T12" s="190"/>
      <c r="U12" s="194"/>
      <c r="V12" s="237"/>
      <c r="W12" s="232"/>
      <c r="X12" s="233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4"/>
      <c r="K13" s="50"/>
      <c r="L13" s="263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210" customFormat="1" ht="39.75" customHeight="1" x14ac:dyDescent="0.2">
      <c r="A14" s="212" t="s">
        <v>158</v>
      </c>
      <c r="B14" s="212" t="s">
        <v>0</v>
      </c>
      <c r="C14" s="212" t="s">
        <v>1</v>
      </c>
      <c r="D14" s="213" t="s">
        <v>135</v>
      </c>
      <c r="E14" s="213" t="s">
        <v>157</v>
      </c>
      <c r="F14" s="213" t="s">
        <v>3</v>
      </c>
      <c r="G14" s="213" t="s">
        <v>152</v>
      </c>
      <c r="H14" s="213" t="s">
        <v>105</v>
      </c>
      <c r="I14" s="213" t="s">
        <v>5</v>
      </c>
      <c r="J14" s="248" t="s">
        <v>64</v>
      </c>
      <c r="K14" s="216" t="s">
        <v>136</v>
      </c>
      <c r="L14" s="264" t="s">
        <v>24</v>
      </c>
      <c r="M14" s="216" t="s">
        <v>108</v>
      </c>
      <c r="N14" s="217" t="s">
        <v>136</v>
      </c>
      <c r="O14" s="217" t="s">
        <v>24</v>
      </c>
      <c r="P14" s="259" t="s">
        <v>108</v>
      </c>
      <c r="Q14" s="213" t="s">
        <v>136</v>
      </c>
      <c r="R14" s="213" t="s">
        <v>24</v>
      </c>
      <c r="S14" s="213" t="s">
        <v>108</v>
      </c>
      <c r="T14" s="218" t="s">
        <v>159</v>
      </c>
      <c r="U14" s="219" t="s">
        <v>6</v>
      </c>
      <c r="V14" s="220" t="s">
        <v>7</v>
      </c>
      <c r="W14" s="220" t="s">
        <v>140</v>
      </c>
      <c r="X14" s="220" t="s">
        <v>141</v>
      </c>
    </row>
    <row r="15" spans="1:24" s="210" customFormat="1" ht="31.5" customHeight="1" x14ac:dyDescent="0.2">
      <c r="A15" s="196">
        <v>1</v>
      </c>
      <c r="B15" s="196"/>
      <c r="C15" s="196" t="s">
        <v>89</v>
      </c>
      <c r="D15" s="197"/>
      <c r="E15" s="197" t="s">
        <v>11</v>
      </c>
      <c r="F15" s="198" t="s">
        <v>123</v>
      </c>
      <c r="G15" s="199" t="str">
        <f>IF(COUNTIFS($C$15:C15,C15,$H$15:H15,H15)=1,
SUMIFS($I$15:$I$42,$C$15:$C$42,C15,$H$15:$H$42,H15)&amp;H15&amp;" "&amp;C15,
"")</f>
        <v>2K CFN30100W</v>
      </c>
      <c r="H15" s="197" t="s">
        <v>18</v>
      </c>
      <c r="I15" s="200">
        <v>1</v>
      </c>
      <c r="J15" s="249"/>
      <c r="K15" s="201" cm="1">
        <f t="array" ref="K15">IF(E15="untrim",_xlfn.XLOOKUP(1,(TRIM('SIZE GUIDE'!$A$3:$A$2015)=TRIM(E15))*(TRIM('SIZE GUIDE'!$B$3:$B$2015)=TRIM(F15))*(TRIM('SIZE GUIDE'!$C$3:$C$2015)=TRIM(H15)),'SIZE GUIDE'!$D$3:$D$2015),"")</f>
        <v>81</v>
      </c>
      <c r="L15" s="265" cm="1">
        <f t="array" ref="L15">IF(E15="untrim",IFERROR(INDEX('SIZE GUIDE'!$E:$E,MATCH(1,('SIZE GUIDE'!$A:$A=$E15)*('SIZE GUIDE'!$B:$B=$F15)*('SIZE GUIDE'!$C:$C=$H15),0)),""),"")</f>
        <v>77</v>
      </c>
      <c r="M15" s="202">
        <v>43</v>
      </c>
      <c r="N15" s="203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203" t="str" cm="1">
        <f t="array" ref="O15">IF(E15="trim",IFERROR(INDEX('SIZE GUIDE'!$E:$E,MATCH(1,('SIZE GUIDE'!$A:$A=$E15)*('SIZE GUIDE'!$B:$B=$F15)*('SIZE GUIDE'!$C:$C=$H15),0)),""),"")</f>
        <v/>
      </c>
      <c r="P15" s="203"/>
      <c r="Q15" s="204">
        <v>84.5</v>
      </c>
      <c r="R15" s="198">
        <v>73.5</v>
      </c>
      <c r="S15" s="198">
        <f>IF(E15="untrim",M15-0.5,P15-0.5)</f>
        <v>42.5</v>
      </c>
      <c r="T15" s="205">
        <f>IFERROR(Q15*R15*S15/144*I15,"")</f>
        <v>1833.0338541666667</v>
      </c>
      <c r="U15" s="206">
        <f>SUMIFS(CODE_PRICE!F:F,CODE_PRICE!B:B,C15,CODE_PRICE!A:A,$A$8)</f>
        <v>0.1895</v>
      </c>
      <c r="V15" s="207">
        <f t="shared" ref="V15:V33" si="0">T15*U15</f>
        <v>347.35991536458334</v>
      </c>
      <c r="W15" s="208" t="str">
        <f>IF(COUNTIF($C$15:C15,C15)=1,C15 &amp; " - " &amp; TEXT(SUMIF($C:$C,C15,$T:$T),"0.00"),"")</f>
        <v>CFN30100W - 12855.03</v>
      </c>
      <c r="X15" s="209">
        <f>IF(COUNTIF($C$15:C15,C15)=1,ROUND(SUMIF($C:$C,C15,$V:$V),2), "")</f>
        <v>2436.0300000000002</v>
      </c>
    </row>
    <row r="16" spans="1:24" s="210" customFormat="1" ht="31.5" customHeight="1" x14ac:dyDescent="0.2">
      <c r="A16" s="196">
        <f>A15+1</f>
        <v>2</v>
      </c>
      <c r="B16" s="196"/>
      <c r="C16" s="196" t="s">
        <v>89</v>
      </c>
      <c r="D16" s="197"/>
      <c r="E16" s="197" t="s">
        <v>11</v>
      </c>
      <c r="F16" s="198" t="s">
        <v>123</v>
      </c>
      <c r="G16" s="199" t="str">
        <f>IF(COUNTIFS($C$15:C16,C16,$H$15:H16,H16)=1,
SUMIFS($I$15:$I$42,$C$15:$C$42,C16,$H$15:$H$42,H16)&amp;H16&amp;" "&amp;C16,
"")</f>
        <v/>
      </c>
      <c r="H16" s="197" t="s">
        <v>18</v>
      </c>
      <c r="I16" s="200">
        <v>1</v>
      </c>
      <c r="J16" s="249"/>
      <c r="K16" s="201" cm="1">
        <f t="array" ref="K16">IF(E16="untrim",_xlfn.XLOOKUP(1,(TRIM('SIZE GUIDE'!$A$3:$A$2015)=TRIM(E16))*(TRIM('SIZE GUIDE'!$B$3:$B$2015)=TRIM(F16))*(TRIM('SIZE GUIDE'!$C$3:$C$2015)=TRIM(H16)),'SIZE GUIDE'!$D$3:$D$2015),"")</f>
        <v>81</v>
      </c>
      <c r="L16" s="265" cm="1">
        <f t="array" ref="L16">IF(E16="untrim",IFERROR(INDEX('SIZE GUIDE'!$E:$E,MATCH(1,('SIZE GUIDE'!$A:$A=$E16)*('SIZE GUIDE'!$B:$B=$F16)*('SIZE GUIDE'!$C:$C=$H16),0)),""),"")</f>
        <v>77</v>
      </c>
      <c r="M16" s="202">
        <v>43</v>
      </c>
      <c r="N16" s="203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203" t="str" cm="1">
        <f t="array" ref="O16">IF(E16="trim",IFERROR(INDEX('SIZE GUIDE'!$E:$E,MATCH(1,('SIZE GUIDE'!$A:$A=$E16)*('SIZE GUIDE'!$B:$B=$F16)*('SIZE GUIDE'!$C:$C=$H16),0)),""),"")</f>
        <v/>
      </c>
      <c r="P16" s="203"/>
      <c r="Q16" s="204">
        <f t="shared" ref="Q16:Q33" si="1">IF(E16="untrim",K16-1.5,N16)</f>
        <v>79.5</v>
      </c>
      <c r="R16" s="198">
        <f t="shared" ref="R16:R33" si="2">IF(E16="untrim",L16-1.5,O16)</f>
        <v>75.5</v>
      </c>
      <c r="S16" s="198">
        <f t="shared" ref="S16:S33" si="3">IF(E16="untrim",M16-0.5,P16-0.5)</f>
        <v>42.5</v>
      </c>
      <c r="T16" s="205">
        <f t="shared" ref="T16:T33" si="4">IFERROR(Q16*R16*S16/144*I16,"")</f>
        <v>1771.4973958333333</v>
      </c>
      <c r="U16" s="206">
        <f>SUMIFS(CODE_PRICE!F:F,CODE_PRICE!B:B,C16,CODE_PRICE!A:A,$A$8)</f>
        <v>0.1895</v>
      </c>
      <c r="V16" s="207">
        <f t="shared" si="0"/>
        <v>335.69875651041667</v>
      </c>
      <c r="W16" s="208" t="str">
        <f>IF(COUNTIF($C$15:C16,C16)=1,C16 &amp; " - " &amp; TEXT(SUMIF($C:$C,C16,$T:$T),"0.00"),"")</f>
        <v/>
      </c>
      <c r="X16" s="209" t="str">
        <f>IF(COUNTIF($C$15:C16,C16)=1,ROUND(SUMIF($C:$C,C16,$V:$V),2), "")</f>
        <v/>
      </c>
    </row>
    <row r="17" spans="1:34" s="210" customFormat="1" ht="31.5" customHeight="1" x14ac:dyDescent="0.2">
      <c r="A17" s="196">
        <f t="shared" ref="A17:A34" si="5">A16+1</f>
        <v>3</v>
      </c>
      <c r="B17" s="196"/>
      <c r="C17" s="196" t="s">
        <v>89</v>
      </c>
      <c r="D17" s="197"/>
      <c r="E17" s="197" t="s">
        <v>11</v>
      </c>
      <c r="F17" s="198" t="s">
        <v>123</v>
      </c>
      <c r="G17" s="199" t="str">
        <f>IF(COUNTIFS($C$15:C17,C17,$H$15:H17,H17)=1,
SUMIFS($I$15:$I$42,$C$15:$C$42,C17,$H$15:$H$42,H17)&amp;H17&amp;" "&amp;C17,
"")</f>
        <v>4Q CFN30100W</v>
      </c>
      <c r="H17" s="197" t="s">
        <v>16</v>
      </c>
      <c r="I17" s="200">
        <v>1</v>
      </c>
      <c r="J17" s="249"/>
      <c r="K17" s="201" cm="1">
        <f t="array" ref="K17">IF(E17="untrim",_xlfn.XLOOKUP(1,(TRIM('SIZE GUIDE'!$A$3:$A$2015)=TRIM(E17))*(TRIM('SIZE GUIDE'!$B$3:$B$2015)=TRIM(F17))*(TRIM('SIZE GUIDE'!$C$3:$C$2015)=TRIM(H17)),'SIZE GUIDE'!$D$3:$D$2015),"")</f>
        <v>81</v>
      </c>
      <c r="L17" s="265" cm="1">
        <f t="array" ref="L17">IF(E17="untrim",IFERROR(INDEX('SIZE GUIDE'!$E:$E,MATCH(1,('SIZE GUIDE'!$A:$A=$E17)*('SIZE GUIDE'!$B:$B=$F17)*('SIZE GUIDE'!$C:$C=$H17),0)),""),"")</f>
        <v>61</v>
      </c>
      <c r="M17" s="202">
        <v>43</v>
      </c>
      <c r="N17" s="203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203" t="str" cm="1">
        <f t="array" ref="O17">IF(E17="trim",IFERROR(INDEX('SIZE GUIDE'!$E:$E,MATCH(1,('SIZE GUIDE'!$A:$A=$E17)*('SIZE GUIDE'!$B:$B=$F17)*('SIZE GUIDE'!$C:$C=$H17),0)),""),"")</f>
        <v/>
      </c>
      <c r="P17" s="203"/>
      <c r="Q17" s="204">
        <f t="shared" si="1"/>
        <v>79.5</v>
      </c>
      <c r="R17" s="198">
        <f t="shared" si="2"/>
        <v>59.5</v>
      </c>
      <c r="S17" s="198">
        <f t="shared" si="3"/>
        <v>42.5</v>
      </c>
      <c r="T17" s="205">
        <f t="shared" si="4"/>
        <v>1396.0807291666667</v>
      </c>
      <c r="U17" s="206">
        <f>SUMIFS(CODE_PRICE!F:F,CODE_PRICE!B:B,C17,CODE_PRICE!A:A,$A$8)</f>
        <v>0.1895</v>
      </c>
      <c r="V17" s="207">
        <f t="shared" si="0"/>
        <v>264.55729817708334</v>
      </c>
      <c r="W17" s="208" t="str">
        <f>IF(COUNTIF($C$15:C17,C17)=1,C17 &amp; " - " &amp; TEXT(SUMIF($C:$C,C17,$T:$T),"0.00"),"")</f>
        <v/>
      </c>
      <c r="X17" s="209" t="str">
        <f>IF(COUNTIF($C$15:C17,C17)=1,ROUND(SUMIF($C:$C,C17,$V:$V),2), "")</f>
        <v/>
      </c>
    </row>
    <row r="18" spans="1:34" s="210" customFormat="1" ht="31.5" customHeight="1" x14ac:dyDescent="0.2">
      <c r="A18" s="196">
        <f t="shared" si="5"/>
        <v>4</v>
      </c>
      <c r="B18" s="196"/>
      <c r="C18" s="196" t="s">
        <v>89</v>
      </c>
      <c r="D18" s="197"/>
      <c r="E18" s="197" t="s">
        <v>11</v>
      </c>
      <c r="F18" s="198" t="s">
        <v>123</v>
      </c>
      <c r="G18" s="199" t="str">
        <f>IF(COUNTIFS($C$15:C18,C18,$H$15:H18,H18)=1,
SUMIFS($I$15:$I$42,$C$15:$C$42,C18,$H$15:$H$42,H18)&amp;H18&amp;" "&amp;C18,
"")</f>
        <v/>
      </c>
      <c r="H18" s="197" t="s">
        <v>16</v>
      </c>
      <c r="I18" s="200">
        <v>1</v>
      </c>
      <c r="J18" s="249"/>
      <c r="K18" s="201" cm="1">
        <f t="array" ref="K18">IF(E18="untrim",_xlfn.XLOOKUP(1,(TRIM('SIZE GUIDE'!$A$3:$A$2015)=TRIM(E18))*(TRIM('SIZE GUIDE'!$B$3:$B$2015)=TRIM(F18))*(TRIM('SIZE GUIDE'!$C$3:$C$2015)=TRIM(H18)),'SIZE GUIDE'!$D$3:$D$2015),"")</f>
        <v>81</v>
      </c>
      <c r="L18" s="265" cm="1">
        <f t="array" ref="L18">IF(E18="untrim",IFERROR(INDEX('SIZE GUIDE'!$E:$E,MATCH(1,('SIZE GUIDE'!$A:$A=$E18)*('SIZE GUIDE'!$B:$B=$F18)*('SIZE GUIDE'!$C:$C=$H18),0)),""),"")</f>
        <v>61</v>
      </c>
      <c r="M18" s="202">
        <v>43</v>
      </c>
      <c r="N18" s="203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203" t="str" cm="1">
        <f t="array" ref="O18">IF(E18="trim",IFERROR(INDEX('SIZE GUIDE'!$E:$E,MATCH(1,('SIZE GUIDE'!$A:$A=$E18)*('SIZE GUIDE'!$B:$B=$F18)*('SIZE GUIDE'!$C:$C=$H18),0)),""),"")</f>
        <v/>
      </c>
      <c r="P18" s="203"/>
      <c r="Q18" s="204">
        <f t="shared" si="1"/>
        <v>79.5</v>
      </c>
      <c r="R18" s="198">
        <f t="shared" si="2"/>
        <v>59.5</v>
      </c>
      <c r="S18" s="198">
        <f t="shared" si="3"/>
        <v>42.5</v>
      </c>
      <c r="T18" s="205">
        <f t="shared" si="4"/>
        <v>1396.0807291666667</v>
      </c>
      <c r="U18" s="206">
        <f>SUMIFS(CODE_PRICE!F:F,CODE_PRICE!B:B,C18,CODE_PRICE!A:A,$A$8)</f>
        <v>0.1895</v>
      </c>
      <c r="V18" s="207">
        <f t="shared" si="0"/>
        <v>264.55729817708334</v>
      </c>
      <c r="W18" s="208" t="str">
        <f>IF(COUNTIF($C$15:C18,C18)=1,C18 &amp; " - " &amp; TEXT(SUMIF($C:$C,C18,$T:$T),"0.00"),"")</f>
        <v/>
      </c>
      <c r="X18" s="209" t="str">
        <f>IF(COUNTIF($C$15:C18,C18)=1,ROUND(SUMIF($C:$C,C18,$V:$V),2), "")</f>
        <v/>
      </c>
      <c r="AH18" s="211"/>
    </row>
    <row r="19" spans="1:34" s="210" customFormat="1" ht="31.5" customHeight="1" x14ac:dyDescent="0.2">
      <c r="A19" s="196">
        <f t="shared" si="5"/>
        <v>5</v>
      </c>
      <c r="B19" s="196"/>
      <c r="C19" s="196" t="s">
        <v>89</v>
      </c>
      <c r="D19" s="197"/>
      <c r="E19" s="197" t="s">
        <v>11</v>
      </c>
      <c r="F19" s="198" t="s">
        <v>123</v>
      </c>
      <c r="G19" s="199" t="str">
        <f>IF(COUNTIFS($C$15:C19,C19,$H$15:H19,H19)=1,
SUMIFS($I$15:$I$42,$C$15:$C$42,C19,$H$15:$H$42,H19)&amp;H19&amp;" "&amp;C19,
"")</f>
        <v/>
      </c>
      <c r="H19" s="197" t="s">
        <v>16</v>
      </c>
      <c r="I19" s="200">
        <v>1</v>
      </c>
      <c r="J19" s="249"/>
      <c r="K19" s="201" cm="1">
        <f t="array" ref="K19">IF(E19="untrim",_xlfn.XLOOKUP(1,(TRIM('SIZE GUIDE'!$A$3:$A$2015)=TRIM(E19))*(TRIM('SIZE GUIDE'!$B$3:$B$2015)=TRIM(F19))*(TRIM('SIZE GUIDE'!$C$3:$C$2015)=TRIM(H19)),'SIZE GUIDE'!$D$3:$D$2015),"")</f>
        <v>81</v>
      </c>
      <c r="L19" s="265" cm="1">
        <f t="array" ref="L19">IF(E19="untrim",IFERROR(INDEX('SIZE GUIDE'!$E:$E,MATCH(1,('SIZE GUIDE'!$A:$A=$E19)*('SIZE GUIDE'!$B:$B=$F19)*('SIZE GUIDE'!$C:$C=$H19),0)),""),"")</f>
        <v>61</v>
      </c>
      <c r="M19" s="202">
        <v>43</v>
      </c>
      <c r="N19" s="203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203" t="str" cm="1">
        <f t="array" ref="O19">IF(E19="trim",IFERROR(INDEX('SIZE GUIDE'!$E:$E,MATCH(1,('SIZE GUIDE'!$A:$A=$E19)*('SIZE GUIDE'!$B:$B=$F19)*('SIZE GUIDE'!$C:$C=$H19),0)),""),"")</f>
        <v/>
      </c>
      <c r="P19" s="203"/>
      <c r="Q19" s="204">
        <f t="shared" si="1"/>
        <v>79.5</v>
      </c>
      <c r="R19" s="198">
        <f t="shared" si="2"/>
        <v>59.5</v>
      </c>
      <c r="S19" s="198">
        <f t="shared" si="3"/>
        <v>42.5</v>
      </c>
      <c r="T19" s="205">
        <f t="shared" si="4"/>
        <v>1396.0807291666667</v>
      </c>
      <c r="U19" s="206">
        <f>SUMIFS(CODE_PRICE!F:F,CODE_PRICE!B:B,C19,CODE_PRICE!A:A,$A$8)</f>
        <v>0.1895</v>
      </c>
      <c r="V19" s="207">
        <f t="shared" si="0"/>
        <v>264.55729817708334</v>
      </c>
      <c r="W19" s="208" t="str">
        <f>IF(COUNTIF($C$15:C19,C19)=1,C19 &amp; " - " &amp; TEXT(SUMIF($C:$C,C19,$T:$T),"0.00"),"")</f>
        <v/>
      </c>
      <c r="X19" s="209" t="str">
        <f>IF(COUNTIF($C$15:C19,C19)=1,ROUND(SUMIF($C:$C,C19,$V:$V),2), "")</f>
        <v/>
      </c>
    </row>
    <row r="20" spans="1:34" s="210" customFormat="1" ht="31.5" customHeight="1" x14ac:dyDescent="0.2">
      <c r="A20" s="196">
        <f t="shared" si="5"/>
        <v>6</v>
      </c>
      <c r="B20" s="196"/>
      <c r="C20" s="196" t="s">
        <v>89</v>
      </c>
      <c r="D20" s="197"/>
      <c r="E20" s="197" t="s">
        <v>11</v>
      </c>
      <c r="F20" s="198" t="s">
        <v>123</v>
      </c>
      <c r="G20" s="199" t="str">
        <f>IF(COUNTIFS($C$15:C20,C20,$H$15:H20,H20)=1,
SUMIFS($I$15:$I$42,$C$15:$C$42,C20,$H$15:$H$42,H20)&amp;H20&amp;" "&amp;C20,
"")</f>
        <v/>
      </c>
      <c r="H20" s="197" t="s">
        <v>16</v>
      </c>
      <c r="I20" s="200">
        <v>1</v>
      </c>
      <c r="J20" s="249"/>
      <c r="K20" s="201" cm="1">
        <f t="array" ref="K20">IF(E20="untrim",_xlfn.XLOOKUP(1,(TRIM('SIZE GUIDE'!$A$3:$A$2015)=TRIM(E20))*(TRIM('SIZE GUIDE'!$B$3:$B$2015)=TRIM(F20))*(TRIM('SIZE GUIDE'!$C$3:$C$2015)=TRIM(H20)),'SIZE GUIDE'!$D$3:$D$2015),"")</f>
        <v>81</v>
      </c>
      <c r="L20" s="265" cm="1">
        <f t="array" ref="L20">IF(E20="untrim",IFERROR(INDEX('SIZE GUIDE'!$E:$E,MATCH(1,('SIZE GUIDE'!$A:$A=$E20)*('SIZE GUIDE'!$B:$B=$F20)*('SIZE GUIDE'!$C:$C=$H20),0)),""),"")</f>
        <v>61</v>
      </c>
      <c r="M20" s="202">
        <v>43</v>
      </c>
      <c r="N20" s="203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203" t="str" cm="1">
        <f t="array" ref="O20">IF(E20="trim",IFERROR(INDEX('SIZE GUIDE'!$E:$E,MATCH(1,('SIZE GUIDE'!$A:$A=$E20)*('SIZE GUIDE'!$B:$B=$F20)*('SIZE GUIDE'!$C:$C=$H20),0)),""),"")</f>
        <v/>
      </c>
      <c r="P20" s="203"/>
      <c r="Q20" s="204">
        <f t="shared" si="1"/>
        <v>79.5</v>
      </c>
      <c r="R20" s="198">
        <f t="shared" si="2"/>
        <v>59.5</v>
      </c>
      <c r="S20" s="198">
        <f t="shared" si="3"/>
        <v>42.5</v>
      </c>
      <c r="T20" s="205">
        <f t="shared" si="4"/>
        <v>1396.0807291666667</v>
      </c>
      <c r="U20" s="206">
        <f>SUMIFS(CODE_PRICE!F:F,CODE_PRICE!B:B,C20,CODE_PRICE!A:A,$A$8)</f>
        <v>0.1895</v>
      </c>
      <c r="V20" s="207">
        <f t="shared" si="0"/>
        <v>264.55729817708334</v>
      </c>
      <c r="W20" s="208" t="str">
        <f>IF(COUNTIF($C$15:C20,C20)=1,C20 &amp; " - " &amp; TEXT(SUMIF($C:$C,C20,$T:$T),"0.00"),"")</f>
        <v/>
      </c>
      <c r="X20" s="209" t="str">
        <f>IF(COUNTIF($C$15:C20,C20)=1,ROUND(SUMIF($C:$C,C20,$V:$V),2), "")</f>
        <v/>
      </c>
    </row>
    <row r="21" spans="1:34" s="210" customFormat="1" ht="31.5" customHeight="1" x14ac:dyDescent="0.2">
      <c r="A21" s="196">
        <f t="shared" si="5"/>
        <v>7</v>
      </c>
      <c r="B21" s="196"/>
      <c r="C21" s="196" t="s">
        <v>89</v>
      </c>
      <c r="D21" s="197"/>
      <c r="E21" s="197" t="s">
        <v>11</v>
      </c>
      <c r="F21" s="198" t="s">
        <v>123</v>
      </c>
      <c r="G21" s="199" t="str">
        <f>IF(COUNTIFS($C$15:C21,C21,$H$15:H21,H21)=1,
SUMIFS($I$15:$I$42,$C$15:$C$42,C21,$H$15:$H$42,H21)&amp;H21&amp;" "&amp;C21,
"")</f>
        <v>2F CFN30100W</v>
      </c>
      <c r="H21" s="197" t="s">
        <v>14</v>
      </c>
      <c r="I21" s="200">
        <v>1</v>
      </c>
      <c r="J21" s="249"/>
      <c r="K21" s="201" cm="1">
        <f t="array" ref="K21">IF(E21="untrim",_xlfn.XLOOKUP(1,(TRIM('SIZE GUIDE'!$A$3:$A$2015)=TRIM(E21))*(TRIM('SIZE GUIDE'!$B$3:$B$2015)=TRIM(F21))*(TRIM('SIZE GUIDE'!$C$3:$C$2015)=TRIM(H21)),'SIZE GUIDE'!$D$3:$D$2015),"")</f>
        <v>76</v>
      </c>
      <c r="L21" s="265" cm="1">
        <f t="array" ref="L21">IF(E21="untrim",IFERROR(INDEX('SIZE GUIDE'!$E:$E,MATCH(1,('SIZE GUIDE'!$A:$A=$E21)*('SIZE GUIDE'!$B:$B=$F21)*('SIZE GUIDE'!$C:$C=$H21),0)),""),"")</f>
        <v>55</v>
      </c>
      <c r="M21" s="202">
        <v>37</v>
      </c>
      <c r="N21" s="203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203" t="str" cm="1">
        <f t="array" ref="O21">IF(E21="trim",IFERROR(INDEX('SIZE GUIDE'!$E:$E,MATCH(1,('SIZE GUIDE'!$A:$A=$E21)*('SIZE GUIDE'!$B:$B=$F21)*('SIZE GUIDE'!$C:$C=$H21),0)),""),"")</f>
        <v/>
      </c>
      <c r="P21" s="203"/>
      <c r="Q21" s="204">
        <f t="shared" si="1"/>
        <v>74.5</v>
      </c>
      <c r="R21" s="198">
        <f t="shared" si="2"/>
        <v>53.5</v>
      </c>
      <c r="S21" s="198">
        <f t="shared" si="3"/>
        <v>36.5</v>
      </c>
      <c r="T21" s="205">
        <f t="shared" si="4"/>
        <v>1010.2769097222222</v>
      </c>
      <c r="U21" s="206">
        <f>SUMIFS(CODE_PRICE!F:F,CODE_PRICE!B:B,C21,CODE_PRICE!A:A,$A$8)</f>
        <v>0.1895</v>
      </c>
      <c r="V21" s="207">
        <f t="shared" si="0"/>
        <v>191.4474743923611</v>
      </c>
      <c r="W21" s="208" t="str">
        <f>IF(COUNTIF($C$15:C21,C21)=1,C21 &amp; " - " &amp; TEXT(SUMIF($C:$C,C21,$T:$T),"0.00"),"")</f>
        <v/>
      </c>
      <c r="X21" s="209" t="str">
        <f>IF(COUNTIF($C$15:C21,C21)=1,ROUND(SUMIF($C:$C,C21,$V:$V),2), "")</f>
        <v/>
      </c>
    </row>
    <row r="22" spans="1:34" s="210" customFormat="1" ht="31.5" customHeight="1" x14ac:dyDescent="0.2">
      <c r="A22" s="196">
        <f t="shared" si="5"/>
        <v>8</v>
      </c>
      <c r="B22" s="196"/>
      <c r="C22" s="196" t="s">
        <v>89</v>
      </c>
      <c r="D22" s="197"/>
      <c r="E22" s="197" t="s">
        <v>11</v>
      </c>
      <c r="F22" s="198" t="s">
        <v>123</v>
      </c>
      <c r="G22" s="199" t="str">
        <f>IF(COUNTIFS($C$15:C22,C22,$H$15:H22,H22)=1,
SUMIFS($I$15:$I$42,$C$15:$C$42,C22,$H$15:$H$42,H22)&amp;H22&amp;" "&amp;C22,
"")</f>
        <v/>
      </c>
      <c r="H22" s="197" t="s">
        <v>14</v>
      </c>
      <c r="I22" s="200">
        <v>1</v>
      </c>
      <c r="J22" s="249"/>
      <c r="K22" s="201" cm="1">
        <f t="array" ref="K22">IF(E22="untrim",_xlfn.XLOOKUP(1,(TRIM('SIZE GUIDE'!$A$3:$A$2015)=TRIM(E22))*(TRIM('SIZE GUIDE'!$B$3:$B$2015)=TRIM(F22))*(TRIM('SIZE GUIDE'!$C$3:$C$2015)=TRIM(H22)),'SIZE GUIDE'!$D$3:$D$2015),"")</f>
        <v>76</v>
      </c>
      <c r="L22" s="265" cm="1">
        <f t="array" ref="L22">IF(E22="untrim",IFERROR(INDEX('SIZE GUIDE'!$E:$E,MATCH(1,('SIZE GUIDE'!$A:$A=$E22)*('SIZE GUIDE'!$B:$B=$F22)*('SIZE GUIDE'!$C:$C=$H22),0)),""),"")</f>
        <v>55</v>
      </c>
      <c r="M22" s="202">
        <v>40.5</v>
      </c>
      <c r="N22" s="203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203" t="str" cm="1">
        <f t="array" ref="O22">IF(E22="trim",IFERROR(INDEX('SIZE GUIDE'!$E:$E,MATCH(1,('SIZE GUIDE'!$A:$A=$E22)*('SIZE GUIDE'!$B:$B=$F22)*('SIZE GUIDE'!$C:$C=$H22),0)),""),"")</f>
        <v/>
      </c>
      <c r="P22" s="203"/>
      <c r="Q22" s="204">
        <f t="shared" si="1"/>
        <v>74.5</v>
      </c>
      <c r="R22" s="198">
        <f t="shared" si="2"/>
        <v>53.5</v>
      </c>
      <c r="S22" s="198">
        <f t="shared" si="3"/>
        <v>40</v>
      </c>
      <c r="T22" s="205">
        <f t="shared" si="4"/>
        <v>1107.1527777777778</v>
      </c>
      <c r="U22" s="206">
        <f>SUMIFS(CODE_PRICE!F:F,CODE_PRICE!B:B,C22,CODE_PRICE!A:A,$A$8)</f>
        <v>0.1895</v>
      </c>
      <c r="V22" s="207">
        <f t="shared" si="0"/>
        <v>209.80545138888891</v>
      </c>
      <c r="W22" s="208" t="str">
        <f>IF(COUNTIF($C$15:C22,C22)=1,C22 &amp; " - " &amp; TEXT(SUMIF($C:$C,C22,$T:$T),"0.00"),"")</f>
        <v/>
      </c>
      <c r="X22" s="209" t="str">
        <f>IF(COUNTIF($C$15:C22,C22)=1,ROUND(SUMIF($C:$C,C22,$V:$V),2), "")</f>
        <v/>
      </c>
      <c r="AD22" s="210" t="s">
        <v>204</v>
      </c>
    </row>
    <row r="23" spans="1:34" s="210" customFormat="1" ht="31.5" customHeight="1" x14ac:dyDescent="0.2">
      <c r="A23" s="196">
        <f t="shared" si="5"/>
        <v>9</v>
      </c>
      <c r="B23" s="196"/>
      <c r="C23" s="196" t="s">
        <v>89</v>
      </c>
      <c r="D23" s="197"/>
      <c r="E23" s="197" t="s">
        <v>11</v>
      </c>
      <c r="F23" s="198" t="s">
        <v>123</v>
      </c>
      <c r="G23" s="199" t="str">
        <f>IF(COUNTIFS($C$15:C23,C23,$H$15:H23,H23)=1,
SUMIFS($I$15:$I$42,$C$15:$C$42,C23,$H$15:$H$42,H23)&amp;H23&amp;" "&amp;C23,
"")</f>
        <v>2T CFN30100W</v>
      </c>
      <c r="H23" s="197" t="s">
        <v>12</v>
      </c>
      <c r="I23" s="200">
        <v>1</v>
      </c>
      <c r="J23" s="249"/>
      <c r="K23" s="201" cm="1">
        <f t="array" ref="K23">IF(E23="untrim",_xlfn.XLOOKUP(1,(TRIM('SIZE GUIDE'!$A$3:$A$2015)=TRIM(E23))*(TRIM('SIZE GUIDE'!$B$3:$B$2015)=TRIM(F23))*(TRIM('SIZE GUIDE'!$C$3:$C$2015)=TRIM(H23)),'SIZE GUIDE'!$D$3:$D$2015),"")</f>
        <v>76</v>
      </c>
      <c r="L23" s="265" cm="1">
        <f t="array" ref="L23">IF(E23="untrim",IFERROR(INDEX('SIZE GUIDE'!$E:$E,MATCH(1,('SIZE GUIDE'!$A:$A=$E23)*('SIZE GUIDE'!$B:$B=$F23)*('SIZE GUIDE'!$C:$C=$H23),0)),""),"")</f>
        <v>39</v>
      </c>
      <c r="M23" s="202">
        <v>42</v>
      </c>
      <c r="N23" s="203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203" t="str" cm="1">
        <f t="array" ref="O23">IF(E23="trim",IFERROR(INDEX('SIZE GUIDE'!$E:$E,MATCH(1,('SIZE GUIDE'!$A:$A=$E23)*('SIZE GUIDE'!$B:$B=$F23)*('SIZE GUIDE'!$C:$C=$H23),0)),""),"")</f>
        <v/>
      </c>
      <c r="P23" s="203"/>
      <c r="Q23" s="204">
        <f t="shared" si="1"/>
        <v>74.5</v>
      </c>
      <c r="R23" s="198">
        <f t="shared" si="2"/>
        <v>37.5</v>
      </c>
      <c r="S23" s="198">
        <f t="shared" si="3"/>
        <v>41.5</v>
      </c>
      <c r="T23" s="205">
        <f t="shared" si="4"/>
        <v>805.14322916666663</v>
      </c>
      <c r="U23" s="206">
        <f>SUMIFS(CODE_PRICE!F:F,CODE_PRICE!B:B,C23,CODE_PRICE!A:A,$A$8)</f>
        <v>0.1895</v>
      </c>
      <c r="V23" s="207">
        <f t="shared" si="0"/>
        <v>152.57464192708332</v>
      </c>
      <c r="W23" s="208" t="str">
        <f>IF(COUNTIF($C$15:C23,C23)=1,C23 &amp; " - " &amp; TEXT(SUMIF($C:$C,C23,$T:$T),"0.00"),"")</f>
        <v/>
      </c>
      <c r="X23" s="209" t="str">
        <f>IF(COUNTIF($C$15:C23,C23)=1,ROUND(SUMIF($C:$C,C23,$V:$V),2), "")</f>
        <v/>
      </c>
    </row>
    <row r="24" spans="1:34" s="210" customFormat="1" ht="31.5" customHeight="1" x14ac:dyDescent="0.2">
      <c r="A24" s="196">
        <f t="shared" si="5"/>
        <v>10</v>
      </c>
      <c r="B24" s="196"/>
      <c r="C24" s="196" t="s">
        <v>89</v>
      </c>
      <c r="D24" s="197"/>
      <c r="E24" s="197" t="s">
        <v>11</v>
      </c>
      <c r="F24" s="198" t="s">
        <v>123</v>
      </c>
      <c r="G24" s="199" t="str">
        <f>IF(COUNTIFS($C$15:C24,C24,$H$15:H24,H24)=1,
SUMIFS($I$15:$I$42,$C$15:$C$42,C24,$H$15:$H$42,H24)&amp;H24&amp;" "&amp;C24,
"")</f>
        <v/>
      </c>
      <c r="H24" s="197" t="s">
        <v>12</v>
      </c>
      <c r="I24" s="200">
        <v>1</v>
      </c>
      <c r="J24" s="249"/>
      <c r="K24" s="201" cm="1">
        <f t="array" ref="K24">IF(E24="untrim",_xlfn.XLOOKUP(1,(TRIM('SIZE GUIDE'!$A$3:$A$2015)=TRIM(E24))*(TRIM('SIZE GUIDE'!$B$3:$B$2015)=TRIM(F24))*(TRIM('SIZE GUIDE'!$C$3:$C$2015)=TRIM(H24)),'SIZE GUIDE'!$D$3:$D$2015),"")</f>
        <v>76</v>
      </c>
      <c r="L24" s="265" cm="1">
        <f t="array" ref="L24">IF(E24="untrim",IFERROR(INDEX('SIZE GUIDE'!$E:$E,MATCH(1,('SIZE GUIDE'!$A:$A=$E24)*('SIZE GUIDE'!$B:$B=$F24)*('SIZE GUIDE'!$C:$C=$H24),0)),""),"")</f>
        <v>39</v>
      </c>
      <c r="M24" s="202">
        <v>42</v>
      </c>
      <c r="N24" s="203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203" t="str" cm="1">
        <f t="array" ref="O24">IF(E24="trim",IFERROR(INDEX('SIZE GUIDE'!$E:$E,MATCH(1,('SIZE GUIDE'!$A:$A=$E24)*('SIZE GUIDE'!$B:$B=$F24)*('SIZE GUIDE'!$C:$C=$H24),0)),""),"")</f>
        <v/>
      </c>
      <c r="P24" s="203"/>
      <c r="Q24" s="204">
        <f t="shared" si="1"/>
        <v>74.5</v>
      </c>
      <c r="R24" s="198">
        <f t="shared" si="2"/>
        <v>37.5</v>
      </c>
      <c r="S24" s="198">
        <f t="shared" si="3"/>
        <v>41.5</v>
      </c>
      <c r="T24" s="205">
        <f t="shared" si="4"/>
        <v>805.14322916666663</v>
      </c>
      <c r="U24" s="206">
        <f>SUMIFS(CODE_PRICE!F:F,CODE_PRICE!B:B,C24,CODE_PRICE!A:A,$A$8)</f>
        <v>0.1895</v>
      </c>
      <c r="V24" s="207">
        <f t="shared" si="0"/>
        <v>152.57464192708332</v>
      </c>
      <c r="W24" s="208" t="str">
        <f>IF(COUNTIF($C$15:C24,C24)=1,C24 &amp; " - " &amp; TEXT(SUMIF($C:$C,C24,$T:$T),"0.00"),"")</f>
        <v/>
      </c>
      <c r="X24" s="209" t="str">
        <f>IF(COUNTIF($C$15:C24,C24)=1,ROUND(SUMIF($C:$C,C24,$V:$V),2), "")</f>
        <v/>
      </c>
    </row>
    <row r="25" spans="1:34" s="210" customFormat="1" ht="31.5" customHeight="1" x14ac:dyDescent="0.2">
      <c r="A25" s="196">
        <f t="shared" si="5"/>
        <v>11</v>
      </c>
      <c r="B25" s="196"/>
      <c r="C25" s="196" t="s">
        <v>95</v>
      </c>
      <c r="D25" s="197"/>
      <c r="E25" s="197" t="s">
        <v>11</v>
      </c>
      <c r="F25" s="198" t="s">
        <v>123</v>
      </c>
      <c r="G25" s="199" t="str">
        <f>IF(COUNTIFS($C$15:C25,C25,$H$15:H25,H25)=1,
SUMIFS($I$15:$I$42,$C$15:$C$42,C25,$H$15:$H$42,H25)&amp;H25&amp;" "&amp;C25,
"")</f>
        <v>1CK CFN50131W</v>
      </c>
      <c r="H25" s="197" t="s">
        <v>20</v>
      </c>
      <c r="I25" s="200">
        <v>1</v>
      </c>
      <c r="J25" s="249"/>
      <c r="K25" s="201" cm="1">
        <f t="array" ref="K25">IF(E25="untrim",_xlfn.XLOOKUP(1,(TRIM('SIZE GUIDE'!$A$3:$A$2015)=TRIM(E25))*(TRIM('SIZE GUIDE'!$B$3:$B$2015)=TRIM(F25))*(TRIM('SIZE GUIDE'!$C$3:$C$2015)=TRIM(H25)),'SIZE GUIDE'!$D$3:$D$2015),"")</f>
        <v>86</v>
      </c>
      <c r="L25" s="265" cm="1">
        <f t="array" ref="L25">IF(E25="untrim",IFERROR(INDEX('SIZE GUIDE'!$E:$E,MATCH(1,('SIZE GUIDE'!$A:$A=$E25)*('SIZE GUIDE'!$B:$B=$F25)*('SIZE GUIDE'!$C:$C=$H25),0)),""),"")</f>
        <v>76</v>
      </c>
      <c r="M25" s="202">
        <v>31</v>
      </c>
      <c r="N25" s="203"/>
      <c r="O25" s="203" t="str" cm="1">
        <f t="array" ref="O25">IF(E25="trim",IFERROR(INDEX('SIZE GUIDE'!$E:$E,MATCH(1,('SIZE GUIDE'!$A:$A=$E25)*('SIZE GUIDE'!$B:$B=$F25)*('SIZE GUIDE'!$C:$C=$H25),0)),""),"")</f>
        <v/>
      </c>
      <c r="P25" s="203"/>
      <c r="Q25" s="204">
        <f t="shared" si="1"/>
        <v>84.5</v>
      </c>
      <c r="R25" s="198">
        <f t="shared" si="2"/>
        <v>74.5</v>
      </c>
      <c r="S25" s="198">
        <f t="shared" si="3"/>
        <v>30.5</v>
      </c>
      <c r="T25" s="205">
        <f t="shared" si="4"/>
        <v>1333.3689236111111</v>
      </c>
      <c r="U25" s="206">
        <f>SUMIFS(CODE_PRICE!F:F,CODE_PRICE!B:B,C25,CODE_PRICE!A:A,$A$8)</f>
        <v>0.2316</v>
      </c>
      <c r="V25" s="207">
        <f t="shared" si="0"/>
        <v>308.80824270833335</v>
      </c>
      <c r="W25" s="208" t="str">
        <f>IF(COUNTIF($C$15:C25,C25)=1,C25 &amp; " - " &amp; TEXT(SUMIF($C:$C,C25,$T:$T),"0.00"),"")</f>
        <v>CFN50131W - 12736.60</v>
      </c>
      <c r="X25" s="209">
        <f>IF(COUNTIF($C$15:C25,C25)=1,ROUND(SUMIF($C:$C,C25,$V:$V),2), "")</f>
        <v>2949.8</v>
      </c>
    </row>
    <row r="26" spans="1:34" s="210" customFormat="1" ht="31.5" customHeight="1" x14ac:dyDescent="0.2">
      <c r="A26" s="196">
        <f t="shared" si="5"/>
        <v>12</v>
      </c>
      <c r="B26" s="196"/>
      <c r="C26" s="196" t="s">
        <v>95</v>
      </c>
      <c r="D26" s="197"/>
      <c r="E26" s="197" t="s">
        <v>11</v>
      </c>
      <c r="F26" s="198" t="s">
        <v>123</v>
      </c>
      <c r="G26" s="199" t="str">
        <f>IF(COUNTIFS($C$15:C26,C26,$H$15:H26,H26)=1,
SUMIFS($I$15:$I$42,$C$15:$C$42,C26,$H$15:$H$42,H26)&amp;H26&amp;" "&amp;C26,
"")</f>
        <v>4K CFN50131W</v>
      </c>
      <c r="H26" s="197" t="s">
        <v>18</v>
      </c>
      <c r="I26" s="200">
        <v>1</v>
      </c>
      <c r="J26" s="249"/>
      <c r="K26" s="201" cm="1">
        <f t="array" ref="K26">IF(E26="untrim",_xlfn.XLOOKUP(1,(TRIM('SIZE GUIDE'!$A$3:$A$2015)=TRIM(E26))*(TRIM('SIZE GUIDE'!$B$3:$B$2015)=TRIM(F26))*(TRIM('SIZE GUIDE'!$C$3:$C$2015)=TRIM(H26)),'SIZE GUIDE'!$D$3:$D$2015),"")</f>
        <v>81</v>
      </c>
      <c r="L26" s="265" cm="1">
        <f t="array" ref="L26">IF(E26="untrim",IFERROR(INDEX('SIZE GUIDE'!$E:$E,MATCH(1,('SIZE GUIDE'!$A:$A=$E26)*('SIZE GUIDE'!$B:$B=$F26)*('SIZE GUIDE'!$C:$C=$H26),0)),""),"")</f>
        <v>77</v>
      </c>
      <c r="M26" s="202">
        <v>42</v>
      </c>
      <c r="N26" s="203" t="str" cm="1">
        <f t="array" ref="N26">IF(E26="trim",_xlfn.XLOOKUP(1,(TRIM('SIZE GUIDE'!$A$3:$A$2015)=TRIM(E26))*(TRIM('SIZE GUIDE'!$B$3:$B$2015)=TRIM(F26))*(TRIM('SIZE GUIDE'!$C$3:$C$2015)=TRIM(H26)),'SIZE GUIDE'!$D$3:$D$2015),"")</f>
        <v/>
      </c>
      <c r="O26" s="203" t="str" cm="1">
        <f t="array" ref="O26">IF(E26="trim",IFERROR(INDEX('SIZE GUIDE'!$E:$E,MATCH(1,('SIZE GUIDE'!$A:$A=$E26)*('SIZE GUIDE'!$B:$B=$F26)*('SIZE GUIDE'!$C:$C=$H26),0)),""),"")</f>
        <v/>
      </c>
      <c r="P26" s="203"/>
      <c r="Q26" s="204">
        <f t="shared" si="1"/>
        <v>79.5</v>
      </c>
      <c r="R26" s="198">
        <f t="shared" si="2"/>
        <v>75.5</v>
      </c>
      <c r="S26" s="198">
        <f t="shared" si="3"/>
        <v>41.5</v>
      </c>
      <c r="T26" s="205">
        <f t="shared" si="4"/>
        <v>1729.8151041666667</v>
      </c>
      <c r="U26" s="206">
        <f>SUMIFS(CODE_PRICE!F:F,CODE_PRICE!B:B,C26,CODE_PRICE!A:A,$A$8)</f>
        <v>0.2316</v>
      </c>
      <c r="V26" s="207">
        <f t="shared" si="0"/>
        <v>400.62517812499999</v>
      </c>
      <c r="W26" s="208" t="str">
        <f>IF(COUNTIF($C$15:C26,C26)=1,C26 &amp; " - " &amp; TEXT(SUMIF($C:$C,C26,$T:$T),"0.00"),"")</f>
        <v/>
      </c>
      <c r="X26" s="209" t="str">
        <f>IF(COUNTIF($C$15:C26,C26)=1,ROUND(SUMIF($C:$C,C26,$V:$V),2), "")</f>
        <v/>
      </c>
    </row>
    <row r="27" spans="1:34" s="210" customFormat="1" ht="31.5" customHeight="1" x14ac:dyDescent="0.2">
      <c r="A27" s="196">
        <f t="shared" si="5"/>
        <v>13</v>
      </c>
      <c r="B27" s="196"/>
      <c r="C27" s="196" t="s">
        <v>95</v>
      </c>
      <c r="D27" s="197"/>
      <c r="E27" s="197" t="s">
        <v>11</v>
      </c>
      <c r="F27" s="198" t="s">
        <v>123</v>
      </c>
      <c r="G27" s="199" t="str">
        <f>IF(COUNTIFS($C$15:C27,C27,$H$15:H27,H27)=1,
SUMIFS($I$15:$I$42,$C$15:$C$42,C27,$H$15:$H$42,H27)&amp;H27&amp;" "&amp;C27,
"")</f>
        <v/>
      </c>
      <c r="H27" s="197" t="s">
        <v>18</v>
      </c>
      <c r="I27" s="200">
        <v>1</v>
      </c>
      <c r="J27" s="249"/>
      <c r="K27" s="201" cm="1">
        <f t="array" ref="K27">IF(E27="untrim",_xlfn.XLOOKUP(1,(TRIM('SIZE GUIDE'!$A$3:$A$2015)=TRIM(E27))*(TRIM('SIZE GUIDE'!$B$3:$B$2015)=TRIM(F27))*(TRIM('SIZE GUIDE'!$C$3:$C$2015)=TRIM(H27)),'SIZE GUIDE'!$D$3:$D$2015),"")</f>
        <v>81</v>
      </c>
      <c r="L27" s="265" cm="1">
        <f t="array" ref="L27">IF(E27="untrim",IFERROR(INDEX('SIZE GUIDE'!$E:$E,MATCH(1,('SIZE GUIDE'!$A:$A=$E27)*('SIZE GUIDE'!$B:$B=$F27)*('SIZE GUIDE'!$C:$C=$H27),0)),""),"")</f>
        <v>77</v>
      </c>
      <c r="M27" s="202">
        <v>42</v>
      </c>
      <c r="N27" s="203" t="str" cm="1">
        <f t="array" ref="N27">IF(E27="trim",_xlfn.XLOOKUP(1,(TRIM('SIZE GUIDE'!$A$3:$A$2015)=TRIM(E27))*(TRIM('SIZE GUIDE'!$B$3:$B$2015)=TRIM(F27))*(TRIM('SIZE GUIDE'!$C$3:$C$2015)=TRIM(H27)),'SIZE GUIDE'!$D$3:$D$2015),"")</f>
        <v/>
      </c>
      <c r="O27" s="203" t="str" cm="1">
        <f t="array" ref="O27">IF(E27="trim",IFERROR(INDEX('SIZE GUIDE'!$E:$E,MATCH(1,('SIZE GUIDE'!$A:$A=$E27)*('SIZE GUIDE'!$B:$B=$F27)*('SIZE GUIDE'!$C:$C=$H27),0)),""),"")</f>
        <v/>
      </c>
      <c r="P27" s="203"/>
      <c r="Q27" s="204">
        <f t="shared" si="1"/>
        <v>79.5</v>
      </c>
      <c r="R27" s="198">
        <f t="shared" si="2"/>
        <v>75.5</v>
      </c>
      <c r="S27" s="198">
        <f t="shared" si="3"/>
        <v>41.5</v>
      </c>
      <c r="T27" s="205">
        <f t="shared" si="4"/>
        <v>1729.8151041666667</v>
      </c>
      <c r="U27" s="206">
        <f>SUMIFS(CODE_PRICE!F:F,CODE_PRICE!B:B,C27,CODE_PRICE!A:A,$A$8)</f>
        <v>0.2316</v>
      </c>
      <c r="V27" s="207">
        <f t="shared" si="0"/>
        <v>400.62517812499999</v>
      </c>
      <c r="W27" s="208" t="str">
        <f>IF(COUNTIF($C$15:C27,C27)=1,C27 &amp; " - " &amp; TEXT(SUMIF($C:$C,C27,$T:$T),"0.00"),"")</f>
        <v/>
      </c>
      <c r="X27" s="209" t="str">
        <f>IF(COUNTIF($C$15:C27,C27)=1,ROUND(SUMIF($C:$C,C27,$V:$V),2), "")</f>
        <v/>
      </c>
    </row>
    <row r="28" spans="1:34" s="210" customFormat="1" ht="31.5" customHeight="1" x14ac:dyDescent="0.2">
      <c r="A28" s="196">
        <f t="shared" si="5"/>
        <v>14</v>
      </c>
      <c r="B28" s="196"/>
      <c r="C28" s="196" t="s">
        <v>95</v>
      </c>
      <c r="D28" s="197"/>
      <c r="E28" s="197" t="s">
        <v>11</v>
      </c>
      <c r="F28" s="198" t="s">
        <v>123</v>
      </c>
      <c r="G28" s="199" t="str">
        <f>IF(COUNTIFS($C$15:C28,C28,$H$15:H28,H28)=1,
SUMIFS($I$15:$I$42,$C$15:$C$42,C28,$H$15:$H$42,H28)&amp;H28&amp;" "&amp;C28,
"")</f>
        <v/>
      </c>
      <c r="H28" s="197" t="s">
        <v>18</v>
      </c>
      <c r="I28" s="200">
        <v>1</v>
      </c>
      <c r="J28" s="249"/>
      <c r="K28" s="201" cm="1">
        <f t="array" ref="K28">IF(E28="untrim",_xlfn.XLOOKUP(1,(TRIM('SIZE GUIDE'!$A$3:$A$2015)=TRIM(E28))*(TRIM('SIZE GUIDE'!$B$3:$B$2015)=TRIM(F28))*(TRIM('SIZE GUIDE'!$C$3:$C$2015)=TRIM(H28)),'SIZE GUIDE'!$D$3:$D$2015),"")</f>
        <v>81</v>
      </c>
      <c r="L28" s="265" cm="1">
        <f t="array" ref="L28">IF(E28="untrim",IFERROR(INDEX('SIZE GUIDE'!$E:$E,MATCH(1,('SIZE GUIDE'!$A:$A=$E28)*('SIZE GUIDE'!$B:$B=$F28)*('SIZE GUIDE'!$C:$C=$H28),0)),""),"")</f>
        <v>77</v>
      </c>
      <c r="M28" s="202">
        <v>42</v>
      </c>
      <c r="N28" s="203" t="str" cm="1">
        <f t="array" ref="N28">IF(E28="trim",_xlfn.XLOOKUP(1,(TRIM('SIZE GUIDE'!$A$3:$A$2015)=TRIM(E28))*(TRIM('SIZE GUIDE'!$B$3:$B$2015)=TRIM(F28))*(TRIM('SIZE GUIDE'!$C$3:$C$2015)=TRIM(H28)),'SIZE GUIDE'!$D$3:$D$2015),"")</f>
        <v/>
      </c>
      <c r="O28" s="203" t="str" cm="1">
        <f t="array" ref="O28">IF(E28="trim",IFERROR(INDEX('SIZE GUIDE'!$E:$E,MATCH(1,('SIZE GUIDE'!$A:$A=$E28)*('SIZE GUIDE'!$B:$B=$F28)*('SIZE GUIDE'!$C:$C=$H28),0)),""),"")</f>
        <v/>
      </c>
      <c r="P28" s="203"/>
      <c r="Q28" s="204">
        <f t="shared" si="1"/>
        <v>79.5</v>
      </c>
      <c r="R28" s="198">
        <f t="shared" si="2"/>
        <v>75.5</v>
      </c>
      <c r="S28" s="198">
        <f t="shared" si="3"/>
        <v>41.5</v>
      </c>
      <c r="T28" s="205">
        <f t="shared" si="4"/>
        <v>1729.8151041666667</v>
      </c>
      <c r="U28" s="206">
        <f>SUMIFS(CODE_PRICE!F:F,CODE_PRICE!B:B,C28,CODE_PRICE!A:A,$A$8)</f>
        <v>0.2316</v>
      </c>
      <c r="V28" s="207">
        <f t="shared" si="0"/>
        <v>400.62517812499999</v>
      </c>
      <c r="W28" s="208" t="str">
        <f>IF(COUNTIF($C$15:C28,C28)=1,C28 &amp; " - " &amp; TEXT(SUMIF($C:$C,C28,$T:$T),"0.00"),"")</f>
        <v/>
      </c>
      <c r="X28" s="209"/>
    </row>
    <row r="29" spans="1:34" s="210" customFormat="1" ht="31.5" customHeight="1" x14ac:dyDescent="0.2">
      <c r="A29" s="196">
        <f t="shared" si="5"/>
        <v>15</v>
      </c>
      <c r="B29" s="196"/>
      <c r="C29" s="196" t="s">
        <v>95</v>
      </c>
      <c r="D29" s="197"/>
      <c r="E29" s="197" t="s">
        <v>11</v>
      </c>
      <c r="F29" s="198" t="s">
        <v>123</v>
      </c>
      <c r="G29" s="199" t="str">
        <f>IF(COUNTIFS($C$15:C29,C29,$H$15:H29,H29)=1,
SUMIFS($I$15:$I$42,$C$15:$C$42,C29,$H$15:$H$42,H29)&amp;H29&amp;" "&amp;C29,
"")</f>
        <v/>
      </c>
      <c r="H29" s="197" t="s">
        <v>18</v>
      </c>
      <c r="I29" s="200">
        <v>1</v>
      </c>
      <c r="J29" s="285"/>
      <c r="K29" s="201" cm="1">
        <f t="array" ref="K29">IF(E29="untrim",_xlfn.XLOOKUP(1,(TRIM('SIZE GUIDE'!$A$3:$A$2015)=TRIM(E29))*(TRIM('SIZE GUIDE'!$B$3:$B$2015)=TRIM(F29))*(TRIM('SIZE GUIDE'!$C$3:$C$2015)=TRIM(H29)),'SIZE GUIDE'!$D$3:$D$2015),"")</f>
        <v>81</v>
      </c>
      <c r="L29" s="265" cm="1">
        <f t="array" ref="L29">IF(E29="untrim",IFERROR(INDEX('SIZE GUIDE'!$E:$E,MATCH(1,('SIZE GUIDE'!$A:$A=$E29)*('SIZE GUIDE'!$B:$B=$F29)*('SIZE GUIDE'!$C:$C=$H29),0)),""),"")</f>
        <v>77</v>
      </c>
      <c r="M29" s="202">
        <v>42</v>
      </c>
      <c r="N29" s="203" t="str" cm="1">
        <f t="array" ref="N29">IF(E29="trim",_xlfn.XLOOKUP(1,(TRIM('SIZE GUIDE'!$A$3:$A$2015)=TRIM(E29))*(TRIM('SIZE GUIDE'!$B$3:$B$2015)=TRIM(F29))*(TRIM('SIZE GUIDE'!$C$3:$C$2015)=TRIM(H29)),'SIZE GUIDE'!$D$3:$D$2015),"")</f>
        <v/>
      </c>
      <c r="O29" s="203" t="str" cm="1">
        <f t="array" ref="O29">IF(E29="trim",IFERROR(INDEX('SIZE GUIDE'!$E:$E,MATCH(1,('SIZE GUIDE'!$A:$A=$E29)*('SIZE GUIDE'!$B:$B=$F29)*('SIZE GUIDE'!$C:$C=$H29),0)),""),"")</f>
        <v/>
      </c>
      <c r="P29" s="203"/>
      <c r="Q29" s="204">
        <f t="shared" si="1"/>
        <v>79.5</v>
      </c>
      <c r="R29" s="198">
        <f t="shared" si="2"/>
        <v>75.5</v>
      </c>
      <c r="S29" s="198">
        <f t="shared" si="3"/>
        <v>41.5</v>
      </c>
      <c r="T29" s="205">
        <f t="shared" si="4"/>
        <v>1729.8151041666667</v>
      </c>
      <c r="U29" s="206">
        <f>SUMIFS(CODE_PRICE!F:F,CODE_PRICE!B:B,C29,CODE_PRICE!A:A,$A$8)</f>
        <v>0.2316</v>
      </c>
      <c r="V29" s="207">
        <f t="shared" si="0"/>
        <v>400.62517812499999</v>
      </c>
      <c r="W29" s="208" t="str">
        <f>IF(COUNTIF($C$15:C29,C29)=1,C29 &amp; " - " &amp; TEXT(SUMIF($C:$C,C29,$T:$T),"0.00"),"")</f>
        <v/>
      </c>
      <c r="X29" s="209"/>
    </row>
    <row r="30" spans="1:34" s="210" customFormat="1" ht="31.5" customHeight="1" x14ac:dyDescent="0.2">
      <c r="A30" s="196">
        <f t="shared" si="5"/>
        <v>16</v>
      </c>
      <c r="B30" s="196"/>
      <c r="C30" s="196" t="s">
        <v>95</v>
      </c>
      <c r="D30" s="197"/>
      <c r="E30" s="197" t="s">
        <v>11</v>
      </c>
      <c r="F30" s="198" t="s">
        <v>123</v>
      </c>
      <c r="G30" s="199" t="str">
        <f>IF(COUNTIFS($C$15:C30,C30,$H$15:H30,H30)=1,
SUMIFS($I$15:$I$42,$C$15:$C$42,C30,$H$15:$H$42,H30)&amp;H30&amp;" "&amp;C30,
"")</f>
        <v>4F CFN50131W</v>
      </c>
      <c r="H30" s="197" t="s">
        <v>14</v>
      </c>
      <c r="I30" s="200">
        <v>1</v>
      </c>
      <c r="J30" s="249"/>
      <c r="K30" s="201" cm="1">
        <f t="array" ref="K30">IF(E30="untrim",_xlfn.XLOOKUP(1,(TRIM('SIZE GUIDE'!$A$3:$A$2015)=TRIM(E30))*(TRIM('SIZE GUIDE'!$B$3:$B$2015)=TRIM(F30))*(TRIM('SIZE GUIDE'!$C$3:$C$2015)=TRIM(H30)),'SIZE GUIDE'!$D$3:$D$2015),"")</f>
        <v>76</v>
      </c>
      <c r="L30" s="265" cm="1">
        <f t="array" ref="L30">IF(E30="untrim",IFERROR(INDEX('SIZE GUIDE'!$E:$E,MATCH(1,('SIZE GUIDE'!$A:$A=$E30)*('SIZE GUIDE'!$B:$B=$F30)*('SIZE GUIDE'!$C:$C=$H30),0)),""),"")</f>
        <v>55</v>
      </c>
      <c r="M30" s="202">
        <v>39</v>
      </c>
      <c r="N30" s="203" t="str" cm="1">
        <f t="array" ref="N30">IF(E30="trim",_xlfn.XLOOKUP(1,(TRIM('SIZE GUIDE'!$A$3:$A$2015)=TRIM(E30))*(TRIM('SIZE GUIDE'!$B$3:$B$2015)=TRIM(F30))*(TRIM('SIZE GUIDE'!$C$3:$C$2015)=TRIM(H30)),'SIZE GUIDE'!$D$3:$D$2015),"")</f>
        <v/>
      </c>
      <c r="O30" s="203" t="str" cm="1">
        <f t="array" ref="O30">IF(E30="trim",IFERROR(INDEX('SIZE GUIDE'!$E:$E,MATCH(1,('SIZE GUIDE'!$A:$A=$E30)*('SIZE GUIDE'!$B:$B=$F30)*('SIZE GUIDE'!$C:$C=$H30),0)),""),"")</f>
        <v/>
      </c>
      <c r="P30" s="203"/>
      <c r="Q30" s="204">
        <f t="shared" si="1"/>
        <v>74.5</v>
      </c>
      <c r="R30" s="198">
        <f t="shared" si="2"/>
        <v>53.5</v>
      </c>
      <c r="S30" s="198">
        <f t="shared" si="3"/>
        <v>38.5</v>
      </c>
      <c r="T30" s="205">
        <f t="shared" si="4"/>
        <v>1065.6345486111111</v>
      </c>
      <c r="U30" s="206">
        <f>SUMIFS(CODE_PRICE!F:F,CODE_PRICE!B:B,C30,CODE_PRICE!A:A,$A$8)</f>
        <v>0.2316</v>
      </c>
      <c r="V30" s="207">
        <f t="shared" si="0"/>
        <v>246.80096145833332</v>
      </c>
      <c r="W30" s="208" t="str">
        <f>IF(COUNTIF($C$15:C30,C30)=1,C30 &amp; " - " &amp; TEXT(SUMIF($C:$C,C30,$T:$T),"0.00"),"")</f>
        <v/>
      </c>
      <c r="X30" s="209"/>
    </row>
    <row r="31" spans="1:34" s="210" customFormat="1" ht="31.5" customHeight="1" x14ac:dyDescent="0.2">
      <c r="A31" s="196">
        <f t="shared" si="5"/>
        <v>17</v>
      </c>
      <c r="B31" s="196"/>
      <c r="C31" s="196" t="s">
        <v>95</v>
      </c>
      <c r="D31" s="197"/>
      <c r="E31" s="197" t="s">
        <v>11</v>
      </c>
      <c r="F31" s="198" t="s">
        <v>123</v>
      </c>
      <c r="G31" s="199" t="str">
        <f>IF(COUNTIFS($C$15:C31,C31,$H$15:H31,H31)=1,
SUMIFS($I$15:$I$42,$C$15:$C$42,C31,$H$15:$H$42,H31)&amp;H31&amp;" "&amp;C31,
"")</f>
        <v/>
      </c>
      <c r="H31" s="197" t="s">
        <v>14</v>
      </c>
      <c r="I31" s="200">
        <v>1</v>
      </c>
      <c r="J31" s="249"/>
      <c r="K31" s="201" cm="1">
        <f t="array" ref="K31">IF(E31="untrim",_xlfn.XLOOKUP(1,(TRIM('SIZE GUIDE'!$A$3:$A$2015)=TRIM(E31))*(TRIM('SIZE GUIDE'!$B$3:$B$2015)=TRIM(F31))*(TRIM('SIZE GUIDE'!$C$3:$C$2015)=TRIM(H31)),'SIZE GUIDE'!$D$3:$D$2015),"")</f>
        <v>76</v>
      </c>
      <c r="L31" s="265" cm="1">
        <f t="array" ref="L31">IF(E31="untrim",IFERROR(INDEX('SIZE GUIDE'!$E:$E,MATCH(1,('SIZE GUIDE'!$A:$A=$E31)*('SIZE GUIDE'!$B:$B=$F31)*('SIZE GUIDE'!$C:$C=$H31),0)),""),"")</f>
        <v>55</v>
      </c>
      <c r="M31" s="202">
        <v>43</v>
      </c>
      <c r="N31" s="203" t="str" cm="1">
        <f t="array" ref="N31">IF(E31="trim",_xlfn.XLOOKUP(1,(TRIM('SIZE GUIDE'!$A$3:$A$2015)=TRIM(E31))*(TRIM('SIZE GUIDE'!$B$3:$B$2015)=TRIM(F31))*(TRIM('SIZE GUIDE'!$C$3:$C$2015)=TRIM(H31)),'SIZE GUIDE'!$D$3:$D$2015),"")</f>
        <v/>
      </c>
      <c r="O31" s="203" t="str" cm="1">
        <f t="array" ref="O31">IF(E31="trim",IFERROR(INDEX('SIZE GUIDE'!$E:$E,MATCH(1,('SIZE GUIDE'!$A:$A=$E31)*('SIZE GUIDE'!$B:$B=$F31)*('SIZE GUIDE'!$C:$C=$H31),0)),""),"")</f>
        <v/>
      </c>
      <c r="P31" s="203"/>
      <c r="Q31" s="204">
        <f t="shared" si="1"/>
        <v>74.5</v>
      </c>
      <c r="R31" s="198">
        <f t="shared" si="2"/>
        <v>53.5</v>
      </c>
      <c r="S31" s="198">
        <f t="shared" si="3"/>
        <v>42.5</v>
      </c>
      <c r="T31" s="205">
        <f t="shared" si="4"/>
        <v>1176.3498263888889</v>
      </c>
      <c r="U31" s="206">
        <f>SUMIFS(CODE_PRICE!F:F,CODE_PRICE!B:B,C31,CODE_PRICE!A:A,$A$8)</f>
        <v>0.2316</v>
      </c>
      <c r="V31" s="207">
        <f t="shared" si="0"/>
        <v>272.44261979166669</v>
      </c>
      <c r="W31" s="208" t="str">
        <f>IF(COUNTIF($C$15:C31,C31)=1,C31 &amp; " - " &amp; TEXT(SUMIF($C:$C,C31,$T:$T),"0.00"),"")</f>
        <v/>
      </c>
      <c r="X31" s="209"/>
    </row>
    <row r="32" spans="1:34" s="210" customFormat="1" ht="31.5" customHeight="1" x14ac:dyDescent="0.2">
      <c r="A32" s="196">
        <f t="shared" si="5"/>
        <v>18</v>
      </c>
      <c r="B32" s="196"/>
      <c r="C32" s="196" t="s">
        <v>95</v>
      </c>
      <c r="D32" s="197"/>
      <c r="E32" s="197" t="s">
        <v>11</v>
      </c>
      <c r="F32" s="198" t="s">
        <v>123</v>
      </c>
      <c r="G32" s="199" t="str">
        <f>IF(COUNTIFS($C$15:C32,C32,$H$15:H32,H32)=1,
SUMIFS($I$15:$I$42,$C$15:$C$42,C32,$H$15:$H$42,H32)&amp;H32&amp;" "&amp;C32,
"")</f>
        <v/>
      </c>
      <c r="H32" s="197" t="s">
        <v>14</v>
      </c>
      <c r="I32" s="200">
        <v>1</v>
      </c>
      <c r="J32" s="249"/>
      <c r="K32" s="201" cm="1">
        <f t="array" ref="K32">IF(E32="untrim",_xlfn.XLOOKUP(1,(TRIM('SIZE GUIDE'!$A$3:$A$2015)=TRIM(E32))*(TRIM('SIZE GUIDE'!$B$3:$B$2015)=TRIM(F32))*(TRIM('SIZE GUIDE'!$C$3:$C$2015)=TRIM(H32)),'SIZE GUIDE'!$D$3:$D$2015),"")</f>
        <v>76</v>
      </c>
      <c r="L32" s="265" cm="1">
        <f t="array" ref="L32">IF(E32="untrim",IFERROR(INDEX('SIZE GUIDE'!$E:$E,MATCH(1,('SIZE GUIDE'!$A:$A=$E32)*('SIZE GUIDE'!$B:$B=$F32)*('SIZE GUIDE'!$C:$C=$H32),0)),""),"")</f>
        <v>55</v>
      </c>
      <c r="M32" s="202">
        <v>41</v>
      </c>
      <c r="N32" s="203" t="str" cm="1">
        <f t="array" ref="N32">IF(E32="trim",_xlfn.XLOOKUP(1,(TRIM('SIZE GUIDE'!$A$3:$A$2015)=TRIM(E32))*(TRIM('SIZE GUIDE'!$B$3:$B$2015)=TRIM(F32))*(TRIM('SIZE GUIDE'!$C$3:$C$2015)=TRIM(H32)),'SIZE GUIDE'!$D$3:$D$2015),"")</f>
        <v/>
      </c>
      <c r="O32" s="203" t="str" cm="1">
        <f t="array" ref="O32">IF(E32="trim",IFERROR(INDEX('SIZE GUIDE'!$E:$E,MATCH(1,('SIZE GUIDE'!$A:$A=$E32)*('SIZE GUIDE'!$B:$B=$F32)*('SIZE GUIDE'!$C:$C=$H32),0)),""),"")</f>
        <v/>
      </c>
      <c r="P32" s="203"/>
      <c r="Q32" s="204">
        <f t="shared" si="1"/>
        <v>74.5</v>
      </c>
      <c r="R32" s="198">
        <f t="shared" si="2"/>
        <v>53.5</v>
      </c>
      <c r="S32" s="198">
        <f t="shared" si="3"/>
        <v>40.5</v>
      </c>
      <c r="T32" s="205">
        <f t="shared" si="4"/>
        <v>1120.9921875</v>
      </c>
      <c r="U32" s="206">
        <f>SUMIFS(CODE_PRICE!F:F,CODE_PRICE!B:B,C32,CODE_PRICE!A:A,$A$8)</f>
        <v>0.2316</v>
      </c>
      <c r="V32" s="207">
        <f t="shared" si="0"/>
        <v>259.62179062500002</v>
      </c>
      <c r="W32" s="208" t="str">
        <f>IF(COUNTIF($C$15:C32,C32)=1,C32 &amp; " - " &amp; TEXT(SUMIF($C:$C,C32,$T:$T),"0.00"),"")</f>
        <v/>
      </c>
      <c r="X32" s="209"/>
    </row>
    <row r="33" spans="1:24" s="210" customFormat="1" ht="31.5" customHeight="1" x14ac:dyDescent="0.2">
      <c r="A33" s="196">
        <f t="shared" si="5"/>
        <v>19</v>
      </c>
      <c r="B33" s="196"/>
      <c r="C33" s="196" t="s">
        <v>95</v>
      </c>
      <c r="D33" s="197"/>
      <c r="E33" s="197" t="s">
        <v>11</v>
      </c>
      <c r="F33" s="198" t="s">
        <v>123</v>
      </c>
      <c r="G33" s="199" t="str">
        <f>IF(COUNTIFS($C$15:C33,C33,$H$15:H33,H33)=1,
SUMIFS($I$15:$I$42,$C$15:$C$42,C33,$H$15:$H$42,H33)&amp;H33&amp;" "&amp;C33,
"")</f>
        <v/>
      </c>
      <c r="H33" s="197" t="s">
        <v>14</v>
      </c>
      <c r="I33" s="200">
        <v>1</v>
      </c>
      <c r="J33" s="249"/>
      <c r="K33" s="201" cm="1">
        <f t="array" ref="K33">IF(E33="untrim",_xlfn.XLOOKUP(1,(TRIM('SIZE GUIDE'!$A$3:$A$2015)=TRIM(E33))*(TRIM('SIZE GUIDE'!$B$3:$B$2015)=TRIM(F33))*(TRIM('SIZE GUIDE'!$C$3:$C$2015)=TRIM(H33)),'SIZE GUIDE'!$D$3:$D$2015),"")</f>
        <v>76</v>
      </c>
      <c r="L33" s="265" cm="1">
        <f t="array" ref="L33">IF(E33="untrim",IFERROR(INDEX('SIZE GUIDE'!$E:$E,MATCH(1,('SIZE GUIDE'!$A:$A=$E33)*('SIZE GUIDE'!$B:$B=$F33)*('SIZE GUIDE'!$C:$C=$H33),0)),""),"")</f>
        <v>55</v>
      </c>
      <c r="M33" s="202">
        <v>41</v>
      </c>
      <c r="N33" s="203" t="str" cm="1">
        <f t="array" ref="N33">IF(E33="trim",_xlfn.XLOOKUP(1,(TRIM('SIZE GUIDE'!$A$3:$A$2015)=TRIM(E33))*(TRIM('SIZE GUIDE'!$B$3:$B$2015)=TRIM(F33))*(TRIM('SIZE GUIDE'!$C$3:$C$2015)=TRIM(H33)),'SIZE GUIDE'!$D$3:$D$2015),"")</f>
        <v/>
      </c>
      <c r="O33" s="203" t="str" cm="1">
        <f t="array" ref="O33">IF(E33="trim",IFERROR(INDEX('SIZE GUIDE'!$E:$E,MATCH(1,('SIZE GUIDE'!$A:$A=$E33)*('SIZE GUIDE'!$B:$B=$F33)*('SIZE GUIDE'!$C:$C=$H33),0)),""),"")</f>
        <v/>
      </c>
      <c r="P33" s="203"/>
      <c r="Q33" s="204">
        <f t="shared" si="1"/>
        <v>74.5</v>
      </c>
      <c r="R33" s="198">
        <f t="shared" si="2"/>
        <v>53.5</v>
      </c>
      <c r="S33" s="198">
        <f t="shared" si="3"/>
        <v>40.5</v>
      </c>
      <c r="T33" s="205">
        <f t="shared" si="4"/>
        <v>1120.9921875</v>
      </c>
      <c r="U33" s="206">
        <f>SUMIFS(CODE_PRICE!F:F,CODE_PRICE!B:B,C33,CODE_PRICE!A:A,$A$8)</f>
        <v>0.2316</v>
      </c>
      <c r="V33" s="207">
        <f t="shared" si="0"/>
        <v>259.62179062500002</v>
      </c>
      <c r="W33" s="208" t="str">
        <f>IF(COUNTIF($C$15:C33,C33)=1,C33 &amp; " - " &amp; TEXT(SUMIF($C:$C,C33,$T:$T),"0.00"),"")</f>
        <v/>
      </c>
      <c r="X33" s="209"/>
    </row>
    <row r="34" spans="1:24" s="210" customFormat="1" ht="31.5" customHeight="1" x14ac:dyDescent="0.2">
      <c r="A34" s="196">
        <f t="shared" si="5"/>
        <v>20</v>
      </c>
      <c r="B34" s="196"/>
      <c r="C34" s="196" t="s">
        <v>89</v>
      </c>
      <c r="D34" s="197"/>
      <c r="E34" s="197" t="s">
        <v>11</v>
      </c>
      <c r="F34" s="198"/>
      <c r="G34" s="199"/>
      <c r="H34" s="298" t="s">
        <v>308</v>
      </c>
      <c r="I34" s="200">
        <v>1</v>
      </c>
      <c r="J34" s="249"/>
      <c r="K34" s="201"/>
      <c r="L34" s="265"/>
      <c r="M34" s="202"/>
      <c r="N34" s="203"/>
      <c r="O34" s="203"/>
      <c r="P34" s="203"/>
      <c r="Q34" s="204">
        <v>79.5</v>
      </c>
      <c r="R34" s="198">
        <v>75.5</v>
      </c>
      <c r="S34" s="198">
        <v>42.5</v>
      </c>
      <c r="T34" s="205">
        <f>IFERROR(Q34*R34*S34/144*I34,"")-T15</f>
        <v>-61.536458333333485</v>
      </c>
      <c r="U34" s="206">
        <f>SUMIFS(CODE_PRICE!F:F,CODE_PRICE!B:B,C34,CODE_PRICE!A:A,$A$8)</f>
        <v>0.1895</v>
      </c>
      <c r="V34" s="207">
        <f>T34*U34</f>
        <v>-11.661158854166695</v>
      </c>
      <c r="W34" s="208"/>
      <c r="X34" s="209"/>
    </row>
    <row r="35" spans="1:24" s="210" customFormat="1" ht="31.5" customHeight="1" x14ac:dyDescent="0.2">
      <c r="A35" s="196"/>
      <c r="B35" s="196"/>
      <c r="C35" s="196"/>
      <c r="D35" s="197"/>
      <c r="E35" s="197"/>
      <c r="F35" s="198"/>
      <c r="G35" s="199"/>
      <c r="H35" s="197"/>
      <c r="I35" s="200"/>
      <c r="J35" s="249"/>
      <c r="K35" s="201"/>
      <c r="L35" s="265"/>
      <c r="M35" s="202"/>
      <c r="N35" s="203"/>
      <c r="O35" s="203"/>
      <c r="P35" s="203"/>
      <c r="Q35" s="204"/>
      <c r="R35" s="198"/>
      <c r="S35" s="198"/>
      <c r="T35" s="205"/>
      <c r="U35" s="206"/>
      <c r="V35" s="207"/>
      <c r="W35" s="208"/>
      <c r="X35" s="209"/>
    </row>
    <row r="36" spans="1:24" s="210" customFormat="1" ht="31.5" customHeight="1" x14ac:dyDescent="0.2">
      <c r="A36" s="196"/>
      <c r="B36" s="196"/>
      <c r="C36" s="196"/>
      <c r="D36" s="197"/>
      <c r="E36" s="197"/>
      <c r="F36" s="198"/>
      <c r="G36" s="199"/>
      <c r="H36" s="197"/>
      <c r="I36" s="200"/>
      <c r="J36" s="249"/>
      <c r="K36" s="201"/>
      <c r="L36" s="265"/>
      <c r="M36" s="202"/>
      <c r="N36" s="203"/>
      <c r="O36" s="203"/>
      <c r="P36" s="203"/>
      <c r="Q36" s="204"/>
      <c r="R36" s="198"/>
      <c r="S36" s="198"/>
      <c r="T36" s="205"/>
      <c r="U36" s="206"/>
      <c r="V36" s="207"/>
      <c r="W36" s="208"/>
      <c r="X36" s="209"/>
    </row>
    <row r="37" spans="1:24" s="210" customFormat="1" ht="31.5" customHeight="1" x14ac:dyDescent="0.2">
      <c r="A37" s="196"/>
      <c r="B37" s="196"/>
      <c r="C37" s="196"/>
      <c r="D37" s="197"/>
      <c r="E37" s="197"/>
      <c r="F37" s="198"/>
      <c r="G37" s="199"/>
      <c r="H37" s="197"/>
      <c r="I37" s="200"/>
      <c r="J37" s="249"/>
      <c r="K37" s="201"/>
      <c r="L37" s="265"/>
      <c r="M37" s="202"/>
      <c r="N37" s="203"/>
      <c r="O37" s="203"/>
      <c r="P37" s="203"/>
      <c r="Q37" s="204"/>
      <c r="R37" s="198"/>
      <c r="S37" s="198"/>
      <c r="T37" s="205"/>
      <c r="U37" s="206"/>
      <c r="V37" s="207"/>
      <c r="W37" s="208"/>
      <c r="X37" s="209"/>
    </row>
    <row r="38" spans="1:24" s="210" customFormat="1" ht="31.5" customHeight="1" x14ac:dyDescent="0.2">
      <c r="A38" s="196"/>
      <c r="B38" s="196"/>
      <c r="C38" s="196"/>
      <c r="D38" s="197"/>
      <c r="E38" s="197"/>
      <c r="F38" s="198"/>
      <c r="G38" s="199"/>
      <c r="H38" s="197"/>
      <c r="I38" s="200"/>
      <c r="J38" s="249"/>
      <c r="K38" s="201"/>
      <c r="L38" s="265"/>
      <c r="M38" s="202"/>
      <c r="N38" s="203"/>
      <c r="O38" s="203"/>
      <c r="P38" s="203"/>
      <c r="Q38" s="204"/>
      <c r="R38" s="198"/>
      <c r="S38" s="198"/>
      <c r="T38" s="205"/>
      <c r="U38" s="206"/>
      <c r="V38" s="207"/>
      <c r="W38" s="208"/>
      <c r="X38" s="209"/>
    </row>
    <row r="39" spans="1:24" s="210" customFormat="1" ht="31.5" customHeight="1" x14ac:dyDescent="0.2">
      <c r="A39" s="196"/>
      <c r="B39" s="196"/>
      <c r="C39" s="196"/>
      <c r="D39" s="197"/>
      <c r="E39" s="197"/>
      <c r="F39" s="198"/>
      <c r="G39" s="199"/>
      <c r="H39" s="197"/>
      <c r="I39" s="200"/>
      <c r="J39" s="249"/>
      <c r="K39" s="201"/>
      <c r="L39" s="265"/>
      <c r="M39" s="202"/>
      <c r="N39" s="203"/>
      <c r="O39" s="203"/>
      <c r="P39" s="203"/>
      <c r="Q39" s="204"/>
      <c r="R39" s="198"/>
      <c r="S39" s="198"/>
      <c r="T39" s="205"/>
      <c r="U39" s="206"/>
      <c r="V39" s="207"/>
      <c r="W39" s="208"/>
      <c r="X39" s="209"/>
    </row>
    <row r="40" spans="1:24" s="210" customFormat="1" ht="31.5" customHeight="1" x14ac:dyDescent="0.2">
      <c r="A40" s="196"/>
      <c r="B40" s="196"/>
      <c r="C40" s="196"/>
      <c r="D40" s="260"/>
      <c r="E40" s="197"/>
      <c r="F40" s="198"/>
      <c r="G40" s="199"/>
      <c r="H40" s="197"/>
      <c r="I40" s="200"/>
      <c r="J40" s="249"/>
      <c r="K40" s="201"/>
      <c r="L40" s="265"/>
      <c r="M40" s="202"/>
      <c r="N40" s="203"/>
      <c r="O40" s="203"/>
      <c r="P40" s="203"/>
      <c r="Q40" s="204"/>
      <c r="R40" s="198"/>
      <c r="S40" s="198"/>
      <c r="T40" s="205"/>
      <c r="U40" s="206"/>
      <c r="V40" s="207"/>
      <c r="W40" s="198"/>
      <c r="X40" s="238"/>
    </row>
    <row r="41" spans="1:24" s="210" customFormat="1" ht="31.5" customHeight="1" x14ac:dyDescent="0.2">
      <c r="A41" s="196"/>
      <c r="B41" s="196"/>
      <c r="C41" s="196"/>
      <c r="D41" s="260"/>
      <c r="E41" s="197"/>
      <c r="F41" s="198"/>
      <c r="G41" s="199"/>
      <c r="H41" s="197"/>
      <c r="I41" s="200"/>
      <c r="J41" s="249"/>
      <c r="K41" s="201"/>
      <c r="L41" s="265"/>
      <c r="M41" s="202"/>
      <c r="N41" s="203"/>
      <c r="O41" s="203"/>
      <c r="P41" s="203"/>
      <c r="Q41" s="204"/>
      <c r="R41" s="198"/>
      <c r="S41" s="198"/>
      <c r="T41" s="205"/>
      <c r="U41" s="206"/>
      <c r="V41" s="207"/>
      <c r="W41" s="198"/>
      <c r="X41" s="238"/>
    </row>
    <row r="42" spans="1:24" s="210" customFormat="1" ht="31.5" customHeight="1" x14ac:dyDescent="0.2">
      <c r="A42" s="196"/>
      <c r="B42" s="196"/>
      <c r="C42" s="196"/>
      <c r="D42" s="260"/>
      <c r="E42" s="197"/>
      <c r="F42" s="198"/>
      <c r="G42" s="199"/>
      <c r="H42" s="197"/>
      <c r="I42" s="200"/>
      <c r="J42" s="249"/>
      <c r="K42" s="201"/>
      <c r="L42" s="265"/>
      <c r="M42" s="202"/>
      <c r="N42" s="203"/>
      <c r="O42" s="203"/>
      <c r="P42" s="203"/>
      <c r="Q42" s="204"/>
      <c r="R42" s="198"/>
      <c r="S42" s="198"/>
      <c r="T42" s="205"/>
      <c r="U42" s="206"/>
      <c r="V42" s="207"/>
      <c r="W42" s="198"/>
      <c r="X42" s="238"/>
    </row>
    <row r="43" spans="1:24" s="284" customFormat="1" ht="31.5" customHeight="1" x14ac:dyDescent="0.2">
      <c r="A43" s="270"/>
      <c r="B43" s="270"/>
      <c r="C43" s="270"/>
      <c r="D43" s="271"/>
      <c r="E43" s="272"/>
      <c r="F43" s="273"/>
      <c r="G43" s="274"/>
      <c r="H43" s="197"/>
      <c r="I43" s="275"/>
      <c r="J43" s="276"/>
      <c r="K43" s="277"/>
      <c r="L43" s="278"/>
      <c r="M43" s="279"/>
      <c r="N43" s="277"/>
      <c r="O43" s="277"/>
      <c r="P43" s="277"/>
      <c r="Q43" s="277"/>
      <c r="R43" s="273"/>
      <c r="S43" s="273"/>
      <c r="T43" s="280"/>
      <c r="U43" s="281"/>
      <c r="V43" s="282"/>
      <c r="W43" s="273"/>
      <c r="X43" s="283"/>
    </row>
    <row r="44" spans="1:24" s="284" customFormat="1" ht="31.5" customHeight="1" x14ac:dyDescent="0.2">
      <c r="A44" s="270"/>
      <c r="B44" s="270"/>
      <c r="C44" s="270"/>
      <c r="D44" s="271"/>
      <c r="E44" s="272"/>
      <c r="F44" s="273"/>
      <c r="G44" s="274"/>
      <c r="H44" s="197"/>
      <c r="I44" s="275"/>
      <c r="J44" s="276"/>
      <c r="K44" s="277"/>
      <c r="L44" s="278"/>
      <c r="M44" s="279"/>
      <c r="N44" s="277"/>
      <c r="O44" s="277"/>
      <c r="P44" s="277"/>
      <c r="Q44" s="277"/>
      <c r="R44" s="273"/>
      <c r="S44" s="273"/>
      <c r="T44" s="280"/>
      <c r="U44" s="281"/>
      <c r="V44" s="282"/>
      <c r="W44" s="273"/>
      <c r="X44" s="283"/>
    </row>
    <row r="45" spans="1:24" s="210" customFormat="1" ht="31.5" customHeight="1" x14ac:dyDescent="0.2">
      <c r="A45" s="212"/>
      <c r="B45" s="212"/>
      <c r="C45" s="212"/>
      <c r="D45" s="212"/>
      <c r="E45" s="213"/>
      <c r="F45" s="212"/>
      <c r="G45" s="212"/>
      <c r="H45" s="214" t="s">
        <v>155</v>
      </c>
      <c r="I45" s="215">
        <f>SUM(I13:I42)</f>
        <v>20</v>
      </c>
      <c r="J45" s="248"/>
      <c r="K45" s="216"/>
      <c r="L45" s="264"/>
      <c r="M45" s="216"/>
      <c r="N45" s="217"/>
      <c r="O45" s="217"/>
      <c r="P45" s="217"/>
      <c r="Q45" s="213"/>
      <c r="R45" s="213"/>
      <c r="S45" s="213"/>
      <c r="T45" s="218">
        <f>SUM(T13:T44)</f>
        <v>25591.631944444449</v>
      </c>
      <c r="U45" s="219"/>
      <c r="V45" s="220">
        <f>SUM(V13:V44)</f>
        <v>5385.8250330729161</v>
      </c>
      <c r="W45" s="219"/>
      <c r="X45" s="220"/>
    </row>
    <row r="46" spans="1:24" s="210" customFormat="1" ht="31.5" customHeight="1" x14ac:dyDescent="0.2">
      <c r="A46" s="196"/>
      <c r="B46" s="196"/>
      <c r="C46" s="196"/>
      <c r="D46" s="197"/>
      <c r="E46" s="197"/>
      <c r="F46" s="198"/>
      <c r="G46" s="199"/>
      <c r="H46" s="221" t="s">
        <v>156</v>
      </c>
      <c r="I46" s="222"/>
      <c r="J46" s="250"/>
      <c r="K46" s="204"/>
      <c r="L46" s="266"/>
      <c r="M46" s="223"/>
      <c r="N46" s="204"/>
      <c r="O46" s="204"/>
      <c r="P46" s="204"/>
      <c r="Q46" s="224"/>
      <c r="R46" s="224"/>
      <c r="S46" s="224"/>
      <c r="T46" s="205"/>
      <c r="U46" s="224"/>
      <c r="V46" s="207"/>
      <c r="W46" s="224"/>
      <c r="X46" s="207"/>
    </row>
    <row r="47" spans="1:24" s="210" customFormat="1" ht="31.5" customHeight="1" x14ac:dyDescent="0.2">
      <c r="A47" s="212"/>
      <c r="B47" s="212"/>
      <c r="C47" s="212"/>
      <c r="D47" s="213"/>
      <c r="E47" s="213"/>
      <c r="F47" s="213"/>
      <c r="G47" s="213"/>
      <c r="H47" s="214" t="s">
        <v>162</v>
      </c>
      <c r="I47" s="215">
        <f>SUM(I15:I42)</f>
        <v>20</v>
      </c>
      <c r="J47" s="248"/>
      <c r="K47" s="216"/>
      <c r="L47" s="264"/>
      <c r="M47" s="216"/>
      <c r="N47" s="217"/>
      <c r="O47" s="217"/>
      <c r="P47" s="217"/>
      <c r="Q47" s="213"/>
      <c r="R47" s="213"/>
      <c r="S47" s="213"/>
      <c r="T47" s="218">
        <f>SUM(T15:T44)</f>
        <v>25591.631944444449</v>
      </c>
      <c r="U47" s="219"/>
      <c r="V47" s="220">
        <f>+V45+V46</f>
        <v>5385.8250330729161</v>
      </c>
      <c r="W47" s="219"/>
      <c r="X47" s="220"/>
    </row>
    <row r="48" spans="1:24" s="228" customFormat="1" ht="15" customHeight="1" x14ac:dyDescent="0.25">
      <c r="A48" s="225"/>
      <c r="B48" s="225"/>
      <c r="C48" s="225"/>
      <c r="D48" s="225"/>
      <c r="E48" s="225"/>
      <c r="F48" s="226"/>
      <c r="G48" s="225"/>
      <c r="H48" s="227"/>
      <c r="I48" s="227"/>
      <c r="J48" s="251"/>
      <c r="L48" s="267"/>
      <c r="V48" s="229"/>
      <c r="X48" s="230"/>
    </row>
    <row r="49" spans="1:24" s="228" customFormat="1" ht="15" customHeight="1" x14ac:dyDescent="0.25">
      <c r="A49" s="225" t="s">
        <v>218</v>
      </c>
      <c r="B49" s="225"/>
      <c r="C49" s="225"/>
      <c r="D49" s="225"/>
      <c r="E49" s="225"/>
      <c r="F49" s="226"/>
      <c r="G49" s="225"/>
      <c r="H49" s="227"/>
      <c r="I49" s="227"/>
      <c r="J49" s="251"/>
      <c r="L49" s="267"/>
      <c r="V49" s="229"/>
      <c r="X49" s="230"/>
    </row>
    <row r="50" spans="1:24" s="228" customFormat="1" ht="15" customHeight="1" x14ac:dyDescent="0.25">
      <c r="A50" s="225"/>
      <c r="B50" s="225"/>
      <c r="C50" s="225"/>
      <c r="D50" s="225"/>
      <c r="E50" s="225"/>
      <c r="F50" s="226"/>
      <c r="G50" s="225"/>
      <c r="H50" s="227"/>
      <c r="I50" s="227"/>
      <c r="J50" s="251"/>
      <c r="L50" s="267"/>
      <c r="V50" s="229"/>
      <c r="X50" s="230"/>
    </row>
    <row r="51" spans="1:24" s="228" customFormat="1" ht="15" customHeight="1" x14ac:dyDescent="0.25">
      <c r="A51" s="225" t="s">
        <v>219</v>
      </c>
      <c r="B51" s="225"/>
      <c r="C51" s="225"/>
      <c r="D51" s="225"/>
      <c r="E51" s="225"/>
      <c r="F51" s="226"/>
      <c r="G51" s="225"/>
      <c r="H51" s="227"/>
      <c r="I51" s="227"/>
      <c r="J51" s="251"/>
      <c r="L51" s="267"/>
      <c r="V51" s="229"/>
      <c r="X51" s="230"/>
    </row>
    <row r="52" spans="1:24" ht="15" customHeight="1" x14ac:dyDescent="0.25">
      <c r="A52" s="48"/>
      <c r="B52" s="48"/>
      <c r="C52" s="48"/>
      <c r="D52" s="48"/>
      <c r="E52" s="48"/>
      <c r="F52" s="84"/>
      <c r="G52" s="48"/>
      <c r="H52" s="85"/>
      <c r="I52" s="85"/>
      <c r="J52" s="252"/>
      <c r="K52" s="35"/>
      <c r="L52" s="268"/>
      <c r="M52" s="35"/>
      <c r="N52" s="35"/>
      <c r="O52" s="35"/>
      <c r="P52" s="35"/>
      <c r="Q52" s="35"/>
      <c r="R52" s="35"/>
      <c r="S52" s="35"/>
      <c r="T52" s="35"/>
      <c r="U52" s="35"/>
      <c r="V52" s="89"/>
    </row>
    <row r="53" spans="1:24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252"/>
      <c r="K53" s="35"/>
      <c r="L53" s="268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4" ht="15" customHeight="1" x14ac:dyDescent="0.25">
      <c r="A54" s="86"/>
      <c r="B54" s="318"/>
      <c r="C54" s="318"/>
      <c r="D54" s="318"/>
      <c r="E54" s="318"/>
      <c r="F54" s="318"/>
      <c r="G54" s="318"/>
      <c r="H54" s="318"/>
      <c r="I54" s="318"/>
      <c r="J54" s="318"/>
      <c r="K54" s="35"/>
      <c r="L54" s="268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4" ht="15" customHeight="1" x14ac:dyDescent="0.25">
      <c r="A55" s="86"/>
      <c r="B55" s="319"/>
      <c r="C55" s="319"/>
      <c r="D55" s="319"/>
      <c r="E55" s="319"/>
      <c r="F55" s="319"/>
      <c r="G55" s="319"/>
      <c r="H55" s="319"/>
      <c r="I55" s="319"/>
      <c r="J55" s="319"/>
      <c r="K55" s="35"/>
      <c r="L55" s="268"/>
      <c r="M55" s="35"/>
      <c r="N55" s="35"/>
      <c r="O55" s="35"/>
      <c r="P55" s="35"/>
      <c r="Q55" s="35"/>
      <c r="R55" s="35"/>
      <c r="S55" s="35"/>
      <c r="T55" s="35"/>
      <c r="U55" s="35"/>
      <c r="V55" s="89"/>
    </row>
  </sheetData>
  <mergeCells count="5">
    <mergeCell ref="A7:E7"/>
    <mergeCell ref="F7:G7"/>
    <mergeCell ref="R9:S9"/>
    <mergeCell ref="B54:J54"/>
    <mergeCell ref="B55:J55"/>
  </mergeCells>
  <pageMargins left="0" right="0" top="1" bottom="0" header="0.511811023622047" footer="0.511811023622047"/>
  <pageSetup paperSize="9" scale="42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colBreaks count="2" manualBreakCount="2">
    <brk id="4" max="1048575" man="1"/>
    <brk id="6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xr:uid="{A46DC5D0-2EFC-46A6-8A8C-00655C61C8AA}">
          <x14:formula1>
            <xm:f>CODE_MASTER_AS!$A$3:$A$14</xm:f>
          </x14:formula1>
          <xm:sqref>C46:C47 F45:G45 C15:C44</xm:sqref>
        </x14:dataValidation>
        <x14:dataValidation type="list" allowBlank="1" xr:uid="{003049E5-4B00-4FD7-97A5-70B38A5D7DE9}">
          <x14:formula1>
            <xm:f>LISTS!$B$2:$B$8</xm:f>
          </x14:formula1>
          <x14:formula2>
            <xm:f>0</xm:f>
          </x14:formula2>
          <xm:sqref>H15:H47</xm:sqref>
        </x14:dataValidation>
        <x14:dataValidation type="list" allowBlank="1" xr:uid="{FDF15786-A584-4F8F-A943-B178121E13AF}">
          <x14:formula1>
            <xm:f>'SIZE GUIDE'!$A$3:$A$38</xm:f>
          </x14:formula1>
          <xm:sqref>E15:E47</xm:sqref>
        </x14:dataValidation>
        <x14:dataValidation type="list" allowBlank="1" showInputMessage="1" showErrorMessage="1" xr:uid="{CE41D58B-518D-401F-92E9-92BFA4443F44}">
          <x14:formula1>
            <xm:f>'SIZE GUIDE'!$B:$B</xm:f>
          </x14:formula1>
          <xm:sqref>G45 F15:F47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01FA-F988-4785-BBEB-5D99B824E292}">
  <sheetPr codeName="Sheet23">
    <pageSetUpPr fitToPage="1"/>
  </sheetPr>
  <dimension ref="A1:AH56"/>
  <sheetViews>
    <sheetView showGridLines="0" view="pageBreakPreview" topLeftCell="A19" zoomScale="80" zoomScaleNormal="68" zoomScaleSheetLayoutView="80" workbookViewId="0">
      <selection activeCell="I40" sqref="I40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25" style="16" hidden="1" customWidth="1"/>
    <col min="5" max="5" width="16.83203125" style="16" customWidth="1"/>
    <col min="6" max="6" width="15.33203125" style="16" hidden="1" customWidth="1"/>
    <col min="7" max="7" width="23.5" style="16" bestFit="1" customWidth="1"/>
    <col min="8" max="8" width="15.6640625" style="16" customWidth="1"/>
    <col min="9" max="9" width="10.6640625" style="16" customWidth="1"/>
    <col min="10" max="10" width="10.6640625" style="15" hidden="1" customWidth="1"/>
    <col min="11" max="11" width="10.6640625" style="16" hidden="1" customWidth="1"/>
    <col min="12" max="12" width="10.6640625" style="269" hidden="1" customWidth="1"/>
    <col min="13" max="16" width="10.6640625" style="16" hidden="1" customWidth="1"/>
    <col min="17" max="19" width="10.6640625" style="16" customWidth="1"/>
    <col min="20" max="20" width="14.6640625" style="16" customWidth="1"/>
    <col min="21" max="21" width="14.1640625" style="16" customWidth="1"/>
    <col min="22" max="22" width="14.5" style="98" customWidth="1"/>
    <col min="23" max="23" width="28.1640625" style="16" customWidth="1"/>
    <col min="24" max="24" width="20.33203125" style="23" customWidth="1"/>
    <col min="25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45"/>
      <c r="K1" s="29"/>
      <c r="L1" s="261"/>
      <c r="M1" s="29" t="s">
        <v>204</v>
      </c>
      <c r="N1" s="27"/>
      <c r="O1" s="27"/>
      <c r="P1" s="27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246"/>
      <c r="K2" s="31"/>
      <c r="L2" s="261"/>
      <c r="M2" s="32" t="s">
        <v>161</v>
      </c>
      <c r="N2" s="27"/>
      <c r="O2" s="27"/>
      <c r="P2" s="28" t="s">
        <v>160</v>
      </c>
      <c r="R2" s="20"/>
      <c r="S2" s="21"/>
      <c r="U2" s="13"/>
      <c r="V2" s="20"/>
      <c r="W2" s="20"/>
      <c r="X2" s="20" t="s">
        <v>151</v>
      </c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247"/>
      <c r="K3" s="37"/>
      <c r="L3" s="262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247"/>
      <c r="K4" s="37"/>
      <c r="L4" s="262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247"/>
      <c r="K5" s="37"/>
      <c r="L5" s="262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247"/>
      <c r="K6" s="37"/>
      <c r="L6" s="262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5" t="s">
        <v>143</v>
      </c>
      <c r="B7" s="315"/>
      <c r="C7" s="315"/>
      <c r="D7" s="315"/>
      <c r="E7" s="315"/>
      <c r="F7" s="316"/>
      <c r="G7" s="316"/>
      <c r="H7" s="35"/>
      <c r="I7" s="35"/>
      <c r="J7" s="247"/>
      <c r="K7" s="37"/>
      <c r="L7" s="262"/>
      <c r="M7" s="37"/>
      <c r="N7" s="38"/>
      <c r="O7" s="38"/>
      <c r="P7" s="38"/>
      <c r="Q7" s="231" t="s">
        <v>147</v>
      </c>
      <c r="R7" s="231"/>
      <c r="S7" s="231"/>
      <c r="T7" s="231"/>
      <c r="U7" s="231"/>
      <c r="V7" s="231" t="s">
        <v>148</v>
      </c>
      <c r="W7" s="231"/>
      <c r="X7" s="231"/>
    </row>
    <row r="8" spans="1:24" ht="15" customHeight="1" x14ac:dyDescent="0.25">
      <c r="A8" s="44" t="s">
        <v>212</v>
      </c>
      <c r="B8" s="45"/>
      <c r="C8" s="45"/>
      <c r="D8" s="46"/>
      <c r="E8" s="46"/>
      <c r="F8" s="36"/>
      <c r="G8" s="46"/>
      <c r="H8" s="35"/>
      <c r="I8" s="35"/>
      <c r="J8" s="247"/>
      <c r="K8" s="37"/>
      <c r="L8" s="262"/>
      <c r="M8" s="37"/>
      <c r="N8" s="38"/>
      <c r="O8" s="38"/>
      <c r="P8" s="38"/>
      <c r="Q8" s="190" t="s">
        <v>287</v>
      </c>
      <c r="R8" s="191"/>
      <c r="S8" s="192"/>
      <c r="T8" s="193"/>
      <c r="U8" s="194"/>
      <c r="V8" s="195">
        <v>46205</v>
      </c>
      <c r="W8" s="232"/>
      <c r="X8" s="233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247"/>
      <c r="K9" s="37"/>
      <c r="L9" s="262"/>
      <c r="M9" s="37"/>
      <c r="N9" s="38"/>
      <c r="O9" s="38"/>
      <c r="P9" s="38"/>
      <c r="Q9" s="225"/>
      <c r="R9" s="317"/>
      <c r="S9" s="317"/>
      <c r="T9" s="228"/>
      <c r="U9" s="234"/>
      <c r="V9" s="235"/>
      <c r="W9" s="232"/>
      <c r="X9" s="233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247"/>
      <c r="K10" s="37"/>
      <c r="L10" s="262"/>
      <c r="M10" s="37"/>
      <c r="N10" s="38"/>
      <c r="O10" s="38"/>
      <c r="P10" s="38"/>
      <c r="Q10" s="236" t="s">
        <v>149</v>
      </c>
      <c r="R10" s="231"/>
      <c r="S10" s="231"/>
      <c r="T10" s="231"/>
      <c r="U10" s="231"/>
      <c r="V10" s="231" t="s">
        <v>150</v>
      </c>
      <c r="W10" s="231"/>
      <c r="X10" s="231"/>
    </row>
    <row r="11" spans="1:24" ht="15" customHeight="1" x14ac:dyDescent="0.25">
      <c r="A11" s="188" t="s">
        <v>288</v>
      </c>
      <c r="B11" s="34"/>
      <c r="C11" s="35"/>
      <c r="D11" s="35"/>
      <c r="E11" s="46"/>
      <c r="F11" s="46"/>
      <c r="G11" s="46"/>
      <c r="H11" s="35"/>
      <c r="I11" s="35"/>
      <c r="J11" s="247"/>
      <c r="K11" s="37"/>
      <c r="L11" s="262"/>
      <c r="M11" s="37"/>
      <c r="N11" s="38"/>
      <c r="O11" s="38"/>
      <c r="P11" s="38"/>
      <c r="Q11" s="190" t="s">
        <v>286</v>
      </c>
      <c r="R11" s="190"/>
      <c r="S11" s="190"/>
      <c r="T11" s="193"/>
      <c r="U11" s="194"/>
      <c r="V11" s="190"/>
      <c r="W11" s="232"/>
      <c r="X11" s="233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247"/>
      <c r="K12" s="37"/>
      <c r="L12" s="262"/>
      <c r="M12" s="37"/>
      <c r="N12" s="38"/>
      <c r="O12" s="38"/>
      <c r="P12" s="38"/>
      <c r="Q12" s="190"/>
      <c r="R12" s="190"/>
      <c r="S12" s="190"/>
      <c r="T12" s="190"/>
      <c r="U12" s="194"/>
      <c r="V12" s="237"/>
      <c r="W12" s="232"/>
      <c r="X12" s="233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4"/>
      <c r="K13" s="50"/>
      <c r="L13" s="263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210" customFormat="1" ht="39.75" customHeight="1" x14ac:dyDescent="0.2">
      <c r="A14" s="212" t="s">
        <v>158</v>
      </c>
      <c r="B14" s="212" t="s">
        <v>0</v>
      </c>
      <c r="C14" s="212" t="s">
        <v>1</v>
      </c>
      <c r="D14" s="213" t="s">
        <v>135</v>
      </c>
      <c r="E14" s="213" t="s">
        <v>157</v>
      </c>
      <c r="F14" s="213" t="s">
        <v>3</v>
      </c>
      <c r="G14" s="213" t="s">
        <v>152</v>
      </c>
      <c r="H14" s="213" t="s">
        <v>105</v>
      </c>
      <c r="I14" s="213" t="s">
        <v>5</v>
      </c>
      <c r="J14" s="248" t="s">
        <v>64</v>
      </c>
      <c r="K14" s="216" t="s">
        <v>136</v>
      </c>
      <c r="L14" s="264" t="s">
        <v>24</v>
      </c>
      <c r="M14" s="216" t="s">
        <v>108</v>
      </c>
      <c r="N14" s="217" t="s">
        <v>136</v>
      </c>
      <c r="O14" s="217" t="s">
        <v>24</v>
      </c>
      <c r="P14" s="259" t="s">
        <v>108</v>
      </c>
      <c r="Q14" s="213" t="s">
        <v>136</v>
      </c>
      <c r="R14" s="213" t="s">
        <v>24</v>
      </c>
      <c r="S14" s="213" t="s">
        <v>108</v>
      </c>
      <c r="T14" s="218" t="s">
        <v>159</v>
      </c>
      <c r="U14" s="219" t="s">
        <v>6</v>
      </c>
      <c r="V14" s="220" t="s">
        <v>7</v>
      </c>
      <c r="W14" s="220" t="s">
        <v>140</v>
      </c>
      <c r="X14" s="220" t="s">
        <v>141</v>
      </c>
    </row>
    <row r="15" spans="1:24" s="210" customFormat="1" ht="31.5" customHeight="1" x14ac:dyDescent="0.2">
      <c r="A15" s="196">
        <v>1</v>
      </c>
      <c r="B15" s="196"/>
      <c r="C15" s="196" t="s">
        <v>89</v>
      </c>
      <c r="D15" s="197"/>
      <c r="E15" s="197" t="s">
        <v>11</v>
      </c>
      <c r="F15" s="198" t="s">
        <v>123</v>
      </c>
      <c r="G15" s="199" t="str">
        <f>IF(COUNTIFS($C$15:C15,C15,$H$15:H15,H15)=1,
SUMIFS($I$15:$I$43,$C$15:$C$43,C15,$H$15:$H$43,H15)&amp;H15&amp;" "&amp;C15,
"")</f>
        <v>2K CFN30100W</v>
      </c>
      <c r="H15" s="197" t="s">
        <v>18</v>
      </c>
      <c r="I15" s="200">
        <v>1</v>
      </c>
      <c r="J15" s="249"/>
      <c r="K15" s="201" cm="1">
        <f t="array" ref="K15">IF(E15="untrim",_xlfn.XLOOKUP(1,(TRIM('SIZE GUIDE'!$A$3:$A$2015)=TRIM(E15))*(TRIM('SIZE GUIDE'!$B$3:$B$2015)=TRIM(F15))*(TRIM('SIZE GUIDE'!$C$3:$C$2015)=TRIM(H15)),'SIZE GUIDE'!$D$3:$D$2015),"")</f>
        <v>81</v>
      </c>
      <c r="L15" s="265" cm="1">
        <f t="array" ref="L15">IF(E15="untrim",IFERROR(INDEX('SIZE GUIDE'!$E:$E,MATCH(1,('SIZE GUIDE'!$A:$A=$E15)*('SIZE GUIDE'!$B:$B=$F15)*('SIZE GUIDE'!$C:$C=$H15),0)),""),"")</f>
        <v>77</v>
      </c>
      <c r="M15" s="202">
        <v>38</v>
      </c>
      <c r="N15" s="203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203" t="str" cm="1">
        <f t="array" ref="O15">IF(E15="trim",IFERROR(INDEX('SIZE GUIDE'!$E:$E,MATCH(1,('SIZE GUIDE'!$A:$A=$E15)*('SIZE GUIDE'!$B:$B=$F15)*('SIZE GUIDE'!$C:$C=$H15),0)),""),"")</f>
        <v/>
      </c>
      <c r="P15" s="203"/>
      <c r="Q15" s="204">
        <v>84.5</v>
      </c>
      <c r="R15" s="198">
        <v>73.5</v>
      </c>
      <c r="S15" s="198">
        <f>IF(E15="untrim",M15-0.5,P15-0.5)</f>
        <v>37.5</v>
      </c>
      <c r="T15" s="205">
        <f>IFERROR(Q15*R15*S15/144*I15,"")</f>
        <v>1617.3828125</v>
      </c>
      <c r="U15" s="206">
        <f>SUMIFS(CODE_PRICE!F:F,CODE_PRICE!B:B,C15,CODE_PRICE!A:A,$A$8)</f>
        <v>0.1895</v>
      </c>
      <c r="V15" s="207">
        <f t="shared" ref="V15:V34" si="0">T15*U15</f>
        <v>306.49404296875002</v>
      </c>
      <c r="W15" s="208" t="str">
        <f>IF(COUNTIF($C$15:C15,C15)=1,C15 &amp; " - " &amp; TEXT(SUMIF($C:$C,C15,$T:$T),"0.00"),"")</f>
        <v>CFN30100W - 22748.64</v>
      </c>
      <c r="X15" s="209">
        <f>IF(COUNTIF($C$15:C15,C15)=1,ROUND(SUMIF($C:$C,C15,$V:$V),2), "")</f>
        <v>4310.87</v>
      </c>
    </row>
    <row r="16" spans="1:24" s="210" customFormat="1" ht="31.5" customHeight="1" x14ac:dyDescent="0.2">
      <c r="A16" s="196">
        <f>A15+1</f>
        <v>2</v>
      </c>
      <c r="B16" s="196"/>
      <c r="C16" s="196" t="s">
        <v>89</v>
      </c>
      <c r="D16" s="197"/>
      <c r="E16" s="197" t="s">
        <v>11</v>
      </c>
      <c r="F16" s="198" t="s">
        <v>123</v>
      </c>
      <c r="G16" s="199" t="str">
        <f>IF(COUNTIFS($C$15:C16,C16,$H$15:H16,H16)=1,
SUMIFS($I$15:$I$43,$C$15:$C$43,C16,$H$15:$H$43,H16)&amp;H16&amp;" "&amp;C16,
"")</f>
        <v/>
      </c>
      <c r="H16" s="197" t="s">
        <v>18</v>
      </c>
      <c r="I16" s="200">
        <v>1</v>
      </c>
      <c r="J16" s="249"/>
      <c r="K16" s="201" cm="1">
        <f t="array" ref="K16">IF(E16="untrim",_xlfn.XLOOKUP(1,(TRIM('SIZE GUIDE'!$A$3:$A$2015)=TRIM(E16))*(TRIM('SIZE GUIDE'!$B$3:$B$2015)=TRIM(F16))*(TRIM('SIZE GUIDE'!$C$3:$C$2015)=TRIM(H16)),'SIZE GUIDE'!$D$3:$D$2015),"")</f>
        <v>81</v>
      </c>
      <c r="L16" s="265" cm="1">
        <f t="array" ref="L16">IF(E16="untrim",IFERROR(INDEX('SIZE GUIDE'!$E:$E,MATCH(1,('SIZE GUIDE'!$A:$A=$E16)*('SIZE GUIDE'!$B:$B=$F16)*('SIZE GUIDE'!$C:$C=$H16),0)),""),"")</f>
        <v>77</v>
      </c>
      <c r="M16" s="202">
        <v>43</v>
      </c>
      <c r="N16" s="203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203" t="str" cm="1">
        <f t="array" ref="O16">IF(E16="trim",IFERROR(INDEX('SIZE GUIDE'!$E:$E,MATCH(1,('SIZE GUIDE'!$A:$A=$E16)*('SIZE GUIDE'!$B:$B=$F16)*('SIZE GUIDE'!$C:$C=$H16),0)),""),"")</f>
        <v/>
      </c>
      <c r="P16" s="203"/>
      <c r="Q16" s="204">
        <f t="shared" ref="Q16:Q34" si="1">IF(E16="untrim",K16-1.5,N16)</f>
        <v>79.5</v>
      </c>
      <c r="R16" s="198">
        <f t="shared" ref="R16:R34" si="2">IF(E16="untrim",L16-1.5,O16)</f>
        <v>75.5</v>
      </c>
      <c r="S16" s="198">
        <f t="shared" ref="S16:S34" si="3">IF(E16="untrim",M16-0.5,P16-0.5)</f>
        <v>42.5</v>
      </c>
      <c r="T16" s="205">
        <f t="shared" ref="T16:T34" si="4">IFERROR(Q16*R16*S16/144*I16,"")</f>
        <v>1771.4973958333333</v>
      </c>
      <c r="U16" s="206">
        <f>SUMIFS(CODE_PRICE!F:F,CODE_PRICE!B:B,C16,CODE_PRICE!A:A,$A$8)</f>
        <v>0.1895</v>
      </c>
      <c r="V16" s="207">
        <f t="shared" si="0"/>
        <v>335.69875651041667</v>
      </c>
      <c r="W16" s="208" t="str">
        <f>IF(COUNTIF($C$15:C16,C16)=1,C16 &amp; " - " &amp; TEXT(SUMIF($C:$C,C16,$T:$T),"0.00"),"")</f>
        <v/>
      </c>
      <c r="X16" s="209" t="str">
        <f>IF(COUNTIF($C$15:C16,C16)=1,ROUND(SUMIF($C:$C,C16,$V:$V),2), "")</f>
        <v/>
      </c>
    </row>
    <row r="17" spans="1:34" s="210" customFormat="1" ht="31.5" customHeight="1" x14ac:dyDescent="0.2">
      <c r="A17" s="196">
        <f t="shared" ref="A17:A37" si="5">A16+1</f>
        <v>3</v>
      </c>
      <c r="B17" s="196"/>
      <c r="C17" s="196" t="s">
        <v>89</v>
      </c>
      <c r="D17" s="197"/>
      <c r="E17" s="197" t="s">
        <v>11</v>
      </c>
      <c r="F17" s="198" t="s">
        <v>123</v>
      </c>
      <c r="G17" s="199" t="str">
        <f>IF(COUNTIFS($C$15:C17,C17,$H$15:H17,H17)=1,
SUMIFS($I$15:$I$43,$C$15:$C$43,C17,$H$15:$H$43,H17)&amp;H17&amp;" "&amp;C17,
"")</f>
        <v>6Q CFN30100W</v>
      </c>
      <c r="H17" s="197" t="s">
        <v>16</v>
      </c>
      <c r="I17" s="200">
        <v>1</v>
      </c>
      <c r="J17" s="249"/>
      <c r="K17" s="201" cm="1">
        <f t="array" ref="K17">IF(E17="untrim",_xlfn.XLOOKUP(1,(TRIM('SIZE GUIDE'!$A$3:$A$2015)=TRIM(E17))*(TRIM('SIZE GUIDE'!$B$3:$B$2015)=TRIM(F17))*(TRIM('SIZE GUIDE'!$C$3:$C$2015)=TRIM(H17)),'SIZE GUIDE'!$D$3:$D$2015),"")</f>
        <v>81</v>
      </c>
      <c r="L17" s="265" cm="1">
        <f t="array" ref="L17">IF(E17="untrim",IFERROR(INDEX('SIZE GUIDE'!$E:$E,MATCH(1,('SIZE GUIDE'!$A:$A=$E17)*('SIZE GUIDE'!$B:$B=$F17)*('SIZE GUIDE'!$C:$C=$H17),0)),""),"")</f>
        <v>61</v>
      </c>
      <c r="M17" s="202">
        <v>41</v>
      </c>
      <c r="N17" s="203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203" t="str" cm="1">
        <f t="array" ref="O17">IF(E17="trim",IFERROR(INDEX('SIZE GUIDE'!$E:$E,MATCH(1,('SIZE GUIDE'!$A:$A=$E17)*('SIZE GUIDE'!$B:$B=$F17)*('SIZE GUIDE'!$C:$C=$H17),0)),""),"")</f>
        <v/>
      </c>
      <c r="P17" s="203"/>
      <c r="Q17" s="204">
        <f t="shared" si="1"/>
        <v>79.5</v>
      </c>
      <c r="R17" s="198">
        <f t="shared" si="2"/>
        <v>59.5</v>
      </c>
      <c r="S17" s="198">
        <f t="shared" si="3"/>
        <v>40.5</v>
      </c>
      <c r="T17" s="205">
        <f t="shared" si="4"/>
        <v>1330.3828125</v>
      </c>
      <c r="U17" s="206">
        <f>SUMIFS(CODE_PRICE!F:F,CODE_PRICE!B:B,C17,CODE_PRICE!A:A,$A$8)</f>
        <v>0.1895</v>
      </c>
      <c r="V17" s="207">
        <f t="shared" si="0"/>
        <v>252.10754296875001</v>
      </c>
      <c r="W17" s="208" t="str">
        <f>IF(COUNTIF($C$15:C17,C17)=1,C17 &amp; " - " &amp; TEXT(SUMIF($C:$C,C17,$T:$T),"0.00"),"")</f>
        <v/>
      </c>
      <c r="X17" s="209" t="str">
        <f>IF(COUNTIF($C$15:C17,C17)=1,ROUND(SUMIF($C:$C,C17,$V:$V),2), "")</f>
        <v/>
      </c>
    </row>
    <row r="18" spans="1:34" s="210" customFormat="1" ht="31.5" customHeight="1" x14ac:dyDescent="0.2">
      <c r="A18" s="196">
        <f t="shared" si="5"/>
        <v>4</v>
      </c>
      <c r="B18" s="196"/>
      <c r="C18" s="196" t="s">
        <v>89</v>
      </c>
      <c r="D18" s="197"/>
      <c r="E18" s="197" t="s">
        <v>11</v>
      </c>
      <c r="F18" s="198" t="s">
        <v>123</v>
      </c>
      <c r="G18" s="199" t="str">
        <f>IF(COUNTIFS($C$15:C18,C18,$H$15:H18,H18)=1,
SUMIFS($I$15:$I$43,$C$15:$C$43,C18,$H$15:$H$43,H18)&amp;H18&amp;" "&amp;C18,
"")</f>
        <v/>
      </c>
      <c r="H18" s="197" t="s">
        <v>16</v>
      </c>
      <c r="I18" s="200">
        <v>1</v>
      </c>
      <c r="J18" s="249"/>
      <c r="K18" s="201" cm="1">
        <f t="array" ref="K18">IF(E18="untrim",_xlfn.XLOOKUP(1,(TRIM('SIZE GUIDE'!$A$3:$A$2015)=TRIM(E18))*(TRIM('SIZE GUIDE'!$B$3:$B$2015)=TRIM(F18))*(TRIM('SIZE GUIDE'!$C$3:$C$2015)=TRIM(H18)),'SIZE GUIDE'!$D$3:$D$2015),"")</f>
        <v>81</v>
      </c>
      <c r="L18" s="265" cm="1">
        <f t="array" ref="L18">IF(E18="untrim",IFERROR(INDEX('SIZE GUIDE'!$E:$E,MATCH(1,('SIZE GUIDE'!$A:$A=$E18)*('SIZE GUIDE'!$B:$B=$F18)*('SIZE GUIDE'!$C:$C=$H18),0)),""),"")</f>
        <v>61</v>
      </c>
      <c r="M18" s="202">
        <v>41</v>
      </c>
      <c r="N18" s="203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203" t="str" cm="1">
        <f t="array" ref="O18">IF(E18="trim",IFERROR(INDEX('SIZE GUIDE'!$E:$E,MATCH(1,('SIZE GUIDE'!$A:$A=$E18)*('SIZE GUIDE'!$B:$B=$F18)*('SIZE GUIDE'!$C:$C=$H18),0)),""),"")</f>
        <v/>
      </c>
      <c r="P18" s="203"/>
      <c r="Q18" s="204">
        <f t="shared" si="1"/>
        <v>79.5</v>
      </c>
      <c r="R18" s="198">
        <f t="shared" si="2"/>
        <v>59.5</v>
      </c>
      <c r="S18" s="198">
        <f t="shared" si="3"/>
        <v>40.5</v>
      </c>
      <c r="T18" s="205">
        <f t="shared" si="4"/>
        <v>1330.3828125</v>
      </c>
      <c r="U18" s="206">
        <f>SUMIFS(CODE_PRICE!F:F,CODE_PRICE!B:B,C18,CODE_PRICE!A:A,$A$8)</f>
        <v>0.1895</v>
      </c>
      <c r="V18" s="207">
        <f t="shared" si="0"/>
        <v>252.10754296875001</v>
      </c>
      <c r="W18" s="208" t="str">
        <f>IF(COUNTIF($C$15:C18,C18)=1,C18 &amp; " - " &amp; TEXT(SUMIF($C:$C,C18,$T:$T),"0.00"),"")</f>
        <v/>
      </c>
      <c r="X18" s="209" t="str">
        <f>IF(COUNTIF($C$15:C18,C18)=1,ROUND(SUMIF($C:$C,C18,$V:$V),2), "")</f>
        <v/>
      </c>
      <c r="AH18" s="211"/>
    </row>
    <row r="19" spans="1:34" s="210" customFormat="1" ht="31.5" customHeight="1" x14ac:dyDescent="0.2">
      <c r="A19" s="196">
        <f t="shared" si="5"/>
        <v>5</v>
      </c>
      <c r="B19" s="196"/>
      <c r="C19" s="196" t="s">
        <v>89</v>
      </c>
      <c r="D19" s="197"/>
      <c r="E19" s="197" t="s">
        <v>11</v>
      </c>
      <c r="F19" s="198" t="s">
        <v>123</v>
      </c>
      <c r="G19" s="199" t="str">
        <f>IF(COUNTIFS($C$15:C19,C19,$H$15:H19,H19)=1,
SUMIFS($I$15:$I$43,$C$15:$C$43,C19,$H$15:$H$43,H19)&amp;H19&amp;" "&amp;C19,
"")</f>
        <v/>
      </c>
      <c r="H19" s="197" t="s">
        <v>16</v>
      </c>
      <c r="I19" s="200">
        <v>1</v>
      </c>
      <c r="J19" s="249"/>
      <c r="K19" s="201" cm="1">
        <f t="array" ref="K19">IF(E19="untrim",_xlfn.XLOOKUP(1,(TRIM('SIZE GUIDE'!$A$3:$A$2015)=TRIM(E19))*(TRIM('SIZE GUIDE'!$B$3:$B$2015)=TRIM(F19))*(TRIM('SIZE GUIDE'!$C$3:$C$2015)=TRIM(H19)),'SIZE GUIDE'!$D$3:$D$2015),"")</f>
        <v>81</v>
      </c>
      <c r="L19" s="265" cm="1">
        <f t="array" ref="L19">IF(E19="untrim",IFERROR(INDEX('SIZE GUIDE'!$E:$E,MATCH(1,('SIZE GUIDE'!$A:$A=$E19)*('SIZE GUIDE'!$B:$B=$F19)*('SIZE GUIDE'!$C:$C=$H19),0)),""),"")</f>
        <v>61</v>
      </c>
      <c r="M19" s="202">
        <v>41</v>
      </c>
      <c r="N19" s="203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203" t="str" cm="1">
        <f t="array" ref="O19">IF(E19="trim",IFERROR(INDEX('SIZE GUIDE'!$E:$E,MATCH(1,('SIZE GUIDE'!$A:$A=$E19)*('SIZE GUIDE'!$B:$B=$F19)*('SIZE GUIDE'!$C:$C=$H19),0)),""),"")</f>
        <v/>
      </c>
      <c r="P19" s="203"/>
      <c r="Q19" s="204">
        <f t="shared" si="1"/>
        <v>79.5</v>
      </c>
      <c r="R19" s="198">
        <f t="shared" si="2"/>
        <v>59.5</v>
      </c>
      <c r="S19" s="198">
        <f t="shared" si="3"/>
        <v>40.5</v>
      </c>
      <c r="T19" s="205">
        <f t="shared" si="4"/>
        <v>1330.3828125</v>
      </c>
      <c r="U19" s="206">
        <f>SUMIFS(CODE_PRICE!F:F,CODE_PRICE!B:B,C19,CODE_PRICE!A:A,$A$8)</f>
        <v>0.1895</v>
      </c>
      <c r="V19" s="207">
        <f t="shared" si="0"/>
        <v>252.10754296875001</v>
      </c>
      <c r="W19" s="208" t="str">
        <f>IF(COUNTIF($C$15:C19,C19)=1,C19 &amp; " - " &amp; TEXT(SUMIF($C:$C,C19,$T:$T),"0.00"),"")</f>
        <v/>
      </c>
      <c r="X19" s="209" t="str">
        <f>IF(COUNTIF($C$15:C19,C19)=1,ROUND(SUMIF($C:$C,C19,$V:$V),2), "")</f>
        <v/>
      </c>
    </row>
    <row r="20" spans="1:34" s="210" customFormat="1" ht="31.5" customHeight="1" x14ac:dyDescent="0.2">
      <c r="A20" s="196">
        <f t="shared" si="5"/>
        <v>6</v>
      </c>
      <c r="B20" s="196"/>
      <c r="C20" s="196" t="s">
        <v>89</v>
      </c>
      <c r="D20" s="197"/>
      <c r="E20" s="197" t="s">
        <v>11</v>
      </c>
      <c r="F20" s="198" t="s">
        <v>123</v>
      </c>
      <c r="G20" s="199" t="str">
        <f>IF(COUNTIFS($C$15:C20,C20,$H$15:H20,H20)=1,
SUMIFS($I$15:$I$43,$C$15:$C$43,C20,$H$15:$H$43,H20)&amp;H20&amp;" "&amp;C20,
"")</f>
        <v/>
      </c>
      <c r="H20" s="197" t="s">
        <v>16</v>
      </c>
      <c r="I20" s="200">
        <v>1</v>
      </c>
      <c r="J20" s="249"/>
      <c r="K20" s="201" cm="1">
        <f t="array" ref="K20">IF(E20="untrim",_xlfn.XLOOKUP(1,(TRIM('SIZE GUIDE'!$A$3:$A$2015)=TRIM(E20))*(TRIM('SIZE GUIDE'!$B$3:$B$2015)=TRIM(F20))*(TRIM('SIZE GUIDE'!$C$3:$C$2015)=TRIM(H20)),'SIZE GUIDE'!$D$3:$D$2015),"")</f>
        <v>81</v>
      </c>
      <c r="L20" s="265" cm="1">
        <f t="array" ref="L20">IF(E20="untrim",IFERROR(INDEX('SIZE GUIDE'!$E:$E,MATCH(1,('SIZE GUIDE'!$A:$A=$E20)*('SIZE GUIDE'!$B:$B=$F20)*('SIZE GUIDE'!$C:$C=$H20),0)),""),"")</f>
        <v>61</v>
      </c>
      <c r="M20" s="202">
        <v>36</v>
      </c>
      <c r="N20" s="203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203" t="str" cm="1">
        <f t="array" ref="O20">IF(E20="trim",IFERROR(INDEX('SIZE GUIDE'!$E:$E,MATCH(1,('SIZE GUIDE'!$A:$A=$E20)*('SIZE GUIDE'!$B:$B=$F20)*('SIZE GUIDE'!$C:$C=$H20),0)),""),"")</f>
        <v/>
      </c>
      <c r="P20" s="203"/>
      <c r="Q20" s="204">
        <f t="shared" si="1"/>
        <v>79.5</v>
      </c>
      <c r="R20" s="198">
        <f t="shared" si="2"/>
        <v>59.5</v>
      </c>
      <c r="S20" s="198">
        <f t="shared" si="3"/>
        <v>35.5</v>
      </c>
      <c r="T20" s="205">
        <f t="shared" si="4"/>
        <v>1166.1380208333333</v>
      </c>
      <c r="U20" s="206">
        <f>SUMIFS(CODE_PRICE!F:F,CODE_PRICE!B:B,C20,CODE_PRICE!A:A,$A$8)</f>
        <v>0.1895</v>
      </c>
      <c r="V20" s="207">
        <f t="shared" si="0"/>
        <v>220.98315494791666</v>
      </c>
      <c r="W20" s="208" t="str">
        <f>IF(COUNTIF($C$15:C20,C20)=1,C20 &amp; " - " &amp; TEXT(SUMIF($C:$C,C20,$T:$T),"0.00"),"")</f>
        <v/>
      </c>
      <c r="X20" s="209" t="str">
        <f>IF(COUNTIF($C$15:C20,C20)=1,ROUND(SUMIF($C:$C,C20,$V:$V),2), "")</f>
        <v/>
      </c>
    </row>
    <row r="21" spans="1:34" s="210" customFormat="1" ht="31.5" customHeight="1" x14ac:dyDescent="0.2">
      <c r="A21" s="196">
        <f t="shared" si="5"/>
        <v>7</v>
      </c>
      <c r="B21" s="196"/>
      <c r="C21" s="196" t="s">
        <v>89</v>
      </c>
      <c r="D21" s="197"/>
      <c r="E21" s="197" t="s">
        <v>11</v>
      </c>
      <c r="F21" s="198" t="s">
        <v>123</v>
      </c>
      <c r="G21" s="199" t="str">
        <f>IF(COUNTIFS($C$15:C21,C21,$H$15:H21,H21)=1,
SUMIFS($I$15:$I$43,$C$15:$C$43,C21,$H$15:$H$43,H21)&amp;H21&amp;" "&amp;C21,
"")</f>
        <v/>
      </c>
      <c r="H21" s="197" t="s">
        <v>16</v>
      </c>
      <c r="I21" s="200">
        <v>1</v>
      </c>
      <c r="J21" s="249"/>
      <c r="K21" s="201" cm="1">
        <f t="array" ref="K21">IF(E21="untrim",_xlfn.XLOOKUP(1,(TRIM('SIZE GUIDE'!$A$3:$A$2015)=TRIM(E21))*(TRIM('SIZE GUIDE'!$B$3:$B$2015)=TRIM(F21))*(TRIM('SIZE GUIDE'!$C$3:$C$2015)=TRIM(H21)),'SIZE GUIDE'!$D$3:$D$2015),"")</f>
        <v>81</v>
      </c>
      <c r="L21" s="265" cm="1">
        <f t="array" ref="L21">IF(E21="untrim",IFERROR(INDEX('SIZE GUIDE'!$E:$E,MATCH(1,('SIZE GUIDE'!$A:$A=$E21)*('SIZE GUIDE'!$B:$B=$F21)*('SIZE GUIDE'!$C:$C=$H21),0)),""),"")</f>
        <v>61</v>
      </c>
      <c r="M21" s="202">
        <v>43</v>
      </c>
      <c r="N21" s="203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203" t="str" cm="1">
        <f t="array" ref="O21">IF(E21="trim",IFERROR(INDEX('SIZE GUIDE'!$E:$E,MATCH(1,('SIZE GUIDE'!$A:$A=$E21)*('SIZE GUIDE'!$B:$B=$F21)*('SIZE GUIDE'!$C:$C=$H21),0)),""),"")</f>
        <v/>
      </c>
      <c r="P21" s="203"/>
      <c r="Q21" s="204">
        <f t="shared" si="1"/>
        <v>79.5</v>
      </c>
      <c r="R21" s="198">
        <f t="shared" si="2"/>
        <v>59.5</v>
      </c>
      <c r="S21" s="198">
        <f t="shared" si="3"/>
        <v>42.5</v>
      </c>
      <c r="T21" s="205">
        <f t="shared" si="4"/>
        <v>1396.0807291666667</v>
      </c>
      <c r="U21" s="206">
        <f>SUMIFS(CODE_PRICE!F:F,CODE_PRICE!B:B,C21,CODE_PRICE!A:A,$A$8)</f>
        <v>0.1895</v>
      </c>
      <c r="V21" s="207">
        <f t="shared" si="0"/>
        <v>264.55729817708334</v>
      </c>
      <c r="W21" s="208" t="str">
        <f>IF(COUNTIF($C$15:C21,C21)=1,C21 &amp; " - " &amp; TEXT(SUMIF($C:$C,C21,$T:$T),"0.00"),"")</f>
        <v/>
      </c>
      <c r="X21" s="209" t="str">
        <f>IF(COUNTIF($C$15:C21,C21)=1,ROUND(SUMIF($C:$C,C21,$V:$V),2), "")</f>
        <v/>
      </c>
    </row>
    <row r="22" spans="1:34" s="210" customFormat="1" ht="31.5" customHeight="1" x14ac:dyDescent="0.2">
      <c r="A22" s="196">
        <f t="shared" si="5"/>
        <v>8</v>
      </c>
      <c r="B22" s="196"/>
      <c r="C22" s="196" t="s">
        <v>89</v>
      </c>
      <c r="D22" s="197"/>
      <c r="E22" s="197" t="s">
        <v>11</v>
      </c>
      <c r="F22" s="198" t="s">
        <v>123</v>
      </c>
      <c r="G22" s="199" t="str">
        <f>IF(COUNTIFS($C$15:C22,C22,$H$15:H22,H22)=1,
SUMIFS($I$15:$I$43,$C$15:$C$43,C22,$H$15:$H$43,H22)&amp;H22&amp;" "&amp;C22,
"")</f>
        <v/>
      </c>
      <c r="H22" s="197" t="s">
        <v>16</v>
      </c>
      <c r="I22" s="200">
        <v>1</v>
      </c>
      <c r="J22" s="249"/>
      <c r="K22" s="201" cm="1">
        <f t="array" ref="K22">IF(E22="untrim",_xlfn.XLOOKUP(1,(TRIM('SIZE GUIDE'!$A$3:$A$2015)=TRIM(E22))*(TRIM('SIZE GUIDE'!$B$3:$B$2015)=TRIM(F22))*(TRIM('SIZE GUIDE'!$C$3:$C$2015)=TRIM(H22)),'SIZE GUIDE'!$D$3:$D$2015),"")</f>
        <v>81</v>
      </c>
      <c r="L22" s="265" cm="1">
        <f t="array" ref="L22">IF(E22="untrim",IFERROR(INDEX('SIZE GUIDE'!$E:$E,MATCH(1,('SIZE GUIDE'!$A:$A=$E22)*('SIZE GUIDE'!$B:$B=$F22)*('SIZE GUIDE'!$C:$C=$H22),0)),""),"")</f>
        <v>61</v>
      </c>
      <c r="M22" s="202">
        <v>38</v>
      </c>
      <c r="N22" s="203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203" t="str" cm="1">
        <f t="array" ref="O22">IF(E22="trim",IFERROR(INDEX('SIZE GUIDE'!$E:$E,MATCH(1,('SIZE GUIDE'!$A:$A=$E22)*('SIZE GUIDE'!$B:$B=$F22)*('SIZE GUIDE'!$C:$C=$H22),0)),""),"")</f>
        <v/>
      </c>
      <c r="P22" s="203"/>
      <c r="Q22" s="204">
        <f t="shared" si="1"/>
        <v>79.5</v>
      </c>
      <c r="R22" s="198">
        <f t="shared" si="2"/>
        <v>59.5</v>
      </c>
      <c r="S22" s="198">
        <f t="shared" si="3"/>
        <v>37.5</v>
      </c>
      <c r="T22" s="205">
        <f t="shared" si="4"/>
        <v>1231.8359375</v>
      </c>
      <c r="U22" s="206">
        <f>SUMIFS(CODE_PRICE!F:F,CODE_PRICE!B:B,C22,CODE_PRICE!A:A,$A$8)</f>
        <v>0.1895</v>
      </c>
      <c r="V22" s="207">
        <f t="shared" si="0"/>
        <v>233.43291015624999</v>
      </c>
      <c r="W22" s="208" t="str">
        <f>IF(COUNTIF($C$15:C22,C22)=1,C22 &amp; " - " &amp; TEXT(SUMIF($C:$C,C22,$T:$T),"0.00"),"")</f>
        <v/>
      </c>
      <c r="X22" s="209" t="str">
        <f>IF(COUNTIF($C$15:C22,C22)=1,ROUND(SUMIF($C:$C,C22,$V:$V),2), "")</f>
        <v/>
      </c>
      <c r="AD22" s="210" t="s">
        <v>204</v>
      </c>
    </row>
    <row r="23" spans="1:34" s="210" customFormat="1" ht="31.5" customHeight="1" x14ac:dyDescent="0.2">
      <c r="A23" s="196">
        <f t="shared" si="5"/>
        <v>9</v>
      </c>
      <c r="B23" s="196"/>
      <c r="C23" s="196" t="s">
        <v>89</v>
      </c>
      <c r="D23" s="197"/>
      <c r="E23" s="197" t="s">
        <v>11</v>
      </c>
      <c r="F23" s="198" t="s">
        <v>123</v>
      </c>
      <c r="G23" s="199" t="str">
        <f>IF(COUNTIFS($C$15:C23,C23,$H$15:H23,H23)=1,
SUMIFS($I$15:$I$43,$C$15:$C$43,C23,$H$15:$H$43,H23)&amp;H23&amp;" "&amp;C23,
"")</f>
        <v>6F CFN30100W</v>
      </c>
      <c r="H23" s="197" t="s">
        <v>14</v>
      </c>
      <c r="I23" s="200">
        <v>1</v>
      </c>
      <c r="J23" s="249"/>
      <c r="K23" s="201" cm="1">
        <f t="array" ref="K23">IF(E23="untrim",_xlfn.XLOOKUP(1,(TRIM('SIZE GUIDE'!$A$3:$A$2015)=TRIM(E23))*(TRIM('SIZE GUIDE'!$B$3:$B$2015)=TRIM(F23))*(TRIM('SIZE GUIDE'!$C$3:$C$2015)=TRIM(H23)),'SIZE GUIDE'!$D$3:$D$2015),"")</f>
        <v>76</v>
      </c>
      <c r="L23" s="265" cm="1">
        <f t="array" ref="L23">IF(E23="untrim",IFERROR(INDEX('SIZE GUIDE'!$E:$E,MATCH(1,('SIZE GUIDE'!$A:$A=$E23)*('SIZE GUIDE'!$B:$B=$F23)*('SIZE GUIDE'!$C:$C=$H23),0)),""),"")</f>
        <v>55</v>
      </c>
      <c r="M23" s="202">
        <v>40.5</v>
      </c>
      <c r="N23" s="203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203" t="str" cm="1">
        <f t="array" ref="O23">IF(E23="trim",IFERROR(INDEX('SIZE GUIDE'!$E:$E,MATCH(1,('SIZE GUIDE'!$A:$A=$E23)*('SIZE GUIDE'!$B:$B=$F23)*('SIZE GUIDE'!$C:$C=$H23),0)),""),"")</f>
        <v/>
      </c>
      <c r="P23" s="203"/>
      <c r="Q23" s="204">
        <f t="shared" si="1"/>
        <v>74.5</v>
      </c>
      <c r="R23" s="198">
        <f t="shared" si="2"/>
        <v>53.5</v>
      </c>
      <c r="S23" s="198">
        <f t="shared" si="3"/>
        <v>40</v>
      </c>
      <c r="T23" s="205">
        <f t="shared" si="4"/>
        <v>1107.1527777777778</v>
      </c>
      <c r="U23" s="206">
        <f>SUMIFS(CODE_PRICE!F:F,CODE_PRICE!B:B,C23,CODE_PRICE!A:A,$A$8)</f>
        <v>0.1895</v>
      </c>
      <c r="V23" s="207">
        <f t="shared" si="0"/>
        <v>209.80545138888891</v>
      </c>
      <c r="W23" s="208" t="str">
        <f>IF(COUNTIF($C$15:C23,C23)=1,C23 &amp; " - " &amp; TEXT(SUMIF($C:$C,C23,$T:$T),"0.00"),"")</f>
        <v/>
      </c>
      <c r="X23" s="209" t="str">
        <f>IF(COUNTIF($C$15:C23,C23)=1,ROUND(SUMIF($C:$C,C23,$V:$V),2), "")</f>
        <v/>
      </c>
    </row>
    <row r="24" spans="1:34" s="210" customFormat="1" ht="31.5" customHeight="1" x14ac:dyDescent="0.2">
      <c r="A24" s="196">
        <f t="shared" si="5"/>
        <v>10</v>
      </c>
      <c r="B24" s="196"/>
      <c r="C24" s="196" t="s">
        <v>89</v>
      </c>
      <c r="D24" s="197"/>
      <c r="E24" s="197" t="s">
        <v>11</v>
      </c>
      <c r="F24" s="198" t="s">
        <v>123</v>
      </c>
      <c r="G24" s="199" t="str">
        <f>IF(COUNTIFS($C$15:C24,C24,$H$15:H24,H24)=1,
SUMIFS($I$15:$I$43,$C$15:$C$43,C24,$H$15:$H$43,H24)&amp;H24&amp;" "&amp;C24,
"")</f>
        <v/>
      </c>
      <c r="H24" s="197" t="s">
        <v>14</v>
      </c>
      <c r="I24" s="200">
        <v>1</v>
      </c>
      <c r="J24" s="249"/>
      <c r="K24" s="201" cm="1">
        <f t="array" ref="K24">IF(E24="untrim",_xlfn.XLOOKUP(1,(TRIM('SIZE GUIDE'!$A$3:$A$2015)=TRIM(E24))*(TRIM('SIZE GUIDE'!$B$3:$B$2015)=TRIM(F24))*(TRIM('SIZE GUIDE'!$C$3:$C$2015)=TRIM(H24)),'SIZE GUIDE'!$D$3:$D$2015),"")</f>
        <v>76</v>
      </c>
      <c r="L24" s="265" cm="1">
        <f t="array" ref="L24">IF(E24="untrim",IFERROR(INDEX('SIZE GUIDE'!$E:$E,MATCH(1,('SIZE GUIDE'!$A:$A=$E24)*('SIZE GUIDE'!$B:$B=$F24)*('SIZE GUIDE'!$C:$C=$H24),0)),""),"")</f>
        <v>55</v>
      </c>
      <c r="M24" s="202">
        <v>41</v>
      </c>
      <c r="N24" s="203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203" t="str" cm="1">
        <f t="array" ref="O24">IF(E24="trim",IFERROR(INDEX('SIZE GUIDE'!$E:$E,MATCH(1,('SIZE GUIDE'!$A:$A=$E24)*('SIZE GUIDE'!$B:$B=$F24)*('SIZE GUIDE'!$C:$C=$H24),0)),""),"")</f>
        <v/>
      </c>
      <c r="P24" s="203"/>
      <c r="Q24" s="204">
        <f t="shared" si="1"/>
        <v>74.5</v>
      </c>
      <c r="R24" s="198">
        <f t="shared" si="2"/>
        <v>53.5</v>
      </c>
      <c r="S24" s="198">
        <f t="shared" si="3"/>
        <v>40.5</v>
      </c>
      <c r="T24" s="205">
        <f t="shared" si="4"/>
        <v>1120.9921875</v>
      </c>
      <c r="U24" s="206">
        <f>SUMIFS(CODE_PRICE!F:F,CODE_PRICE!B:B,C24,CODE_PRICE!A:A,$A$8)</f>
        <v>0.1895</v>
      </c>
      <c r="V24" s="207">
        <f t="shared" si="0"/>
        <v>212.42801953125002</v>
      </c>
      <c r="W24" s="208" t="str">
        <f>IF(COUNTIF($C$15:C24,C24)=1,C24 &amp; " - " &amp; TEXT(SUMIF($C:$C,C24,$T:$T),"0.00"),"")</f>
        <v/>
      </c>
      <c r="X24" s="209" t="str">
        <f>IF(COUNTIF($C$15:C24,C24)=1,ROUND(SUMIF($C:$C,C24,$V:$V),2), "")</f>
        <v/>
      </c>
    </row>
    <row r="25" spans="1:34" s="210" customFormat="1" ht="31.5" customHeight="1" x14ac:dyDescent="0.2">
      <c r="A25" s="196">
        <f t="shared" si="5"/>
        <v>11</v>
      </c>
      <c r="B25" s="196"/>
      <c r="C25" s="196" t="s">
        <v>89</v>
      </c>
      <c r="D25" s="197"/>
      <c r="E25" s="197" t="s">
        <v>11</v>
      </c>
      <c r="F25" s="198" t="s">
        <v>123</v>
      </c>
      <c r="G25" s="199" t="str">
        <f>IF(COUNTIFS($C$15:C25,C25,$H$15:H25,H25)=1,
SUMIFS($I$15:$I$43,$C$15:$C$43,C25,$H$15:$H$43,H25)&amp;H25&amp;" "&amp;C25,
"")</f>
        <v/>
      </c>
      <c r="H25" s="197" t="s">
        <v>14</v>
      </c>
      <c r="I25" s="200">
        <v>1</v>
      </c>
      <c r="J25" s="249"/>
      <c r="K25" s="201" cm="1">
        <f t="array" ref="K25">IF(E25="untrim",_xlfn.XLOOKUP(1,(TRIM('SIZE GUIDE'!$A$3:$A$2015)=TRIM(E25))*(TRIM('SIZE GUIDE'!$B$3:$B$2015)=TRIM(F25))*(TRIM('SIZE GUIDE'!$C$3:$C$2015)=TRIM(H25)),'SIZE GUIDE'!$D$3:$D$2015),"")</f>
        <v>76</v>
      </c>
      <c r="L25" s="265" cm="1">
        <f t="array" ref="L25">IF(E25="untrim",IFERROR(INDEX('SIZE GUIDE'!$E:$E,MATCH(1,('SIZE GUIDE'!$A:$A=$E25)*('SIZE GUIDE'!$B:$B=$F25)*('SIZE GUIDE'!$C:$C=$H25),0)),""),"")</f>
        <v>55</v>
      </c>
      <c r="M25" s="202">
        <v>40.5</v>
      </c>
      <c r="N25" s="203"/>
      <c r="O25" s="203" t="str" cm="1">
        <f t="array" ref="O25">IF(E25="trim",IFERROR(INDEX('SIZE GUIDE'!$E:$E,MATCH(1,('SIZE GUIDE'!$A:$A=$E25)*('SIZE GUIDE'!$B:$B=$F25)*('SIZE GUIDE'!$C:$C=$H25),0)),""),"")</f>
        <v/>
      </c>
      <c r="P25" s="203"/>
      <c r="Q25" s="204">
        <f t="shared" si="1"/>
        <v>74.5</v>
      </c>
      <c r="R25" s="198">
        <f t="shared" si="2"/>
        <v>53.5</v>
      </c>
      <c r="S25" s="198">
        <f t="shared" si="3"/>
        <v>40</v>
      </c>
      <c r="T25" s="205">
        <f t="shared" si="4"/>
        <v>1107.1527777777778</v>
      </c>
      <c r="U25" s="206">
        <f>SUMIFS(CODE_PRICE!F:F,CODE_PRICE!B:B,C25,CODE_PRICE!A:A,$A$8)</f>
        <v>0.1895</v>
      </c>
      <c r="V25" s="207">
        <f t="shared" si="0"/>
        <v>209.80545138888891</v>
      </c>
      <c r="W25" s="208" t="str">
        <f>IF(COUNTIF($C$15:C25,C25)=1,C25 &amp; " - " &amp; TEXT(SUMIF($C:$C,C25,$T:$T),"0.00"),"")</f>
        <v/>
      </c>
      <c r="X25" s="209" t="str">
        <f>IF(COUNTIF($C$15:C25,C25)=1,ROUND(SUMIF($C:$C,C25,$V:$V),2), "")</f>
        <v/>
      </c>
    </row>
    <row r="26" spans="1:34" s="210" customFormat="1" ht="31.5" customHeight="1" x14ac:dyDescent="0.2">
      <c r="A26" s="196">
        <f t="shared" si="5"/>
        <v>12</v>
      </c>
      <c r="B26" s="196"/>
      <c r="C26" s="196" t="s">
        <v>89</v>
      </c>
      <c r="D26" s="197"/>
      <c r="E26" s="197" t="s">
        <v>11</v>
      </c>
      <c r="F26" s="198" t="s">
        <v>123</v>
      </c>
      <c r="G26" s="199" t="str">
        <f>IF(COUNTIFS($C$15:C26,C26,$H$15:H26,H26)=1,
SUMIFS($I$15:$I$43,$C$15:$C$43,C26,$H$15:$H$43,H26)&amp;H26&amp;" "&amp;C26,
"")</f>
        <v/>
      </c>
      <c r="H26" s="197" t="s">
        <v>14</v>
      </c>
      <c r="I26" s="200">
        <v>1</v>
      </c>
      <c r="J26" s="249"/>
      <c r="K26" s="201" cm="1">
        <f t="array" ref="K26">IF(E26="untrim",_xlfn.XLOOKUP(1,(TRIM('SIZE GUIDE'!$A$3:$A$2015)=TRIM(E26))*(TRIM('SIZE GUIDE'!$B$3:$B$2015)=TRIM(F26))*(TRIM('SIZE GUIDE'!$C$3:$C$2015)=TRIM(H26)),'SIZE GUIDE'!$D$3:$D$2015),"")</f>
        <v>76</v>
      </c>
      <c r="L26" s="265" cm="1">
        <f t="array" ref="L26">IF(E26="untrim",IFERROR(INDEX('SIZE GUIDE'!$E:$E,MATCH(1,('SIZE GUIDE'!$A:$A=$E26)*('SIZE GUIDE'!$B:$B=$F26)*('SIZE GUIDE'!$C:$C=$H26),0)),""),"")</f>
        <v>55</v>
      </c>
      <c r="M26" s="202">
        <v>40.5</v>
      </c>
      <c r="N26" s="203" t="str" cm="1">
        <f t="array" ref="N26">IF(E26="trim",_xlfn.XLOOKUP(1,(TRIM('SIZE GUIDE'!$A$3:$A$2015)=TRIM(E26))*(TRIM('SIZE GUIDE'!$B$3:$B$2015)=TRIM(F26))*(TRIM('SIZE GUIDE'!$C$3:$C$2015)=TRIM(H26)),'SIZE GUIDE'!$D$3:$D$2015),"")</f>
        <v/>
      </c>
      <c r="O26" s="203" t="str" cm="1">
        <f t="array" ref="O26">IF(E26="trim",IFERROR(INDEX('SIZE GUIDE'!$E:$E,MATCH(1,('SIZE GUIDE'!$A:$A=$E26)*('SIZE GUIDE'!$B:$B=$F26)*('SIZE GUIDE'!$C:$C=$H26),0)),""),"")</f>
        <v/>
      </c>
      <c r="P26" s="203"/>
      <c r="Q26" s="204">
        <f t="shared" si="1"/>
        <v>74.5</v>
      </c>
      <c r="R26" s="198">
        <f t="shared" si="2"/>
        <v>53.5</v>
      </c>
      <c r="S26" s="198">
        <f t="shared" si="3"/>
        <v>40</v>
      </c>
      <c r="T26" s="205">
        <f t="shared" si="4"/>
        <v>1107.1527777777778</v>
      </c>
      <c r="U26" s="206">
        <f>SUMIFS(CODE_PRICE!F:F,CODE_PRICE!B:B,C26,CODE_PRICE!A:A,$A$8)</f>
        <v>0.1895</v>
      </c>
      <c r="V26" s="207">
        <f t="shared" si="0"/>
        <v>209.80545138888891</v>
      </c>
      <c r="W26" s="208" t="str">
        <f>IF(COUNTIF($C$15:C26,C26)=1,C26 &amp; " - " &amp; TEXT(SUMIF($C:$C,C26,$T:$T),"0.00"),"")</f>
        <v/>
      </c>
      <c r="X26" s="209" t="str">
        <f>IF(COUNTIF($C$15:C26,C26)=1,ROUND(SUMIF($C:$C,C26,$V:$V),2), "")</f>
        <v/>
      </c>
    </row>
    <row r="27" spans="1:34" s="210" customFormat="1" ht="31.5" customHeight="1" x14ac:dyDescent="0.2">
      <c r="A27" s="196">
        <f t="shared" si="5"/>
        <v>13</v>
      </c>
      <c r="B27" s="196"/>
      <c r="C27" s="196" t="s">
        <v>89</v>
      </c>
      <c r="D27" s="197"/>
      <c r="E27" s="197" t="s">
        <v>11</v>
      </c>
      <c r="F27" s="198" t="s">
        <v>123</v>
      </c>
      <c r="G27" s="199" t="str">
        <f>IF(COUNTIFS($C$15:C27,C27,$H$15:H27,H27)=1,
SUMIFS($I$15:$I$43,$C$15:$C$43,C27,$H$15:$H$43,H27)&amp;H27&amp;" "&amp;C27,
"")</f>
        <v/>
      </c>
      <c r="H27" s="197" t="s">
        <v>14</v>
      </c>
      <c r="I27" s="200">
        <v>1</v>
      </c>
      <c r="J27" s="249"/>
      <c r="K27" s="201" cm="1">
        <f t="array" ref="K27">IF(E27="untrim",_xlfn.XLOOKUP(1,(TRIM('SIZE GUIDE'!$A$3:$A$2015)=TRIM(E27))*(TRIM('SIZE GUIDE'!$B$3:$B$2015)=TRIM(F27))*(TRIM('SIZE GUIDE'!$C$3:$C$2015)=TRIM(H27)),'SIZE GUIDE'!$D$3:$D$2015),"")</f>
        <v>76</v>
      </c>
      <c r="L27" s="265" cm="1">
        <f t="array" ref="L27">IF(E27="untrim",IFERROR(INDEX('SIZE GUIDE'!$E:$E,MATCH(1,('SIZE GUIDE'!$A:$A=$E27)*('SIZE GUIDE'!$B:$B=$F27)*('SIZE GUIDE'!$C:$C=$H27),0)),""),"")</f>
        <v>55</v>
      </c>
      <c r="M27" s="202">
        <v>42</v>
      </c>
      <c r="N27" s="203" t="str" cm="1">
        <f t="array" ref="N27">IF(E27="trim",_xlfn.XLOOKUP(1,(TRIM('SIZE GUIDE'!$A$3:$A$2015)=TRIM(E27))*(TRIM('SIZE GUIDE'!$B$3:$B$2015)=TRIM(F27))*(TRIM('SIZE GUIDE'!$C$3:$C$2015)=TRIM(H27)),'SIZE GUIDE'!$D$3:$D$2015),"")</f>
        <v/>
      </c>
      <c r="O27" s="203" t="str" cm="1">
        <f t="array" ref="O27">IF(E27="trim",IFERROR(INDEX('SIZE GUIDE'!$E:$E,MATCH(1,('SIZE GUIDE'!$A:$A=$E27)*('SIZE GUIDE'!$B:$B=$F27)*('SIZE GUIDE'!$C:$C=$H27),0)),""),"")</f>
        <v/>
      </c>
      <c r="P27" s="203"/>
      <c r="Q27" s="204">
        <f t="shared" si="1"/>
        <v>74.5</v>
      </c>
      <c r="R27" s="198">
        <f t="shared" si="2"/>
        <v>53.5</v>
      </c>
      <c r="S27" s="198">
        <f t="shared" si="3"/>
        <v>41.5</v>
      </c>
      <c r="T27" s="205">
        <f t="shared" si="4"/>
        <v>1148.6710069444443</v>
      </c>
      <c r="U27" s="206">
        <f>SUMIFS(CODE_PRICE!F:F,CODE_PRICE!B:B,C27,CODE_PRICE!A:A,$A$8)</f>
        <v>0.1895</v>
      </c>
      <c r="V27" s="207">
        <f t="shared" si="0"/>
        <v>217.67315581597219</v>
      </c>
      <c r="W27" s="208" t="str">
        <f>IF(COUNTIF($C$15:C27,C27)=1,C27 &amp; " - " &amp; TEXT(SUMIF($C:$C,C27,$T:$T),"0.00"),"")</f>
        <v/>
      </c>
      <c r="X27" s="209" t="str">
        <f>IF(COUNTIF($C$15:C27,C27)=1,ROUND(SUMIF($C:$C,C27,$V:$V),2), "")</f>
        <v/>
      </c>
    </row>
    <row r="28" spans="1:34" s="210" customFormat="1" ht="31.5" customHeight="1" x14ac:dyDescent="0.2">
      <c r="A28" s="196">
        <f t="shared" si="5"/>
        <v>14</v>
      </c>
      <c r="B28" s="196"/>
      <c r="C28" s="196" t="s">
        <v>89</v>
      </c>
      <c r="D28" s="197"/>
      <c r="E28" s="197" t="s">
        <v>11</v>
      </c>
      <c r="F28" s="198" t="s">
        <v>123</v>
      </c>
      <c r="G28" s="199" t="str">
        <f>IF(COUNTIFS($C$15:C28,C28,$H$15:H28,H28)=1,
SUMIFS($I$15:$I$43,$C$15:$C$43,C28,$H$15:$H$43,H28)&amp;H28&amp;" "&amp;C28,
"")</f>
        <v/>
      </c>
      <c r="H28" s="197" t="s">
        <v>14</v>
      </c>
      <c r="I28" s="200">
        <v>1</v>
      </c>
      <c r="J28" s="249"/>
      <c r="K28" s="201" cm="1">
        <f t="array" ref="K28">IF(E28="untrim",_xlfn.XLOOKUP(1,(TRIM('SIZE GUIDE'!$A$3:$A$2015)=TRIM(E28))*(TRIM('SIZE GUIDE'!$B$3:$B$2015)=TRIM(F28))*(TRIM('SIZE GUIDE'!$C$3:$C$2015)=TRIM(H28)),'SIZE GUIDE'!$D$3:$D$2015),"")</f>
        <v>76</v>
      </c>
      <c r="L28" s="265" cm="1">
        <f t="array" ref="L28">IF(E28="untrim",IFERROR(INDEX('SIZE GUIDE'!$E:$E,MATCH(1,('SIZE GUIDE'!$A:$A=$E28)*('SIZE GUIDE'!$B:$B=$F28)*('SIZE GUIDE'!$C:$C=$H28),0)),""),"")</f>
        <v>55</v>
      </c>
      <c r="M28" s="202">
        <v>42</v>
      </c>
      <c r="N28" s="203" t="str" cm="1">
        <f t="array" ref="N28">IF(E28="trim",_xlfn.XLOOKUP(1,(TRIM('SIZE GUIDE'!$A$3:$A$2015)=TRIM(E28))*(TRIM('SIZE GUIDE'!$B$3:$B$2015)=TRIM(F28))*(TRIM('SIZE GUIDE'!$C$3:$C$2015)=TRIM(H28)),'SIZE GUIDE'!$D$3:$D$2015),"")</f>
        <v/>
      </c>
      <c r="O28" s="203" t="str" cm="1">
        <f t="array" ref="O28">IF(E28="trim",IFERROR(INDEX('SIZE GUIDE'!$E:$E,MATCH(1,('SIZE GUIDE'!$A:$A=$E28)*('SIZE GUIDE'!$B:$B=$F28)*('SIZE GUIDE'!$C:$C=$H28),0)),""),"")</f>
        <v/>
      </c>
      <c r="P28" s="203"/>
      <c r="Q28" s="204">
        <f t="shared" si="1"/>
        <v>74.5</v>
      </c>
      <c r="R28" s="198">
        <f t="shared" si="2"/>
        <v>53.5</v>
      </c>
      <c r="S28" s="198">
        <f t="shared" si="3"/>
        <v>41.5</v>
      </c>
      <c r="T28" s="205">
        <f t="shared" si="4"/>
        <v>1148.6710069444443</v>
      </c>
      <c r="U28" s="206">
        <f>SUMIFS(CODE_PRICE!F:F,CODE_PRICE!B:B,C28,CODE_PRICE!A:A,$A$8)</f>
        <v>0.1895</v>
      </c>
      <c r="V28" s="207">
        <f t="shared" si="0"/>
        <v>217.67315581597219</v>
      </c>
      <c r="W28" s="208" t="str">
        <f>IF(COUNTIF($C$15:C28,C28)=1,C28 &amp; " - " &amp; TEXT(SUMIF($C:$C,C28,$T:$T),"0.00"),"")</f>
        <v/>
      </c>
      <c r="X28" s="209" t="str">
        <f>IF(COUNTIF($C$15:C28,C28)=1,ROUND(SUMIF($C:$C,C28,$V:$V),2), "")</f>
        <v/>
      </c>
    </row>
    <row r="29" spans="1:34" s="210" customFormat="1" ht="31.5" customHeight="1" x14ac:dyDescent="0.2">
      <c r="A29" s="196">
        <f t="shared" si="5"/>
        <v>15</v>
      </c>
      <c r="B29" s="196"/>
      <c r="C29" s="196" t="s">
        <v>89</v>
      </c>
      <c r="D29" s="197"/>
      <c r="E29" s="197" t="s">
        <v>11</v>
      </c>
      <c r="F29" s="198" t="s">
        <v>123</v>
      </c>
      <c r="G29" s="199" t="str">
        <f>IF(COUNTIFS($C$15:C29,C29,$H$15:H29,H29)=1,
SUMIFS($I$15:$I$43,$C$15:$C$43,C29,$H$15:$H$43,H29)&amp;H29&amp;" "&amp;C29,
"")</f>
        <v>6T CFN30100W</v>
      </c>
      <c r="H29" s="197" t="s">
        <v>12</v>
      </c>
      <c r="I29" s="200">
        <v>1</v>
      </c>
      <c r="J29" s="249"/>
      <c r="K29" s="201" cm="1">
        <f t="array" ref="K29">IF(E29="untrim",_xlfn.XLOOKUP(1,(TRIM('SIZE GUIDE'!$A$3:$A$2015)=TRIM(E29))*(TRIM('SIZE GUIDE'!$B$3:$B$2015)=TRIM(F29))*(TRIM('SIZE GUIDE'!$C$3:$C$2015)=TRIM(H29)),'SIZE GUIDE'!$D$3:$D$2015),"")</f>
        <v>76</v>
      </c>
      <c r="L29" s="265" cm="1">
        <f t="array" ref="L29">IF(E29="untrim",IFERROR(INDEX('SIZE GUIDE'!$E:$E,MATCH(1,('SIZE GUIDE'!$A:$A=$E29)*('SIZE GUIDE'!$B:$B=$F29)*('SIZE GUIDE'!$C:$C=$H29),0)),""),"")</f>
        <v>39</v>
      </c>
      <c r="M29" s="202">
        <v>42.5</v>
      </c>
      <c r="N29" s="203" t="str" cm="1">
        <f t="array" ref="N29">IF(E29="trim",_xlfn.XLOOKUP(1,(TRIM('SIZE GUIDE'!$A$3:$A$2015)=TRIM(E29))*(TRIM('SIZE GUIDE'!$B$3:$B$2015)=TRIM(F29))*(TRIM('SIZE GUIDE'!$C$3:$C$2015)=TRIM(H29)),'SIZE GUIDE'!$D$3:$D$2015),"")</f>
        <v/>
      </c>
      <c r="O29" s="203" t="str" cm="1">
        <f t="array" ref="O29">IF(E29="trim",IFERROR(INDEX('SIZE GUIDE'!$E:$E,MATCH(1,('SIZE GUIDE'!$A:$A=$E29)*('SIZE GUIDE'!$B:$B=$F29)*('SIZE GUIDE'!$C:$C=$H29),0)),""),"")</f>
        <v/>
      </c>
      <c r="P29" s="203"/>
      <c r="Q29" s="204">
        <f t="shared" si="1"/>
        <v>74.5</v>
      </c>
      <c r="R29" s="198">
        <f t="shared" si="2"/>
        <v>37.5</v>
      </c>
      <c r="S29" s="198">
        <f t="shared" si="3"/>
        <v>42</v>
      </c>
      <c r="T29" s="205">
        <f t="shared" si="4"/>
        <v>814.84375</v>
      </c>
      <c r="U29" s="206">
        <f>SUMIFS(CODE_PRICE!F:F,CODE_PRICE!B:B,C29,CODE_PRICE!A:A,$A$8)</f>
        <v>0.1895</v>
      </c>
      <c r="V29" s="207">
        <f t="shared" si="0"/>
        <v>154.41289062499999</v>
      </c>
      <c r="W29" s="208" t="str">
        <f>IF(COUNTIF($C$15:C29,C29)=1,C29 &amp; " - " &amp; TEXT(SUMIF($C:$C,C29,$T:$T),"0.00"),"")</f>
        <v/>
      </c>
      <c r="X29" s="209" t="str">
        <f>IF(COUNTIF($C$15:C29,C29)=1,ROUND(SUMIF($C:$C,C29,$V:$V),2), "")</f>
        <v/>
      </c>
    </row>
    <row r="30" spans="1:34" s="210" customFormat="1" ht="31.5" customHeight="1" x14ac:dyDescent="0.2">
      <c r="A30" s="196">
        <f t="shared" si="5"/>
        <v>16</v>
      </c>
      <c r="B30" s="196"/>
      <c r="C30" s="196" t="s">
        <v>89</v>
      </c>
      <c r="D30" s="197"/>
      <c r="E30" s="197" t="s">
        <v>11</v>
      </c>
      <c r="F30" s="198" t="s">
        <v>123</v>
      </c>
      <c r="G30" s="199" t="str">
        <f>IF(COUNTIFS($C$15:C30,C30,$H$15:H30,H30)=1,
SUMIFS($I$15:$I$43,$C$15:$C$43,C30,$H$15:$H$43,H30)&amp;H30&amp;" "&amp;C30,
"")</f>
        <v/>
      </c>
      <c r="H30" s="197" t="s">
        <v>12</v>
      </c>
      <c r="I30" s="200">
        <v>1</v>
      </c>
      <c r="J30" s="285"/>
      <c r="K30" s="201" cm="1">
        <f t="array" ref="K30">IF(E30="untrim",_xlfn.XLOOKUP(1,(TRIM('SIZE GUIDE'!$A$3:$A$2015)=TRIM(E30))*(TRIM('SIZE GUIDE'!$B$3:$B$2015)=TRIM(F30))*(TRIM('SIZE GUIDE'!$C$3:$C$2015)=TRIM(H30)),'SIZE GUIDE'!$D$3:$D$2015),"")</f>
        <v>76</v>
      </c>
      <c r="L30" s="265" cm="1">
        <f t="array" ref="L30">IF(E30="untrim",IFERROR(INDEX('SIZE GUIDE'!$E:$E,MATCH(1,('SIZE GUIDE'!$A:$A=$E30)*('SIZE GUIDE'!$B:$B=$F30)*('SIZE GUIDE'!$C:$C=$H30),0)),""),"")</f>
        <v>39</v>
      </c>
      <c r="M30" s="202">
        <v>42</v>
      </c>
      <c r="N30" s="203" t="str" cm="1">
        <f t="array" ref="N30">IF(E30="trim",_xlfn.XLOOKUP(1,(TRIM('SIZE GUIDE'!$A$3:$A$2015)=TRIM(E30))*(TRIM('SIZE GUIDE'!$B$3:$B$2015)=TRIM(F30))*(TRIM('SIZE GUIDE'!$C$3:$C$2015)=TRIM(H30)),'SIZE GUIDE'!$D$3:$D$2015),"")</f>
        <v/>
      </c>
      <c r="O30" s="203" t="str" cm="1">
        <f t="array" ref="O30">IF(E30="trim",IFERROR(INDEX('SIZE GUIDE'!$E:$E,MATCH(1,('SIZE GUIDE'!$A:$A=$E30)*('SIZE GUIDE'!$B:$B=$F30)*('SIZE GUIDE'!$C:$C=$H30),0)),""),"")</f>
        <v/>
      </c>
      <c r="P30" s="203"/>
      <c r="Q30" s="204">
        <f t="shared" si="1"/>
        <v>74.5</v>
      </c>
      <c r="R30" s="198">
        <f t="shared" si="2"/>
        <v>37.5</v>
      </c>
      <c r="S30" s="198">
        <f t="shared" si="3"/>
        <v>41.5</v>
      </c>
      <c r="T30" s="205">
        <f t="shared" si="4"/>
        <v>805.14322916666663</v>
      </c>
      <c r="U30" s="206">
        <f>SUMIFS(CODE_PRICE!F:F,CODE_PRICE!B:B,C30,CODE_PRICE!A:A,$A$8)</f>
        <v>0.1895</v>
      </c>
      <c r="V30" s="207">
        <f t="shared" si="0"/>
        <v>152.57464192708332</v>
      </c>
      <c r="W30" s="208" t="str">
        <f>IF(COUNTIF($C$15:C30,C30)=1,C30 &amp; " - " &amp; TEXT(SUMIF($C:$C,C30,$T:$T),"0.00"),"")</f>
        <v/>
      </c>
      <c r="X30" s="209" t="str">
        <f>IF(COUNTIF($C$15:C30,C30)=1,ROUND(SUMIF($C:$C,C30,$V:$V),2), "")</f>
        <v/>
      </c>
    </row>
    <row r="31" spans="1:34" s="210" customFormat="1" ht="31.5" customHeight="1" x14ac:dyDescent="0.2">
      <c r="A31" s="196">
        <f t="shared" si="5"/>
        <v>17</v>
      </c>
      <c r="B31" s="196"/>
      <c r="C31" s="196" t="s">
        <v>89</v>
      </c>
      <c r="D31" s="197"/>
      <c r="E31" s="197" t="s">
        <v>11</v>
      </c>
      <c r="F31" s="198" t="s">
        <v>123</v>
      </c>
      <c r="G31" s="199" t="str">
        <f>IF(COUNTIFS($C$15:C31,C31,$H$15:H31,H31)=1,
SUMIFS($I$15:$I$43,$C$15:$C$43,C31,$H$15:$H$43,H31)&amp;H31&amp;" "&amp;C31,
"")</f>
        <v/>
      </c>
      <c r="H31" s="197" t="s">
        <v>12</v>
      </c>
      <c r="I31" s="200">
        <v>1</v>
      </c>
      <c r="J31" s="249"/>
      <c r="K31" s="201" cm="1">
        <f t="array" ref="K31">IF(E31="untrim",_xlfn.XLOOKUP(1,(TRIM('SIZE GUIDE'!$A$3:$A$2015)=TRIM(E31))*(TRIM('SIZE GUIDE'!$B$3:$B$2015)=TRIM(F31))*(TRIM('SIZE GUIDE'!$C$3:$C$2015)=TRIM(H31)),'SIZE GUIDE'!$D$3:$D$2015),"")</f>
        <v>76</v>
      </c>
      <c r="L31" s="265" cm="1">
        <f t="array" ref="L31">IF(E31="untrim",IFERROR(INDEX('SIZE GUIDE'!$E:$E,MATCH(1,('SIZE GUIDE'!$A:$A=$E31)*('SIZE GUIDE'!$B:$B=$F31)*('SIZE GUIDE'!$C:$C=$H31),0)),""),"")</f>
        <v>39</v>
      </c>
      <c r="M31" s="202">
        <v>43</v>
      </c>
      <c r="N31" s="203" t="str" cm="1">
        <f t="array" ref="N31">IF(E31="trim",_xlfn.XLOOKUP(1,(TRIM('SIZE GUIDE'!$A$3:$A$2015)=TRIM(E31))*(TRIM('SIZE GUIDE'!$B$3:$B$2015)=TRIM(F31))*(TRIM('SIZE GUIDE'!$C$3:$C$2015)=TRIM(H31)),'SIZE GUIDE'!$D$3:$D$2015),"")</f>
        <v/>
      </c>
      <c r="O31" s="203" t="str" cm="1">
        <f t="array" ref="O31">IF(E31="trim",IFERROR(INDEX('SIZE GUIDE'!$E:$E,MATCH(1,('SIZE GUIDE'!$A:$A=$E31)*('SIZE GUIDE'!$B:$B=$F31)*('SIZE GUIDE'!$C:$C=$H31),0)),""),"")</f>
        <v/>
      </c>
      <c r="P31" s="203"/>
      <c r="Q31" s="204">
        <f t="shared" si="1"/>
        <v>74.5</v>
      </c>
      <c r="R31" s="198">
        <f t="shared" si="2"/>
        <v>37.5</v>
      </c>
      <c r="S31" s="198">
        <f t="shared" si="3"/>
        <v>42.5</v>
      </c>
      <c r="T31" s="205">
        <f t="shared" si="4"/>
        <v>824.54427083333337</v>
      </c>
      <c r="U31" s="206">
        <f>SUMIFS(CODE_PRICE!F:F,CODE_PRICE!B:B,C31,CODE_PRICE!A:A,$A$8)</f>
        <v>0.1895</v>
      </c>
      <c r="V31" s="207">
        <f t="shared" si="0"/>
        <v>156.25113932291669</v>
      </c>
      <c r="W31" s="208" t="str">
        <f>IF(COUNTIF($C$15:C31,C31)=1,C31 &amp; " - " &amp; TEXT(SUMIF($C:$C,C31,$T:$T),"0.00"),"")</f>
        <v/>
      </c>
      <c r="X31" s="209" t="str">
        <f>IF(COUNTIF($C$15:C31,C31)=1,ROUND(SUMIF($C:$C,C31,$V:$V),2), "")</f>
        <v/>
      </c>
    </row>
    <row r="32" spans="1:34" s="210" customFormat="1" ht="31.5" customHeight="1" x14ac:dyDescent="0.2">
      <c r="A32" s="196">
        <f t="shared" si="5"/>
        <v>18</v>
      </c>
      <c r="B32" s="196"/>
      <c r="C32" s="196" t="s">
        <v>89</v>
      </c>
      <c r="D32" s="197"/>
      <c r="E32" s="197" t="s">
        <v>11</v>
      </c>
      <c r="F32" s="198" t="s">
        <v>123</v>
      </c>
      <c r="G32" s="199" t="str">
        <f>IF(COUNTIFS($C$15:C32,C32,$H$15:H32,H32)=1,
SUMIFS($I$15:$I$43,$C$15:$C$43,C32,$H$15:$H$43,H32)&amp;H32&amp;" "&amp;C32,
"")</f>
        <v/>
      </c>
      <c r="H32" s="197" t="s">
        <v>12</v>
      </c>
      <c r="I32" s="200">
        <v>1</v>
      </c>
      <c r="J32" s="249"/>
      <c r="K32" s="201" cm="1">
        <f t="array" ref="K32">IF(E32="untrim",_xlfn.XLOOKUP(1,(TRIM('SIZE GUIDE'!$A$3:$A$2015)=TRIM(E32))*(TRIM('SIZE GUIDE'!$B$3:$B$2015)=TRIM(F32))*(TRIM('SIZE GUIDE'!$C$3:$C$2015)=TRIM(H32)),'SIZE GUIDE'!$D$3:$D$2015),"")</f>
        <v>76</v>
      </c>
      <c r="L32" s="265" cm="1">
        <f t="array" ref="L32">IF(E32="untrim",IFERROR(INDEX('SIZE GUIDE'!$E:$E,MATCH(1,('SIZE GUIDE'!$A:$A=$E32)*('SIZE GUIDE'!$B:$B=$F32)*('SIZE GUIDE'!$C:$C=$H32),0)),""),"")</f>
        <v>39</v>
      </c>
      <c r="M32" s="202">
        <v>43</v>
      </c>
      <c r="N32" s="203" t="str" cm="1">
        <f t="array" ref="N32">IF(E32="trim",_xlfn.XLOOKUP(1,(TRIM('SIZE GUIDE'!$A$3:$A$2015)=TRIM(E32))*(TRIM('SIZE GUIDE'!$B$3:$B$2015)=TRIM(F32))*(TRIM('SIZE GUIDE'!$C$3:$C$2015)=TRIM(H32)),'SIZE GUIDE'!$D$3:$D$2015),"")</f>
        <v/>
      </c>
      <c r="O32" s="203" t="str" cm="1">
        <f t="array" ref="O32">IF(E32="trim",IFERROR(INDEX('SIZE GUIDE'!$E:$E,MATCH(1,('SIZE GUIDE'!$A:$A=$E32)*('SIZE GUIDE'!$B:$B=$F32)*('SIZE GUIDE'!$C:$C=$H32),0)),""),"")</f>
        <v/>
      </c>
      <c r="P32" s="203"/>
      <c r="Q32" s="204">
        <f t="shared" si="1"/>
        <v>74.5</v>
      </c>
      <c r="R32" s="198">
        <f t="shared" si="2"/>
        <v>37.5</v>
      </c>
      <c r="S32" s="198">
        <f t="shared" si="3"/>
        <v>42.5</v>
      </c>
      <c r="T32" s="205">
        <f t="shared" si="4"/>
        <v>824.54427083333337</v>
      </c>
      <c r="U32" s="206">
        <f>SUMIFS(CODE_PRICE!F:F,CODE_PRICE!B:B,C32,CODE_PRICE!A:A,$A$8)</f>
        <v>0.1895</v>
      </c>
      <c r="V32" s="207">
        <f t="shared" si="0"/>
        <v>156.25113932291669</v>
      </c>
      <c r="W32" s="208" t="str">
        <f>IF(COUNTIF($C$15:C32,C32)=1,C32 &amp; " - " &amp; TEXT(SUMIF($C:$C,C32,$T:$T),"0.00"),"")</f>
        <v/>
      </c>
      <c r="X32" s="209" t="str">
        <f>IF(COUNTIF($C$15:C32,C32)=1,ROUND(SUMIF($C:$C,C32,$V:$V),2), "")</f>
        <v/>
      </c>
    </row>
    <row r="33" spans="1:24" s="210" customFormat="1" ht="31.5" customHeight="1" x14ac:dyDescent="0.2">
      <c r="A33" s="196">
        <f t="shared" si="5"/>
        <v>19</v>
      </c>
      <c r="B33" s="196"/>
      <c r="C33" s="196" t="s">
        <v>89</v>
      </c>
      <c r="D33" s="197"/>
      <c r="E33" s="197" t="s">
        <v>11</v>
      </c>
      <c r="F33" s="198" t="s">
        <v>123</v>
      </c>
      <c r="G33" s="199" t="str">
        <f>IF(COUNTIFS($C$15:C33,C33,$H$15:H33,H33)=1,
SUMIFS($I$15:$I$43,$C$15:$C$43,C33,$H$15:$H$43,H33)&amp;H33&amp;" "&amp;C33,
"")</f>
        <v/>
      </c>
      <c r="H33" s="197" t="s">
        <v>12</v>
      </c>
      <c r="I33" s="200">
        <v>1</v>
      </c>
      <c r="J33" s="249"/>
      <c r="K33" s="201" cm="1">
        <f t="array" ref="K33">IF(E33="untrim",_xlfn.XLOOKUP(1,(TRIM('SIZE GUIDE'!$A$3:$A$2015)=TRIM(E33))*(TRIM('SIZE GUIDE'!$B$3:$B$2015)=TRIM(F33))*(TRIM('SIZE GUIDE'!$C$3:$C$2015)=TRIM(H33)),'SIZE GUIDE'!$D$3:$D$2015),"")</f>
        <v>76</v>
      </c>
      <c r="L33" s="265" cm="1">
        <f t="array" ref="L33">IF(E33="untrim",IFERROR(INDEX('SIZE GUIDE'!$E:$E,MATCH(1,('SIZE GUIDE'!$A:$A=$E33)*('SIZE GUIDE'!$B:$B=$F33)*('SIZE GUIDE'!$C:$C=$H33),0)),""),"")</f>
        <v>39</v>
      </c>
      <c r="M33" s="202">
        <v>42</v>
      </c>
      <c r="N33" s="203" t="str" cm="1">
        <f t="array" ref="N33">IF(E33="trim",_xlfn.XLOOKUP(1,(TRIM('SIZE GUIDE'!$A$3:$A$2015)=TRIM(E33))*(TRIM('SIZE GUIDE'!$B$3:$B$2015)=TRIM(F33))*(TRIM('SIZE GUIDE'!$C$3:$C$2015)=TRIM(H33)),'SIZE GUIDE'!$D$3:$D$2015),"")</f>
        <v/>
      </c>
      <c r="O33" s="203" t="str" cm="1">
        <f t="array" ref="O33">IF(E33="trim",IFERROR(INDEX('SIZE GUIDE'!$E:$E,MATCH(1,('SIZE GUIDE'!$A:$A=$E33)*('SIZE GUIDE'!$B:$B=$F33)*('SIZE GUIDE'!$C:$C=$H33),0)),""),"")</f>
        <v/>
      </c>
      <c r="P33" s="203"/>
      <c r="Q33" s="204">
        <f t="shared" si="1"/>
        <v>74.5</v>
      </c>
      <c r="R33" s="198">
        <f t="shared" si="2"/>
        <v>37.5</v>
      </c>
      <c r="S33" s="198">
        <f t="shared" si="3"/>
        <v>41.5</v>
      </c>
      <c r="T33" s="205">
        <f t="shared" si="4"/>
        <v>805.14322916666663</v>
      </c>
      <c r="U33" s="206">
        <f>SUMIFS(CODE_PRICE!F:F,CODE_PRICE!B:B,C33,CODE_PRICE!A:A,$A$8)</f>
        <v>0.1895</v>
      </c>
      <c r="V33" s="207">
        <f t="shared" si="0"/>
        <v>152.57464192708332</v>
      </c>
      <c r="W33" s="208" t="str">
        <f>IF(COUNTIF($C$15:C33,C33)=1,C33 &amp; " - " &amp; TEXT(SUMIF($C:$C,C33,$T:$T),"0.00"),"")</f>
        <v/>
      </c>
      <c r="X33" s="209" t="str">
        <f>IF(COUNTIF($C$15:C33,C33)=1,ROUND(SUMIF($C:$C,C33,$V:$V),2), "")</f>
        <v/>
      </c>
    </row>
    <row r="34" spans="1:24" s="210" customFormat="1" ht="31.5" customHeight="1" x14ac:dyDescent="0.2">
      <c r="A34" s="196">
        <f t="shared" si="5"/>
        <v>20</v>
      </c>
      <c r="B34" s="196"/>
      <c r="C34" s="196" t="s">
        <v>89</v>
      </c>
      <c r="D34" s="197"/>
      <c r="E34" s="197" t="s">
        <v>11</v>
      </c>
      <c r="F34" s="198" t="s">
        <v>123</v>
      </c>
      <c r="G34" s="199" t="str">
        <f>IF(COUNTIFS($C$15:C34,C34,$H$15:H34,H34)=1,
SUMIFS($I$15:$I$43,$C$15:$C$43,C34,$H$15:$H$43,H34)&amp;H34&amp;" "&amp;C34,
"")</f>
        <v/>
      </c>
      <c r="H34" s="197" t="s">
        <v>12</v>
      </c>
      <c r="I34" s="200">
        <v>1</v>
      </c>
      <c r="J34" s="249"/>
      <c r="K34" s="201" cm="1">
        <f t="array" ref="K34">IF(E34="untrim",_xlfn.XLOOKUP(1,(TRIM('SIZE GUIDE'!$A$3:$A$2015)=TRIM(E34))*(TRIM('SIZE GUIDE'!$B$3:$B$2015)=TRIM(F34))*(TRIM('SIZE GUIDE'!$C$3:$C$2015)=TRIM(H34)),'SIZE GUIDE'!$D$3:$D$2015),"")</f>
        <v>76</v>
      </c>
      <c r="L34" s="265" cm="1">
        <f t="array" ref="L34">IF(E34="untrim",IFERROR(INDEX('SIZE GUIDE'!$E:$E,MATCH(1,('SIZE GUIDE'!$A:$A=$E34)*('SIZE GUIDE'!$B:$B=$F34)*('SIZE GUIDE'!$C:$C=$H34),0)),""),"")</f>
        <v>39</v>
      </c>
      <c r="M34" s="202">
        <v>42.5</v>
      </c>
      <c r="N34" s="203" t="str" cm="1">
        <f t="array" ref="N34">IF(E34="trim",_xlfn.XLOOKUP(1,(TRIM('SIZE GUIDE'!$A$3:$A$2015)=TRIM(E34))*(TRIM('SIZE GUIDE'!$B$3:$B$2015)=TRIM(F34))*(TRIM('SIZE GUIDE'!$C$3:$C$2015)=TRIM(H34)),'SIZE GUIDE'!$D$3:$D$2015),"")</f>
        <v/>
      </c>
      <c r="O34" s="203" t="str" cm="1">
        <f t="array" ref="O34">IF(E34="trim",IFERROR(INDEX('SIZE GUIDE'!$E:$E,MATCH(1,('SIZE GUIDE'!$A:$A=$E34)*('SIZE GUIDE'!$B:$B=$F34)*('SIZE GUIDE'!$C:$C=$H34),0)),""),"")</f>
        <v/>
      </c>
      <c r="P34" s="203"/>
      <c r="Q34" s="204">
        <f t="shared" si="1"/>
        <v>74.5</v>
      </c>
      <c r="R34" s="198">
        <f t="shared" si="2"/>
        <v>37.5</v>
      </c>
      <c r="S34" s="198">
        <f t="shared" si="3"/>
        <v>42</v>
      </c>
      <c r="T34" s="205">
        <f t="shared" si="4"/>
        <v>814.84375</v>
      </c>
      <c r="U34" s="206">
        <f>SUMIFS(CODE_PRICE!F:F,CODE_PRICE!B:B,C34,CODE_PRICE!A:A,$A$8)</f>
        <v>0.1895</v>
      </c>
      <c r="V34" s="207">
        <f t="shared" si="0"/>
        <v>154.41289062499999</v>
      </c>
      <c r="W34" s="208" t="str">
        <f>IF(COUNTIF($C$15:C34,C34)=1,C34 &amp; " - " &amp; TEXT(SUMIF($C:$C,C34,$T:$T),"0.00"),"")</f>
        <v/>
      </c>
      <c r="X34" s="209" t="str">
        <f>IF(COUNTIF($C$15:C34,C34)=1,ROUND(SUMIF($C:$C,C34,$V:$V),2), "")</f>
        <v/>
      </c>
    </row>
    <row r="35" spans="1:24" s="210" customFormat="1" ht="31.5" customHeight="1" x14ac:dyDescent="0.2">
      <c r="A35" s="196">
        <f t="shared" si="5"/>
        <v>21</v>
      </c>
      <c r="B35" s="196"/>
      <c r="C35" s="196" t="s">
        <v>95</v>
      </c>
      <c r="D35" s="197"/>
      <c r="E35" s="197" t="s">
        <v>11</v>
      </c>
      <c r="F35" s="198" t="s">
        <v>123</v>
      </c>
      <c r="G35" s="199" t="str">
        <f>IF(COUNTIFS($C$15:C35,C35,$H$15:H35,H35)=1,
SUMIFS($I$15:$I$43,$C$15:$C$43,C35,$H$15:$H$43,H35)&amp;H35&amp;" "&amp;C35,
"")</f>
        <v>2K CFN50131W</v>
      </c>
      <c r="H35" s="197" t="s">
        <v>18</v>
      </c>
      <c r="I35" s="200">
        <v>1</v>
      </c>
      <c r="J35" s="249"/>
      <c r="K35" s="201" cm="1">
        <f t="array" ref="K35">IF(E35="untrim",_xlfn.XLOOKUP(1,(TRIM('SIZE GUIDE'!$A$3:$A$2015)=TRIM(E35))*(TRIM('SIZE GUIDE'!$B$3:$B$2015)=TRIM(F35))*(TRIM('SIZE GUIDE'!$C$3:$C$2015)=TRIM(H35)),'SIZE GUIDE'!$D$3:$D$2015),"")</f>
        <v>81</v>
      </c>
      <c r="L35" s="265" cm="1">
        <f t="array" ref="L35">IF(E35="untrim",IFERROR(INDEX('SIZE GUIDE'!$E:$E,MATCH(1,('SIZE GUIDE'!$A:$A=$E35)*('SIZE GUIDE'!$B:$B=$F35)*('SIZE GUIDE'!$C:$C=$H35),0)),""),"")</f>
        <v>77</v>
      </c>
      <c r="M35" s="202">
        <v>41</v>
      </c>
      <c r="N35" s="203" t="str" cm="1">
        <f t="array" ref="N35">IF(E35="trim",_xlfn.XLOOKUP(1,(TRIM('SIZE GUIDE'!$A$3:$A$2015)=TRIM(E35))*(TRIM('SIZE GUIDE'!$B$3:$B$2015)=TRIM(F35))*(TRIM('SIZE GUIDE'!$C$3:$C$2015)=TRIM(H35)),'SIZE GUIDE'!$D$3:$D$2015),"")</f>
        <v/>
      </c>
      <c r="O35" s="203" t="str" cm="1">
        <f t="array" ref="O35">IF(E35="trim",IFERROR(INDEX('SIZE GUIDE'!$E:$E,MATCH(1,('SIZE GUIDE'!$A:$A=$E35)*('SIZE GUIDE'!$B:$B=$F35)*('SIZE GUIDE'!$C:$C=$H35),0)),""),"")</f>
        <v/>
      </c>
      <c r="P35" s="203"/>
      <c r="Q35" s="204">
        <f>IF(E35="untrim",K35-1.5,N35)</f>
        <v>79.5</v>
      </c>
      <c r="R35" s="198">
        <f>IF(E35="untrim",L35-1.5,O35)</f>
        <v>75.5</v>
      </c>
      <c r="S35" s="198">
        <f>IF(E35="untrim",M35-0.5,P35-0.5)</f>
        <v>40.5</v>
      </c>
      <c r="T35" s="205">
        <f>IFERROR(Q35*R35*S35/144*I35,"")</f>
        <v>1688.1328125</v>
      </c>
      <c r="U35" s="206">
        <f>SUMIFS(CODE_PRICE!F:F,CODE_PRICE!B:B,C35,CODE_PRICE!A:A,$A$8)</f>
        <v>0.2316</v>
      </c>
      <c r="V35" s="207">
        <f>T35*U35</f>
        <v>390.97155937500003</v>
      </c>
      <c r="W35" s="208" t="str">
        <f>IF(COUNTIF($C$15:C35,C35)=1,C35 &amp; " - " &amp; TEXT(SUMIF($C:$C,C35,$T:$T),"0.00"),"")</f>
        <v>CFN50131W - 3376.27</v>
      </c>
      <c r="X35" s="209">
        <f>IF(COUNTIF($C$15:C35,C35)=1,ROUND(SUMIF($C:$C,C35,$V:$V),2), "")</f>
        <v>781.94</v>
      </c>
    </row>
    <row r="36" spans="1:24" s="210" customFormat="1" ht="31.5" customHeight="1" x14ac:dyDescent="0.2">
      <c r="A36" s="196">
        <f t="shared" si="5"/>
        <v>22</v>
      </c>
      <c r="B36" s="196"/>
      <c r="C36" s="196" t="s">
        <v>95</v>
      </c>
      <c r="D36" s="197"/>
      <c r="E36" s="197" t="s">
        <v>11</v>
      </c>
      <c r="F36" s="198" t="s">
        <v>123</v>
      </c>
      <c r="G36" s="199" t="str">
        <f>IF(COUNTIFS($C$15:C36,C36,$H$15:H36,H36)=1,
SUMIFS($I$15:$I$43,$C$15:$C$43,C36,$H$15:$H$43,H36)&amp;H36&amp;" "&amp;C36,
"")</f>
        <v/>
      </c>
      <c r="H36" s="197" t="s">
        <v>18</v>
      </c>
      <c r="I36" s="200">
        <v>1</v>
      </c>
      <c r="J36" s="249"/>
      <c r="K36" s="201" cm="1">
        <f t="array" ref="K36">IF(E36="untrim",_xlfn.XLOOKUP(1,(TRIM('SIZE GUIDE'!$A$3:$A$2015)=TRIM(E36))*(TRIM('SIZE GUIDE'!$B$3:$B$2015)=TRIM(F36))*(TRIM('SIZE GUIDE'!$C$3:$C$2015)=TRIM(H36)),'SIZE GUIDE'!$D$3:$D$2015),"")</f>
        <v>81</v>
      </c>
      <c r="L36" s="265" cm="1">
        <f t="array" ref="L36">IF(E36="untrim",IFERROR(INDEX('SIZE GUIDE'!$E:$E,MATCH(1,('SIZE GUIDE'!$A:$A=$E36)*('SIZE GUIDE'!$B:$B=$F36)*('SIZE GUIDE'!$C:$C=$H36),0)),""),"")</f>
        <v>77</v>
      </c>
      <c r="M36" s="202">
        <v>41</v>
      </c>
      <c r="N36" s="203" t="str" cm="1">
        <f t="array" ref="N36">IF(E36="trim",_xlfn.XLOOKUP(1,(TRIM('SIZE GUIDE'!$A$3:$A$2015)=TRIM(E36))*(TRIM('SIZE GUIDE'!$B$3:$B$2015)=TRIM(F36))*(TRIM('SIZE GUIDE'!$C$3:$C$2015)=TRIM(H36)),'SIZE GUIDE'!$D$3:$D$2015),"")</f>
        <v/>
      </c>
      <c r="O36" s="203" t="str" cm="1">
        <f t="array" ref="O36">IF(E36="trim",IFERROR(INDEX('SIZE GUIDE'!$E:$E,MATCH(1,('SIZE GUIDE'!$A:$A=$E36)*('SIZE GUIDE'!$B:$B=$F36)*('SIZE GUIDE'!$C:$C=$H36),0)),""),"")</f>
        <v/>
      </c>
      <c r="P36" s="203"/>
      <c r="Q36" s="204">
        <f>IF(E36="untrim",K36-1.5,N36)</f>
        <v>79.5</v>
      </c>
      <c r="R36" s="198">
        <f>IF(E36="untrim",L36-1.5,O36)</f>
        <v>75.5</v>
      </c>
      <c r="S36" s="198">
        <f>IF(E36="untrim",M36-0.5,P36-0.5)</f>
        <v>40.5</v>
      </c>
      <c r="T36" s="205">
        <f>IFERROR(Q36*R36*S36/144*I36,"")</f>
        <v>1688.1328125</v>
      </c>
      <c r="U36" s="206">
        <f>SUMIFS(CODE_PRICE!F:F,CODE_PRICE!B:B,C36,CODE_PRICE!A:A,$A$8)</f>
        <v>0.2316</v>
      </c>
      <c r="V36" s="207">
        <f>T36*U36</f>
        <v>390.97155937500003</v>
      </c>
      <c r="W36" s="208" t="str">
        <f>IF(COUNTIF($C$15:C36,C36)=1,C36 &amp; " - " &amp; TEXT(SUMIF($C:$C,C36,$T:$T),"0.00"),"")</f>
        <v/>
      </c>
      <c r="X36" s="209" t="str">
        <f>IF(COUNTIF($C$15:C36,C36)=1,ROUND(SUMIF($C:$C,C36,$V:$V),2), "")</f>
        <v/>
      </c>
    </row>
    <row r="37" spans="1:24" s="310" customFormat="1" ht="31.5" customHeight="1" x14ac:dyDescent="0.2">
      <c r="A37" s="297">
        <f t="shared" si="5"/>
        <v>23</v>
      </c>
      <c r="B37" s="297"/>
      <c r="C37" s="297" t="s">
        <v>89</v>
      </c>
      <c r="D37" s="298"/>
      <c r="E37" s="298" t="s">
        <v>11</v>
      </c>
      <c r="F37" s="297"/>
      <c r="G37" s="299"/>
      <c r="H37" s="298" t="s">
        <v>308</v>
      </c>
      <c r="I37" s="300">
        <v>1</v>
      </c>
      <c r="J37" s="301"/>
      <c r="K37" s="302"/>
      <c r="L37" s="303"/>
      <c r="M37" s="304"/>
      <c r="N37" s="305"/>
      <c r="O37" s="305"/>
      <c r="P37" s="305"/>
      <c r="Q37" s="297">
        <v>79.5</v>
      </c>
      <c r="R37" s="297">
        <v>75.5</v>
      </c>
      <c r="S37" s="297">
        <v>37.5</v>
      </c>
      <c r="T37" s="306">
        <f>IFERROR(Q37*R37*S37/144*I37,"")-T15</f>
        <v>-54.296875</v>
      </c>
      <c r="U37" s="307">
        <f>SUMIFS(CODE_PRICE!F:F,CODE_PRICE!B:B,C37,CODE_PRICE!A:A,$A$8)</f>
        <v>0.1895</v>
      </c>
      <c r="V37" s="308">
        <f>T37*U37</f>
        <v>-10.289257812500001</v>
      </c>
      <c r="W37" s="299"/>
      <c r="X37" s="309"/>
    </row>
    <row r="38" spans="1:24" s="210" customFormat="1" ht="31.5" customHeight="1" x14ac:dyDescent="0.2">
      <c r="A38" s="196"/>
      <c r="B38" s="196"/>
      <c r="C38" s="196"/>
      <c r="D38" s="197"/>
      <c r="E38" s="197"/>
      <c r="F38" s="198"/>
      <c r="G38" s="199"/>
      <c r="H38" s="197"/>
      <c r="I38" s="200"/>
      <c r="J38" s="249"/>
      <c r="K38" s="201"/>
      <c r="L38" s="265"/>
      <c r="M38" s="202"/>
      <c r="N38" s="203"/>
      <c r="O38" s="203"/>
      <c r="P38" s="203"/>
      <c r="Q38" s="204"/>
      <c r="R38" s="198"/>
      <c r="S38" s="198"/>
      <c r="T38" s="205"/>
      <c r="U38" s="206"/>
      <c r="V38" s="207"/>
      <c r="W38" s="208"/>
      <c r="X38" s="209"/>
    </row>
    <row r="39" spans="1:24" s="210" customFormat="1" ht="31.5" customHeight="1" x14ac:dyDescent="0.2">
      <c r="A39" s="196"/>
      <c r="B39" s="196"/>
      <c r="C39" s="196"/>
      <c r="D39" s="197"/>
      <c r="E39" s="197"/>
      <c r="F39" s="198"/>
      <c r="G39" s="199"/>
      <c r="H39" s="197"/>
      <c r="I39" s="200"/>
      <c r="J39" s="249"/>
      <c r="K39" s="201"/>
      <c r="L39" s="265"/>
      <c r="M39" s="202"/>
      <c r="N39" s="203"/>
      <c r="O39" s="203"/>
      <c r="P39" s="203"/>
      <c r="Q39" s="204"/>
      <c r="R39" s="198"/>
      <c r="S39" s="198"/>
      <c r="T39" s="205"/>
      <c r="U39" s="206"/>
      <c r="V39" s="207"/>
      <c r="W39" s="208"/>
      <c r="X39" s="209"/>
    </row>
    <row r="40" spans="1:24" s="210" customFormat="1" ht="31.5" customHeight="1" x14ac:dyDescent="0.2">
      <c r="A40" s="196"/>
      <c r="B40" s="196"/>
      <c r="C40" s="196"/>
      <c r="D40" s="197"/>
      <c r="E40" s="197"/>
      <c r="F40" s="198"/>
      <c r="G40" s="199"/>
      <c r="H40" s="197"/>
      <c r="I40" s="200"/>
      <c r="J40" s="249"/>
      <c r="K40" s="201"/>
      <c r="L40" s="265"/>
      <c r="M40" s="202"/>
      <c r="N40" s="203"/>
      <c r="O40" s="203"/>
      <c r="P40" s="203"/>
      <c r="Q40" s="204"/>
      <c r="R40" s="198"/>
      <c r="S40" s="198"/>
      <c r="T40" s="205"/>
      <c r="U40" s="206"/>
      <c r="V40" s="207"/>
      <c r="W40" s="208"/>
      <c r="X40" s="209"/>
    </row>
    <row r="41" spans="1:24" s="210" customFormat="1" ht="31.5" customHeight="1" x14ac:dyDescent="0.2">
      <c r="A41" s="196"/>
      <c r="B41" s="196"/>
      <c r="C41" s="196"/>
      <c r="D41" s="260"/>
      <c r="E41" s="197"/>
      <c r="F41" s="198"/>
      <c r="G41" s="199"/>
      <c r="H41" s="197"/>
      <c r="I41" s="200"/>
      <c r="J41" s="249"/>
      <c r="K41" s="201"/>
      <c r="L41" s="265"/>
      <c r="M41" s="202"/>
      <c r="N41" s="203"/>
      <c r="O41" s="203"/>
      <c r="P41" s="203"/>
      <c r="Q41" s="204"/>
      <c r="R41" s="198"/>
      <c r="S41" s="198"/>
      <c r="T41" s="205"/>
      <c r="U41" s="206"/>
      <c r="V41" s="207"/>
      <c r="W41" s="198"/>
      <c r="X41" s="238"/>
    </row>
    <row r="42" spans="1:24" s="210" customFormat="1" ht="31.5" customHeight="1" x14ac:dyDescent="0.2">
      <c r="A42" s="196"/>
      <c r="B42" s="196"/>
      <c r="C42" s="196"/>
      <c r="D42" s="260"/>
      <c r="E42" s="197"/>
      <c r="F42" s="198"/>
      <c r="G42" s="199"/>
      <c r="H42" s="197"/>
      <c r="I42" s="200"/>
      <c r="J42" s="249"/>
      <c r="K42" s="201"/>
      <c r="L42" s="265"/>
      <c r="M42" s="202"/>
      <c r="N42" s="203"/>
      <c r="O42" s="203"/>
      <c r="P42" s="203"/>
      <c r="Q42" s="204"/>
      <c r="R42" s="198"/>
      <c r="S42" s="198"/>
      <c r="T42" s="205"/>
      <c r="U42" s="206"/>
      <c r="V42" s="207"/>
      <c r="W42" s="198"/>
      <c r="X42" s="238"/>
    </row>
    <row r="43" spans="1:24" s="210" customFormat="1" ht="31.5" customHeight="1" x14ac:dyDescent="0.2">
      <c r="A43" s="196"/>
      <c r="B43" s="196"/>
      <c r="C43" s="196"/>
      <c r="D43" s="260"/>
      <c r="E43" s="197"/>
      <c r="F43" s="198"/>
      <c r="G43" s="199"/>
      <c r="H43" s="197"/>
      <c r="I43" s="200"/>
      <c r="J43" s="249"/>
      <c r="K43" s="201"/>
      <c r="L43" s="265"/>
      <c r="M43" s="202"/>
      <c r="N43" s="203"/>
      <c r="O43" s="203"/>
      <c r="P43" s="203"/>
      <c r="Q43" s="204"/>
      <c r="R43" s="198"/>
      <c r="S43" s="198"/>
      <c r="T43" s="205"/>
      <c r="U43" s="206"/>
      <c r="V43" s="207"/>
      <c r="W43" s="198"/>
      <c r="X43" s="238"/>
    </row>
    <row r="44" spans="1:24" s="284" customFormat="1" ht="31.5" customHeight="1" x14ac:dyDescent="0.2">
      <c r="A44" s="270"/>
      <c r="B44" s="270"/>
      <c r="C44" s="270"/>
      <c r="D44" s="271"/>
      <c r="E44" s="272"/>
      <c r="F44" s="273"/>
      <c r="G44" s="274"/>
      <c r="H44" s="197"/>
      <c r="I44" s="275"/>
      <c r="J44" s="276"/>
      <c r="K44" s="277"/>
      <c r="L44" s="278"/>
      <c r="M44" s="279"/>
      <c r="N44" s="277"/>
      <c r="O44" s="277"/>
      <c r="P44" s="277"/>
      <c r="Q44" s="277"/>
      <c r="R44" s="273"/>
      <c r="S44" s="273"/>
      <c r="T44" s="280"/>
      <c r="U44" s="281"/>
      <c r="V44" s="282"/>
      <c r="W44" s="273"/>
      <c r="X44" s="283"/>
    </row>
    <row r="45" spans="1:24" s="284" customFormat="1" ht="31.5" customHeight="1" x14ac:dyDescent="0.2">
      <c r="A45" s="270"/>
      <c r="B45" s="270"/>
      <c r="C45" s="270"/>
      <c r="D45" s="271"/>
      <c r="E45" s="272"/>
      <c r="F45" s="273"/>
      <c r="G45" s="274"/>
      <c r="H45" s="197"/>
      <c r="I45" s="275"/>
      <c r="J45" s="276"/>
      <c r="K45" s="277"/>
      <c r="L45" s="278"/>
      <c r="M45" s="279"/>
      <c r="N45" s="277"/>
      <c r="O45" s="277"/>
      <c r="P45" s="277"/>
      <c r="Q45" s="277"/>
      <c r="R45" s="273"/>
      <c r="S45" s="273"/>
      <c r="T45" s="280"/>
      <c r="U45" s="281"/>
      <c r="V45" s="282"/>
      <c r="W45" s="273"/>
      <c r="X45" s="283"/>
    </row>
    <row r="46" spans="1:24" s="210" customFormat="1" ht="31.5" customHeight="1" x14ac:dyDescent="0.2">
      <c r="A46" s="212"/>
      <c r="B46" s="212"/>
      <c r="C46" s="212"/>
      <c r="D46" s="212"/>
      <c r="E46" s="213"/>
      <c r="F46" s="212"/>
      <c r="G46" s="212"/>
      <c r="H46" s="214" t="s">
        <v>155</v>
      </c>
      <c r="I46" s="215">
        <f>SUM(I13:I43)</f>
        <v>23</v>
      </c>
      <c r="J46" s="248"/>
      <c r="K46" s="216"/>
      <c r="L46" s="264"/>
      <c r="M46" s="216"/>
      <c r="N46" s="217"/>
      <c r="O46" s="217"/>
      <c r="P46" s="217"/>
      <c r="Q46" s="213"/>
      <c r="R46" s="213"/>
      <c r="S46" s="213"/>
      <c r="T46" s="218">
        <f>SUM(T13:T45)</f>
        <v>26124.907118055555</v>
      </c>
      <c r="U46" s="219"/>
      <c r="V46" s="220">
        <f>SUM(V13:V45)</f>
        <v>5092.8106816840254</v>
      </c>
      <c r="W46" s="219"/>
      <c r="X46" s="220"/>
    </row>
    <row r="47" spans="1:24" s="210" customFormat="1" ht="31.5" customHeight="1" x14ac:dyDescent="0.2">
      <c r="A47" s="196"/>
      <c r="B47" s="196"/>
      <c r="C47" s="196"/>
      <c r="D47" s="197"/>
      <c r="E47" s="197"/>
      <c r="F47" s="198"/>
      <c r="G47" s="199"/>
      <c r="H47" s="221" t="s">
        <v>156</v>
      </c>
      <c r="I47" s="222"/>
      <c r="J47" s="250"/>
      <c r="K47" s="204"/>
      <c r="L47" s="266"/>
      <c r="M47" s="223"/>
      <c r="N47" s="204"/>
      <c r="O47" s="204"/>
      <c r="P47" s="204"/>
      <c r="Q47" s="224"/>
      <c r="R47" s="224"/>
      <c r="S47" s="224"/>
      <c r="T47" s="205"/>
      <c r="U47" s="224"/>
      <c r="V47" s="207"/>
      <c r="W47" s="224"/>
      <c r="X47" s="207"/>
    </row>
    <row r="48" spans="1:24" s="210" customFormat="1" ht="31.5" customHeight="1" x14ac:dyDescent="0.2">
      <c r="A48" s="212"/>
      <c r="B48" s="212"/>
      <c r="C48" s="212"/>
      <c r="D48" s="213"/>
      <c r="E48" s="213"/>
      <c r="F48" s="213"/>
      <c r="G48" s="213"/>
      <c r="H48" s="214" t="s">
        <v>162</v>
      </c>
      <c r="I48" s="215">
        <f>SUM(I15:I43)</f>
        <v>23</v>
      </c>
      <c r="J48" s="248"/>
      <c r="K48" s="216"/>
      <c r="L48" s="264"/>
      <c r="M48" s="216"/>
      <c r="N48" s="217"/>
      <c r="O48" s="217"/>
      <c r="P48" s="217"/>
      <c r="Q48" s="213"/>
      <c r="R48" s="213"/>
      <c r="S48" s="213"/>
      <c r="T48" s="218">
        <f>SUM(T15:T45)</f>
        <v>26124.907118055555</v>
      </c>
      <c r="U48" s="219"/>
      <c r="V48" s="220">
        <f>+V46+V47</f>
        <v>5092.8106816840254</v>
      </c>
      <c r="W48" s="219"/>
      <c r="X48" s="220"/>
    </row>
    <row r="49" spans="1:24" s="228" customFormat="1" ht="15" customHeight="1" x14ac:dyDescent="0.25">
      <c r="A49" s="225"/>
      <c r="B49" s="225"/>
      <c r="C49" s="225"/>
      <c r="D49" s="225"/>
      <c r="E49" s="225"/>
      <c r="F49" s="226"/>
      <c r="G49" s="225"/>
      <c r="H49" s="227"/>
      <c r="I49" s="227"/>
      <c r="J49" s="251"/>
      <c r="L49" s="267"/>
      <c r="V49" s="229"/>
      <c r="X49" s="230"/>
    </row>
    <row r="50" spans="1:24" s="228" customFormat="1" ht="15" customHeight="1" x14ac:dyDescent="0.25">
      <c r="A50" s="225" t="s">
        <v>218</v>
      </c>
      <c r="B50" s="225"/>
      <c r="C50" s="225"/>
      <c r="D50" s="225"/>
      <c r="E50" s="225"/>
      <c r="F50" s="226"/>
      <c r="G50" s="225"/>
      <c r="H50" s="227"/>
      <c r="I50" s="227"/>
      <c r="J50" s="251"/>
      <c r="L50" s="267"/>
      <c r="V50" s="229"/>
      <c r="X50" s="230"/>
    </row>
    <row r="51" spans="1:24" s="228" customFormat="1" ht="15" customHeight="1" x14ac:dyDescent="0.25">
      <c r="A51" s="225"/>
      <c r="B51" s="225"/>
      <c r="C51" s="225"/>
      <c r="D51" s="225"/>
      <c r="E51" s="225"/>
      <c r="F51" s="226"/>
      <c r="G51" s="225"/>
      <c r="H51" s="227"/>
      <c r="I51" s="227"/>
      <c r="J51" s="251"/>
      <c r="L51" s="267"/>
      <c r="V51" s="229"/>
      <c r="X51" s="230"/>
    </row>
    <row r="52" spans="1:24" s="228" customFormat="1" ht="15" customHeight="1" x14ac:dyDescent="0.25">
      <c r="A52" s="225" t="s">
        <v>219</v>
      </c>
      <c r="B52" s="225"/>
      <c r="C52" s="225"/>
      <c r="D52" s="225"/>
      <c r="E52" s="225"/>
      <c r="F52" s="226"/>
      <c r="G52" s="225"/>
      <c r="H52" s="227"/>
      <c r="I52" s="227"/>
      <c r="J52" s="251"/>
      <c r="L52" s="267"/>
      <c r="V52" s="229"/>
      <c r="X52" s="230"/>
    </row>
    <row r="53" spans="1:24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252"/>
      <c r="K53" s="35"/>
      <c r="L53" s="268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4" ht="15" customHeight="1" x14ac:dyDescent="0.25">
      <c r="A54" s="48"/>
      <c r="B54" s="48"/>
      <c r="C54" s="48"/>
      <c r="D54" s="48"/>
      <c r="E54" s="48"/>
      <c r="F54" s="84"/>
      <c r="G54" s="48"/>
      <c r="H54" s="85"/>
      <c r="I54" s="85"/>
      <c r="J54" s="252"/>
      <c r="K54" s="35"/>
      <c r="L54" s="268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4" ht="15" customHeight="1" x14ac:dyDescent="0.25">
      <c r="A55" s="86"/>
      <c r="B55" s="318"/>
      <c r="C55" s="318"/>
      <c r="D55" s="318"/>
      <c r="E55" s="318"/>
      <c r="F55" s="318"/>
      <c r="G55" s="318"/>
      <c r="H55" s="318"/>
      <c r="I55" s="318"/>
      <c r="J55" s="318"/>
      <c r="K55" s="35"/>
      <c r="L55" s="268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4" ht="15" customHeight="1" x14ac:dyDescent="0.25">
      <c r="A56" s="86"/>
      <c r="B56" s="319"/>
      <c r="C56" s="319"/>
      <c r="D56" s="319"/>
      <c r="E56" s="319"/>
      <c r="F56" s="319"/>
      <c r="G56" s="319"/>
      <c r="H56" s="319"/>
      <c r="I56" s="319"/>
      <c r="J56" s="319"/>
      <c r="K56" s="35"/>
      <c r="L56" s="268"/>
      <c r="M56" s="35"/>
      <c r="N56" s="35"/>
      <c r="O56" s="35"/>
      <c r="P56" s="35"/>
      <c r="Q56" s="35"/>
      <c r="R56" s="35"/>
      <c r="S56" s="35"/>
      <c r="T56" s="35"/>
      <c r="U56" s="35"/>
      <c r="V56" s="89"/>
    </row>
  </sheetData>
  <mergeCells count="5">
    <mergeCell ref="A7:E7"/>
    <mergeCell ref="F7:G7"/>
    <mergeCell ref="R9:S9"/>
    <mergeCell ref="B55:J55"/>
    <mergeCell ref="B56:J56"/>
  </mergeCells>
  <pageMargins left="0" right="0" top="1" bottom="0" header="0.511811023622047" footer="0.511811023622047"/>
  <pageSetup paperSize="9" scale="43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colBreaks count="2" manualBreakCount="2">
    <brk id="4" max="1048575" man="1"/>
    <brk id="6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CEFEDF95-FA57-47B3-8943-EDD4B7B85D73}">
          <x14:formula1>
            <xm:f>'SIZE GUIDE'!$A$3:$A$38</xm:f>
          </x14:formula1>
          <xm:sqref>E15:E48</xm:sqref>
        </x14:dataValidation>
        <x14:dataValidation type="list" allowBlank="1" xr:uid="{E5A640B1-B468-4836-B697-356676BCCFD2}">
          <x14:formula1>
            <xm:f>LISTS!$B$2:$B$8</xm:f>
          </x14:formula1>
          <x14:formula2>
            <xm:f>0</xm:f>
          </x14:formula2>
          <xm:sqref>H15:H48</xm:sqref>
        </x14:dataValidation>
        <x14:dataValidation type="list" errorStyle="information" allowBlank="1" showInputMessage="1" xr:uid="{6E463A22-17A0-49A0-9A43-E89DB662AF28}">
          <x14:formula1>
            <xm:f>CODE_MASTER_AS!$A$3:$A$14</xm:f>
          </x14:formula1>
          <xm:sqref>C47:C48 F46:G46 C15:C45</xm:sqref>
        </x14:dataValidation>
        <x14:dataValidation type="list" allowBlank="1" showInputMessage="1" showErrorMessage="1" xr:uid="{D7AA2FC1-3964-4073-9AC2-B9B32D7408EB}">
          <x14:formula1>
            <xm:f>'SIZE GUIDE'!$B:$B</xm:f>
          </x14:formula1>
          <xm:sqref>G46 F15:F48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294B6-35CF-4619-B67C-490ED47326EF}">
  <sheetPr codeName="Sheet24">
    <pageSetUpPr fitToPage="1"/>
  </sheetPr>
  <dimension ref="A1:AG54"/>
  <sheetViews>
    <sheetView showGridLines="0" view="pageBreakPreview" zoomScale="62" zoomScaleNormal="68" zoomScaleSheetLayoutView="62" workbookViewId="0">
      <selection activeCell="AA21" sqref="AA21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18" style="16" hidden="1" customWidth="1"/>
    <col min="5" max="5" width="15.1640625" style="16" customWidth="1"/>
    <col min="6" max="6" width="13.6640625" style="16" customWidth="1"/>
    <col min="7" max="7" width="16.5" style="16" customWidth="1"/>
    <col min="8" max="8" width="27.6640625" style="16" customWidth="1"/>
    <col min="9" max="10" width="8" style="16" customWidth="1"/>
    <col min="11" max="17" width="10.6640625" style="16" customWidth="1"/>
    <col min="18" max="20" width="8.1640625" style="16" customWidth="1"/>
    <col min="21" max="21" width="13.5" style="16" customWidth="1"/>
    <col min="22" max="22" width="12.5" style="16" customWidth="1"/>
    <col min="23" max="23" width="13.1640625" style="98" customWidth="1"/>
    <col min="24" max="24" width="52.83203125" style="16" customWidth="1"/>
    <col min="25" max="25" width="12.83203125" style="23" hidden="1" customWidth="1"/>
    <col min="26" max="16384" width="8.6640625" style="16"/>
  </cols>
  <sheetData>
    <row r="1" spans="1:29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13"/>
      <c r="K1" s="29"/>
      <c r="L1" s="29"/>
      <c r="M1" s="29"/>
      <c r="N1" s="29"/>
      <c r="O1" s="27"/>
      <c r="P1" s="27"/>
      <c r="Q1" s="27"/>
      <c r="R1" s="13"/>
      <c r="S1" s="13"/>
      <c r="T1" s="13"/>
      <c r="U1" s="13"/>
      <c r="V1" s="13"/>
      <c r="W1" s="22"/>
      <c r="X1" s="13"/>
      <c r="Y1" s="22"/>
    </row>
    <row r="2" spans="1:29" s="14" customFormat="1" ht="33.75" customHeight="1" x14ac:dyDescent="0.2">
      <c r="A2" s="13"/>
      <c r="B2" s="13"/>
      <c r="C2" s="13"/>
      <c r="D2" s="13"/>
      <c r="E2" s="13"/>
      <c r="F2" s="13"/>
      <c r="G2" s="13"/>
      <c r="K2" s="30"/>
      <c r="L2" s="31"/>
      <c r="M2" s="29"/>
      <c r="N2" s="32" t="s">
        <v>161</v>
      </c>
      <c r="O2" s="27"/>
      <c r="P2" s="27"/>
      <c r="Q2" s="28" t="s">
        <v>160</v>
      </c>
      <c r="S2" s="20"/>
      <c r="T2" s="21"/>
      <c r="V2" s="13"/>
      <c r="X2" s="20" t="s">
        <v>151</v>
      </c>
      <c r="Y2" s="22"/>
    </row>
    <row r="3" spans="1:29" ht="15" customHeight="1" x14ac:dyDescent="0.25">
      <c r="A3" s="33" t="s">
        <v>144</v>
      </c>
      <c r="B3" s="34"/>
      <c r="C3" s="35"/>
      <c r="D3" s="35"/>
      <c r="E3" s="35"/>
      <c r="F3" s="35"/>
      <c r="G3" s="36"/>
      <c r="H3" s="35"/>
      <c r="I3" s="35"/>
      <c r="J3" s="35"/>
      <c r="K3" s="37"/>
      <c r="L3" s="37"/>
      <c r="M3" s="37"/>
      <c r="N3" s="37"/>
      <c r="O3" s="38"/>
      <c r="P3" s="38"/>
      <c r="Q3" s="38"/>
      <c r="R3" s="39"/>
      <c r="S3" s="39"/>
      <c r="T3" s="39"/>
      <c r="U3" s="35"/>
      <c r="V3" s="36"/>
      <c r="W3" s="39"/>
      <c r="X3" s="13"/>
      <c r="Y3" s="22"/>
    </row>
    <row r="4" spans="1:29" ht="21" customHeight="1" x14ac:dyDescent="0.25">
      <c r="A4" s="33" t="s">
        <v>145</v>
      </c>
      <c r="B4" s="34"/>
      <c r="C4" s="40"/>
      <c r="D4" s="40"/>
      <c r="E4" s="35"/>
      <c r="F4" s="35"/>
      <c r="G4" s="36"/>
      <c r="H4" s="35"/>
      <c r="I4" s="35"/>
      <c r="J4" s="35"/>
      <c r="K4" s="37"/>
      <c r="L4" s="37"/>
      <c r="M4" s="37"/>
      <c r="N4" s="37"/>
      <c r="O4" s="38"/>
      <c r="P4" s="38"/>
      <c r="Q4" s="38"/>
      <c r="R4" s="39"/>
      <c r="S4" s="39"/>
      <c r="T4" s="39"/>
      <c r="U4" s="35"/>
      <c r="V4" s="36"/>
      <c r="W4" s="39"/>
      <c r="X4" s="13"/>
      <c r="Y4" s="22"/>
    </row>
    <row r="5" spans="1:29" ht="21" customHeight="1" x14ac:dyDescent="0.25">
      <c r="A5" s="33" t="s">
        <v>146</v>
      </c>
      <c r="B5" s="34"/>
      <c r="C5" s="34"/>
      <c r="D5" s="34"/>
      <c r="E5" s="35"/>
      <c r="F5" s="35"/>
      <c r="G5" s="36"/>
      <c r="H5" s="35"/>
      <c r="I5" s="35"/>
      <c r="J5" s="35"/>
      <c r="K5" s="37"/>
      <c r="L5" s="37"/>
      <c r="M5" s="37"/>
      <c r="N5" s="37"/>
      <c r="O5" s="38"/>
      <c r="P5" s="38"/>
      <c r="Q5" s="38"/>
      <c r="R5" s="39"/>
      <c r="S5" s="39"/>
      <c r="T5" s="39"/>
      <c r="U5" s="35"/>
      <c r="V5" s="36"/>
      <c r="W5" s="39"/>
      <c r="X5" s="13"/>
      <c r="Y5" s="22"/>
    </row>
    <row r="6" spans="1:29" ht="21" customHeight="1" x14ac:dyDescent="0.25">
      <c r="A6" s="41"/>
      <c r="B6" s="34"/>
      <c r="C6" s="34"/>
      <c r="D6" s="34"/>
      <c r="E6" s="35"/>
      <c r="F6" s="35"/>
      <c r="G6" s="36"/>
      <c r="H6" s="35"/>
      <c r="I6" s="35"/>
      <c r="J6" s="35"/>
      <c r="K6" s="37"/>
      <c r="L6" s="37"/>
      <c r="M6" s="37"/>
      <c r="N6" s="37"/>
      <c r="O6" s="38"/>
      <c r="P6" s="38"/>
      <c r="Q6" s="38"/>
      <c r="R6" s="39"/>
      <c r="S6" s="39"/>
      <c r="T6" s="39"/>
      <c r="U6" s="35"/>
      <c r="V6" s="36"/>
      <c r="W6" s="39"/>
      <c r="X6" s="13"/>
      <c r="Y6" s="22"/>
    </row>
    <row r="7" spans="1:29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16"/>
      <c r="I7" s="35"/>
      <c r="J7" s="35"/>
      <c r="K7" s="37"/>
      <c r="L7" s="37"/>
      <c r="M7" s="37"/>
      <c r="N7" s="37"/>
      <c r="O7" s="38"/>
      <c r="P7" s="38"/>
      <c r="Q7" s="38"/>
      <c r="R7" s="43" t="s">
        <v>147</v>
      </c>
      <c r="S7" s="43"/>
      <c r="T7" s="43"/>
      <c r="U7" s="43"/>
      <c r="V7" s="43"/>
      <c r="W7" s="43" t="s">
        <v>148</v>
      </c>
      <c r="X7" s="43"/>
      <c r="Y7" s="43"/>
    </row>
    <row r="8" spans="1:29" ht="15" customHeight="1" x14ac:dyDescent="0.25">
      <c r="A8" s="44" t="s">
        <v>224</v>
      </c>
      <c r="B8" s="45"/>
      <c r="C8" s="45"/>
      <c r="D8" s="45"/>
      <c r="E8" s="46"/>
      <c r="F8" s="46"/>
      <c r="G8" s="36"/>
      <c r="H8" s="46"/>
      <c r="I8" s="35"/>
      <c r="J8" s="35"/>
      <c r="K8" s="37"/>
      <c r="L8" s="37"/>
      <c r="M8" s="37"/>
      <c r="N8" s="37"/>
      <c r="O8" s="38"/>
      <c r="P8" s="38"/>
      <c r="Q8" s="38"/>
      <c r="R8" s="105" t="s">
        <v>302</v>
      </c>
      <c r="S8" s="87"/>
      <c r="T8" s="106"/>
      <c r="U8" s="46"/>
      <c r="V8" s="107"/>
      <c r="W8" s="108">
        <v>46205</v>
      </c>
      <c r="X8" s="13"/>
      <c r="Y8" s="22"/>
    </row>
    <row r="9" spans="1:29" ht="15" customHeight="1" x14ac:dyDescent="0.25">
      <c r="A9" s="46"/>
      <c r="B9" s="45"/>
      <c r="C9" s="46"/>
      <c r="D9" s="46"/>
      <c r="E9" s="35"/>
      <c r="F9" s="46"/>
      <c r="G9" s="36"/>
      <c r="H9" s="46"/>
      <c r="I9" s="35"/>
      <c r="J9" s="35"/>
      <c r="K9" s="37"/>
      <c r="L9" s="37"/>
      <c r="M9" s="37"/>
      <c r="N9" s="37"/>
      <c r="O9" s="38"/>
      <c r="P9" s="38"/>
      <c r="Q9" s="38"/>
      <c r="R9" s="86"/>
      <c r="S9" s="320"/>
      <c r="T9" s="320"/>
      <c r="U9" s="46"/>
      <c r="V9" s="107"/>
      <c r="W9" s="33"/>
      <c r="X9" s="13"/>
      <c r="Y9" s="22"/>
    </row>
    <row r="10" spans="1:29" ht="15" customHeight="1" x14ac:dyDescent="0.25">
      <c r="A10" s="46"/>
      <c r="B10" s="45"/>
      <c r="C10" s="46"/>
      <c r="D10" s="46"/>
      <c r="E10" s="35"/>
      <c r="F10" s="46"/>
      <c r="G10" s="36"/>
      <c r="H10" s="46"/>
      <c r="I10" s="35"/>
      <c r="J10" s="35"/>
      <c r="K10" s="37"/>
      <c r="L10" s="37"/>
      <c r="M10" s="37"/>
      <c r="N10" s="37"/>
      <c r="O10" s="38"/>
      <c r="P10" s="38"/>
      <c r="Q10" s="38"/>
      <c r="R10" s="42" t="s">
        <v>149</v>
      </c>
      <c r="S10" s="43"/>
      <c r="T10" s="43"/>
      <c r="U10" s="43"/>
      <c r="V10" s="43"/>
      <c r="W10" s="43" t="s">
        <v>150</v>
      </c>
      <c r="X10" s="43"/>
      <c r="Y10" s="43"/>
    </row>
    <row r="11" spans="1:29" ht="15" customHeight="1" x14ac:dyDescent="0.25">
      <c r="A11" s="46"/>
      <c r="B11" s="34"/>
      <c r="C11" s="35"/>
      <c r="D11" s="35"/>
      <c r="E11" s="35"/>
      <c r="F11" s="46"/>
      <c r="G11" s="46"/>
      <c r="H11" s="46"/>
      <c r="I11" s="35"/>
      <c r="J11" s="35"/>
      <c r="K11" s="37"/>
      <c r="L11" s="37"/>
      <c r="M11" s="37"/>
      <c r="N11" s="37"/>
      <c r="O11" s="38"/>
      <c r="P11" s="38"/>
      <c r="Q11" s="38"/>
      <c r="R11" s="105" t="s">
        <v>291</v>
      </c>
      <c r="S11" s="86"/>
      <c r="T11" s="86"/>
      <c r="U11" s="46"/>
      <c r="V11" s="107"/>
      <c r="W11" s="86"/>
      <c r="X11" s="13"/>
      <c r="Y11" s="22"/>
    </row>
    <row r="12" spans="1:29" ht="17.25" customHeight="1" x14ac:dyDescent="0.25">
      <c r="A12" s="46"/>
      <c r="B12" s="34"/>
      <c r="C12" s="35"/>
      <c r="D12" s="35"/>
      <c r="E12" s="35"/>
      <c r="F12" s="46"/>
      <c r="G12" s="46"/>
      <c r="H12" s="46"/>
      <c r="I12" s="35"/>
      <c r="J12" s="35"/>
      <c r="K12" s="37"/>
      <c r="L12" s="37"/>
      <c r="M12" s="37"/>
      <c r="N12" s="37"/>
      <c r="O12" s="38"/>
      <c r="P12" s="38"/>
      <c r="Q12" s="38"/>
      <c r="R12" s="35"/>
      <c r="S12" s="35"/>
      <c r="T12" s="48"/>
      <c r="U12" s="48"/>
      <c r="V12" s="47"/>
      <c r="W12" s="49"/>
      <c r="X12" s="13"/>
      <c r="Y12" s="22"/>
    </row>
    <row r="13" spans="1:29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5"/>
      <c r="K13" s="35"/>
      <c r="L13" s="50"/>
      <c r="M13" s="50" t="s">
        <v>137</v>
      </c>
      <c r="N13" s="50"/>
      <c r="O13" s="51"/>
      <c r="P13" s="51" t="s">
        <v>138</v>
      </c>
      <c r="Q13" s="51"/>
      <c r="R13" s="52"/>
      <c r="S13" s="52" t="s">
        <v>134</v>
      </c>
      <c r="T13" s="52"/>
      <c r="U13" s="35"/>
      <c r="V13" s="35"/>
      <c r="W13" s="89"/>
      <c r="X13" s="16" t="s">
        <v>142</v>
      </c>
    </row>
    <row r="14" spans="1:29" s="17" customFormat="1" ht="41.25" customHeight="1" x14ac:dyDescent="0.2">
      <c r="A14" s="53" t="s">
        <v>158</v>
      </c>
      <c r="B14" s="53" t="s">
        <v>0</v>
      </c>
      <c r="C14" s="53" t="s">
        <v>1</v>
      </c>
      <c r="D14" s="53" t="s">
        <v>217</v>
      </c>
      <c r="E14" s="54" t="s">
        <v>135</v>
      </c>
      <c r="F14" s="54" t="s">
        <v>157</v>
      </c>
      <c r="G14" s="54" t="s">
        <v>3</v>
      </c>
      <c r="H14" s="54" t="s">
        <v>152</v>
      </c>
      <c r="I14" s="54" t="s">
        <v>105</v>
      </c>
      <c r="J14" s="54" t="s">
        <v>5</v>
      </c>
      <c r="K14" s="55" t="s">
        <v>64</v>
      </c>
      <c r="L14" s="55" t="s">
        <v>136</v>
      </c>
      <c r="M14" s="55" t="s">
        <v>24</v>
      </c>
      <c r="N14" s="55" t="s">
        <v>108</v>
      </c>
      <c r="O14" s="56" t="s">
        <v>136</v>
      </c>
      <c r="P14" s="56" t="s">
        <v>24</v>
      </c>
      <c r="Q14" s="56" t="s">
        <v>108</v>
      </c>
      <c r="R14" s="54" t="s">
        <v>136</v>
      </c>
      <c r="S14" s="54" t="s">
        <v>24</v>
      </c>
      <c r="T14" s="54" t="s">
        <v>108</v>
      </c>
      <c r="U14" s="131" t="s">
        <v>159</v>
      </c>
      <c r="V14" s="91" t="s">
        <v>6</v>
      </c>
      <c r="W14" s="92" t="s">
        <v>7</v>
      </c>
      <c r="X14" s="53" t="s">
        <v>64</v>
      </c>
      <c r="Y14" s="26" t="s">
        <v>141</v>
      </c>
      <c r="AC14" s="16"/>
    </row>
    <row r="15" spans="1:29" s="17" customFormat="1" ht="36" customHeight="1" x14ac:dyDescent="0.2">
      <c r="A15" s="57">
        <v>1</v>
      </c>
      <c r="B15" s="57" t="str" cm="1">
        <f t="array" ref="B15">_xlfn.LET(_xlpm.r,_xlfn.XLOOKUP(1,
(TRIM([1]CODE_PRICE!$A$3:$A$2000)=TRIM($C$4))*
(TRIM([1]CODE_PRICE!$B$3:$B$2000)=TRIM(C15)),
[1]CODE_PRICE!$C$3:$C$2000,
""),
IF(OR(_xlpm.r="",_xlpm.r=0),"",_xlpm.r))</f>
        <v/>
      </c>
      <c r="C15" s="57" t="s">
        <v>96</v>
      </c>
      <c r="D15" s="57"/>
      <c r="E15" s="58" t="s">
        <v>292</v>
      </c>
      <c r="F15" s="58" t="s">
        <v>124</v>
      </c>
      <c r="G15" s="58" t="s">
        <v>224</v>
      </c>
      <c r="H15" s="60" t="str">
        <f>IF(COUNTIFS($C$15:C15,C15,$I$15:I15,I15)=1,
SUMIFS($J$15:$J$43,$C$15:$C$43,C15,$I$15:$I$43,I15)&amp;I15&amp;" "&amp;C15,
"")</f>
        <v>2Q CFN34150W</v>
      </c>
      <c r="I15" s="58" t="s">
        <v>16</v>
      </c>
      <c r="J15" s="61">
        <v>1</v>
      </c>
      <c r="K15" s="62"/>
      <c r="L15" s="63"/>
      <c r="M15" s="64"/>
      <c r="N15" s="63"/>
      <c r="O15" s="65">
        <v>79.5</v>
      </c>
      <c r="P15" s="65">
        <v>59.5</v>
      </c>
      <c r="Q15" s="65">
        <v>2</v>
      </c>
      <c r="R15" s="59">
        <v>79.5</v>
      </c>
      <c r="S15" s="59">
        <v>59.5</v>
      </c>
      <c r="T15" s="59">
        <v>2</v>
      </c>
      <c r="U15" s="93">
        <f t="shared" ref="U15:U24" si="0">IFERROR(R15*S15*T15/144*J15,"")</f>
        <v>65.697916666666671</v>
      </c>
      <c r="V15" s="94">
        <v>0.35160000000000002</v>
      </c>
      <c r="W15" s="95">
        <v>23.2</v>
      </c>
      <c r="X15" s="244" t="str">
        <f>IF(OR(E15="",C15=""),"",IF(COUNTIFS($E$15:E15,E15,$C$15:C15,C15)=1,E15&amp;" - "&amp;C15&amp;" - "&amp;SUMIFS($J$15:$J$4996,$E$15:$E$4996,E15,$C$15:$C$4996,C15)&amp;I15,""))</f>
        <v>TOPPER 2" - CFN34150W - 2Q</v>
      </c>
      <c r="Y15" s="24">
        <f>IF(COUNTIF($C$15:C15,C15)=1,ROUND(SUMIF($C:$C,C15,$W:$W),2), "")</f>
        <v>46.4</v>
      </c>
    </row>
    <row r="16" spans="1:29" s="17" customFormat="1" ht="36" customHeight="1" x14ac:dyDescent="0.2">
      <c r="A16" s="57">
        <f>A15+1</f>
        <v>2</v>
      </c>
      <c r="B16" s="57" t="str" cm="1">
        <f t="array" ref="B16">_xlfn.LET(_xlpm.r,_xlfn.XLOOKUP(1,
(TRIM([1]CODE_PRICE!$A$3:$A$2000)=TRIM($C$4))*
(TRIM([1]CODE_PRICE!$B$3:$B$2000)=TRIM(C17)),
[1]CODE_PRICE!$C$3:$C$2000,
""),
IF(OR(_xlpm.r="",_xlpm.r=0),"",_xlpm.r))</f>
        <v/>
      </c>
      <c r="C16" s="57" t="s">
        <v>96</v>
      </c>
      <c r="D16" s="57"/>
      <c r="E16" s="58" t="s">
        <v>292</v>
      </c>
      <c r="F16" s="58" t="s">
        <v>124</v>
      </c>
      <c r="G16" s="58" t="s">
        <v>224</v>
      </c>
      <c r="H16" s="60" t="str">
        <f>IF(COUNTIFS($C$15:C16,C16,$I$15:I16,I16)=1,
SUMIFS($J$15:$J$43,$C$15:$C$43,C16,$I$15:$I$43,I16)&amp;I16&amp;" "&amp;C16,
"")</f>
        <v/>
      </c>
      <c r="I16" s="58" t="s">
        <v>16</v>
      </c>
      <c r="J16" s="61">
        <v>1</v>
      </c>
      <c r="K16" s="62"/>
      <c r="L16" s="63"/>
      <c r="M16" s="64"/>
      <c r="N16" s="63"/>
      <c r="O16" s="65">
        <v>79.5</v>
      </c>
      <c r="P16" s="65">
        <v>59.5</v>
      </c>
      <c r="Q16" s="65">
        <v>2</v>
      </c>
      <c r="R16" s="59">
        <v>79.5</v>
      </c>
      <c r="S16" s="59">
        <v>59.5</v>
      </c>
      <c r="T16" s="59">
        <v>2</v>
      </c>
      <c r="U16" s="93">
        <f t="shared" si="0"/>
        <v>65.697916666666671</v>
      </c>
      <c r="V16" s="94">
        <v>0.35160000000000002</v>
      </c>
      <c r="W16" s="95">
        <v>23.2</v>
      </c>
      <c r="X16" s="244" t="str">
        <f>IF(OR(E16="",C16=""),"",IF(COUNTIFS($E$15:E16,E16,$C$15:C16,C16)=1,E16&amp;" - "&amp;C16&amp;" - "&amp;SUMIFS($J$15:$J$4996,$E$15:$E$4996,E16,$C$15:$C$4996,C16)&amp;I16,""))</f>
        <v/>
      </c>
      <c r="Y16" s="24">
        <f>IF(COUNTIF($C$15:C17,C17)=1,ROUND(SUMIF($C:$C,C17,$W:$W),2), "")</f>
        <v>45.6</v>
      </c>
    </row>
    <row r="17" spans="1:25" s="17" customFormat="1" ht="36" customHeight="1" x14ac:dyDescent="0.2">
      <c r="A17" s="57">
        <f t="shared" ref="A17:A24" si="1">A16+1</f>
        <v>3</v>
      </c>
      <c r="B17" s="57" t="str" cm="1">
        <f t="array" ref="B17">_xlfn.LET(_xlpm.r,_xlfn.XLOOKUP(1,
(TRIM([1]CODE_PRICE!$A$3:$A$2000)=TRIM($C$4))*
(TRIM([1]CODE_PRICE!$B$3:$B$2000)=TRIM(C19)),
[1]CODE_PRICE!$C$3:$C$2000,
""),
IF(OR(_xlpm.r="",_xlpm.r=0),"",_xlpm.r))</f>
        <v/>
      </c>
      <c r="C17" s="57" t="s">
        <v>99</v>
      </c>
      <c r="D17" s="57"/>
      <c r="E17" s="58" t="s">
        <v>292</v>
      </c>
      <c r="F17" s="58" t="s">
        <v>124</v>
      </c>
      <c r="G17" s="58" t="s">
        <v>224</v>
      </c>
      <c r="H17" s="60" t="str">
        <f>IF(COUNTIFS($C$15:C17,C17,$I$15:I17,I17)=1,
SUMIFS($J$15:$J$43,$C$15:$C$43,C17,$I$15:$I$43,I17)&amp;I17&amp;" "&amp;C17,
"")</f>
        <v>2Q CFN17138W</v>
      </c>
      <c r="I17" s="58" t="s">
        <v>16</v>
      </c>
      <c r="J17" s="61">
        <v>1</v>
      </c>
      <c r="K17" s="62"/>
      <c r="L17" s="63"/>
      <c r="M17" s="64"/>
      <c r="N17" s="63"/>
      <c r="O17" s="65">
        <v>79.5</v>
      </c>
      <c r="P17" s="65">
        <v>59.5</v>
      </c>
      <c r="Q17" s="65">
        <v>2</v>
      </c>
      <c r="R17" s="59">
        <v>79.5</v>
      </c>
      <c r="S17" s="59">
        <v>59.5</v>
      </c>
      <c r="T17" s="59">
        <v>2</v>
      </c>
      <c r="U17" s="93">
        <f t="shared" si="0"/>
        <v>65.697916666666671</v>
      </c>
      <c r="V17" s="99">
        <v>0.34549999999999997</v>
      </c>
      <c r="W17" s="95">
        <v>22.8</v>
      </c>
      <c r="X17" s="244" t="str">
        <f>IF(OR(E17="",C17=""),"",IF(COUNTIFS($E$15:E17,E17,$C$15:C17,C17)=1,E17&amp;" - "&amp;C17&amp;" - "&amp;SUMIFS($J$15:$J$4996,$E$15:$E$4996,E17,$C$15:$C$4996,C17)&amp;I17,""))</f>
        <v>TOPPER 2" - CFN17138W - 2Q</v>
      </c>
      <c r="Y17" s="24">
        <f>IF(COUNTIF($C$15:C19,C19)=1,ROUND(SUMIF($C:$C,C19,$W:$W),2), "")</f>
        <v>52.3</v>
      </c>
    </row>
    <row r="18" spans="1:25" s="17" customFormat="1" ht="36" customHeight="1" x14ac:dyDescent="0.2">
      <c r="A18" s="57">
        <f t="shared" si="1"/>
        <v>4</v>
      </c>
      <c r="B18" s="57" t="str" cm="1">
        <f t="array" ref="B18">_xlfn.LET(_xlpm.r,_xlfn.XLOOKUP(1,
(TRIM([1]CODE_PRICE!$A$3:$A$2000)=TRIM($C$4))*
(TRIM([1]CODE_PRICE!$B$3:$B$2000)=TRIM(C21)),
[1]CODE_PRICE!$C$3:$C$2000,
""),
IF(OR(_xlpm.r="",_xlpm.r=0),"",_xlpm.r))</f>
        <v/>
      </c>
      <c r="C18" s="57" t="s">
        <v>99</v>
      </c>
      <c r="D18" s="57"/>
      <c r="E18" s="58" t="s">
        <v>292</v>
      </c>
      <c r="F18" s="58" t="s">
        <v>124</v>
      </c>
      <c r="G18" s="58" t="s">
        <v>224</v>
      </c>
      <c r="H18" s="60" t="str">
        <f>IF(COUNTIFS($C$15:C18,C18,$I$15:I18,I18)=1,
SUMIFS($J$15:$J$43,$C$15:$C$43,C18,$I$15:$I$43,I18)&amp;I18&amp;" "&amp;C18,
"")</f>
        <v/>
      </c>
      <c r="I18" s="58" t="s">
        <v>16</v>
      </c>
      <c r="J18" s="61">
        <v>1</v>
      </c>
      <c r="K18" s="62"/>
      <c r="L18" s="63"/>
      <c r="M18" s="64"/>
      <c r="N18" s="63"/>
      <c r="O18" s="65">
        <v>79.5</v>
      </c>
      <c r="P18" s="65">
        <v>59.5</v>
      </c>
      <c r="Q18" s="65">
        <v>2</v>
      </c>
      <c r="R18" s="59">
        <v>79.5</v>
      </c>
      <c r="S18" s="59">
        <v>59.5</v>
      </c>
      <c r="T18" s="59">
        <v>2</v>
      </c>
      <c r="U18" s="154">
        <f t="shared" si="0"/>
        <v>65.697916666666671</v>
      </c>
      <c r="V18" s="99">
        <v>0.34549999999999997</v>
      </c>
      <c r="W18" s="95">
        <v>22.8</v>
      </c>
      <c r="X18" s="244" t="str">
        <f>IF(OR(E18="",C18=""),"",IF(COUNTIFS($E$15:E18,E18,$C$15:C18,C18)=1,E18&amp;" - "&amp;C18&amp;" - "&amp;SUMIFS($J$15:$J$4996,$E$15:$E$4996,E18,$C$15:$C$4996,C18)&amp;I18,""))</f>
        <v/>
      </c>
      <c r="Y18" s="157">
        <f>IF(COUNTIF($C$15:C21,C21)=1,ROUND(SUMIF($C:$C,C21,$W:$W),2), "")</f>
        <v>39.659999999999997</v>
      </c>
    </row>
    <row r="19" spans="1:25" s="17" customFormat="1" ht="36" customHeight="1" x14ac:dyDescent="0.2">
      <c r="A19" s="57">
        <f t="shared" si="1"/>
        <v>5</v>
      </c>
      <c r="B19" s="57" t="str" cm="1">
        <f t="array" ref="B19">_xlfn.LET(_xlpm.r,_xlfn.XLOOKUP(1,
(TRIM([1]CODE_PRICE!$A$3:$A$2000)=TRIM($C$4))*
(TRIM([1]CODE_PRICE!$B$3:$B$2000)=TRIM(C23)),
[1]CODE_PRICE!$C$3:$C$2000,
""),
IF(OR(_xlpm.r="",_xlpm.r=0),"",_xlpm.r))</f>
        <v/>
      </c>
      <c r="C19" s="57" t="s">
        <v>101</v>
      </c>
      <c r="D19" s="57"/>
      <c r="E19" s="58" t="s">
        <v>292</v>
      </c>
      <c r="F19" s="58" t="s">
        <v>124</v>
      </c>
      <c r="G19" s="58" t="s">
        <v>224</v>
      </c>
      <c r="H19" s="60" t="str">
        <f>IF(COUNTIFS($C$15:C19,C19,$I$15:I19,I19)=1,
SUMIFS($J$15:$J$43,$C$15:$C$43,C19,$I$15:$I$43,I19)&amp;I19&amp;" "&amp;C19,
"")</f>
        <v>2Q CFN35180W</v>
      </c>
      <c r="I19" s="58" t="s">
        <v>16</v>
      </c>
      <c r="J19" s="61">
        <v>1</v>
      </c>
      <c r="K19" s="62"/>
      <c r="L19" s="63"/>
      <c r="M19" s="64"/>
      <c r="N19" s="63"/>
      <c r="O19" s="65">
        <v>73.5</v>
      </c>
      <c r="P19" s="65">
        <v>37.5</v>
      </c>
      <c r="Q19" s="65">
        <v>2</v>
      </c>
      <c r="R19" s="59">
        <v>79.5</v>
      </c>
      <c r="S19" s="59">
        <v>59.5</v>
      </c>
      <c r="T19" s="59">
        <v>2</v>
      </c>
      <c r="U19" s="154">
        <f t="shared" si="0"/>
        <v>65.697916666666671</v>
      </c>
      <c r="V19" s="94">
        <v>0.39639999999999997</v>
      </c>
      <c r="W19" s="155">
        <v>26.15</v>
      </c>
      <c r="X19" s="244" t="str">
        <f>IF(OR(E19="",C19=""),"",IF(COUNTIFS($E$15:E19,E19,$C$15:C19,C19)=1,E19&amp;" - "&amp;C19&amp;" - "&amp;SUMIFS($J$15:$J$4996,$E$15:$E$4996,E19,$C$15:$C$4996,C19)&amp;I19,""))</f>
        <v>TOPPER 2" - CFN35180W - 2Q</v>
      </c>
      <c r="Y19" s="157">
        <f>IF(COUNTIF($C$15:C23,C23)=1,ROUND(SUMIF($C:$C,C23,$W:$W),2), "")</f>
        <v>29.44</v>
      </c>
    </row>
    <row r="20" spans="1:25" s="17" customFormat="1" ht="36" customHeight="1" x14ac:dyDescent="0.2">
      <c r="A20" s="57">
        <f t="shared" si="1"/>
        <v>6</v>
      </c>
      <c r="B20" s="57"/>
      <c r="C20" s="57" t="s">
        <v>101</v>
      </c>
      <c r="D20" s="57"/>
      <c r="E20" s="58" t="s">
        <v>292</v>
      </c>
      <c r="F20" s="58" t="s">
        <v>124</v>
      </c>
      <c r="G20" s="58" t="s">
        <v>224</v>
      </c>
      <c r="H20" s="60" t="str">
        <f>IF(COUNTIFS($C$15:C20,C20,$I$15:I20,I20)=1,
SUMIFS($J$15:$J$43,$C$15:$C$43,C20,$I$15:$I$43,I20)&amp;I20&amp;" "&amp;C20,
"")</f>
        <v/>
      </c>
      <c r="I20" s="58" t="s">
        <v>16</v>
      </c>
      <c r="J20" s="61">
        <v>1</v>
      </c>
      <c r="K20" s="62"/>
      <c r="L20" s="63"/>
      <c r="M20" s="64"/>
      <c r="N20" s="63"/>
      <c r="O20" s="65">
        <v>73.5</v>
      </c>
      <c r="P20" s="65">
        <v>37.5</v>
      </c>
      <c r="Q20" s="65">
        <v>2</v>
      </c>
      <c r="R20" s="59">
        <v>79.5</v>
      </c>
      <c r="S20" s="59">
        <v>59.5</v>
      </c>
      <c r="T20" s="59">
        <v>2</v>
      </c>
      <c r="U20" s="154">
        <f t="shared" si="0"/>
        <v>65.697916666666671</v>
      </c>
      <c r="V20" s="94">
        <v>0.39639999999999997</v>
      </c>
      <c r="W20" s="155">
        <v>26.15</v>
      </c>
      <c r="X20" s="244" t="str">
        <f>IF(OR(E20="",C20=""),"",IF(COUNTIFS($E$15:E20,E20,$C$15:C20,C20)=1,E20&amp;" - "&amp;C20&amp;" - "&amp;SUMIFS($J$15:$J$4996,$E$15:$E$4996,E20,$C$15:$C$4996,C20)&amp;I20,""))</f>
        <v/>
      </c>
      <c r="Y20" s="157"/>
    </row>
    <row r="21" spans="1:25" s="17" customFormat="1" ht="36" customHeight="1" x14ac:dyDescent="0.2">
      <c r="A21" s="57">
        <f t="shared" si="1"/>
        <v>7</v>
      </c>
      <c r="B21" s="57"/>
      <c r="C21" s="57" t="s">
        <v>45</v>
      </c>
      <c r="D21" s="57"/>
      <c r="E21" s="58" t="s">
        <v>292</v>
      </c>
      <c r="F21" s="58" t="s">
        <v>124</v>
      </c>
      <c r="G21" s="58" t="s">
        <v>224</v>
      </c>
      <c r="H21" s="60" t="str">
        <f>IF(COUNTIFS($C$15:C21,C21,$I$15:I21,I21)=1,
SUMIFS($J$15:$J$43,$C$15:$C$43,C21,$I$15:$I$43,I21)&amp;I21&amp;" "&amp;C21,
"")</f>
        <v>2Q CFN28112W</v>
      </c>
      <c r="I21" s="58" t="s">
        <v>16</v>
      </c>
      <c r="J21" s="61">
        <v>1</v>
      </c>
      <c r="K21" s="62"/>
      <c r="L21" s="63"/>
      <c r="M21" s="64"/>
      <c r="N21" s="63"/>
      <c r="O21" s="65">
        <v>73.5</v>
      </c>
      <c r="P21" s="65">
        <v>37.5</v>
      </c>
      <c r="Q21" s="65">
        <v>2</v>
      </c>
      <c r="R21" s="59">
        <v>79.5</v>
      </c>
      <c r="S21" s="59">
        <v>59.5</v>
      </c>
      <c r="T21" s="59">
        <v>2</v>
      </c>
      <c r="U21" s="154">
        <f t="shared" si="0"/>
        <v>65.697916666666671</v>
      </c>
      <c r="V21" s="94">
        <v>0.30059999999999998</v>
      </c>
      <c r="W21" s="155">
        <v>19.829999999999998</v>
      </c>
      <c r="X21" s="244" t="str">
        <f>IF(OR(E21="",C21=""),"",IF(COUNTIFS($E$15:E21,E21,$C$15:C21,C21)=1,E21&amp;" - "&amp;C21&amp;" - "&amp;SUMIFS($J$15:$J$4996,$E$15:$E$4996,E21,$C$15:$C$4996,C21)&amp;I21,""))</f>
        <v>TOPPER 2" - CFN28112W - 2Q</v>
      </c>
      <c r="Y21" s="157"/>
    </row>
    <row r="22" spans="1:25" s="17" customFormat="1" ht="36" customHeight="1" x14ac:dyDescent="0.2">
      <c r="A22" s="57">
        <f t="shared" si="1"/>
        <v>8</v>
      </c>
      <c r="B22" s="57"/>
      <c r="C22" s="57" t="s">
        <v>45</v>
      </c>
      <c r="D22" s="57"/>
      <c r="E22" s="58" t="s">
        <v>292</v>
      </c>
      <c r="F22" s="58" t="s">
        <v>124</v>
      </c>
      <c r="G22" s="58" t="s">
        <v>224</v>
      </c>
      <c r="H22" s="60" t="str">
        <f>IF(COUNTIFS($C$15:C22,C22,$I$15:I22,I22)=1,
SUMIFS($J$15:$J$43,$C$15:$C$43,C22,$I$15:$I$43,I22)&amp;I22&amp;" "&amp;C22,
"")</f>
        <v/>
      </c>
      <c r="I22" s="58" t="s">
        <v>16</v>
      </c>
      <c r="J22" s="61">
        <v>1</v>
      </c>
      <c r="K22" s="62"/>
      <c r="L22" s="63"/>
      <c r="M22" s="64"/>
      <c r="N22" s="63"/>
      <c r="O22" s="65">
        <v>73.5</v>
      </c>
      <c r="P22" s="65">
        <v>37.5</v>
      </c>
      <c r="Q22" s="65">
        <v>2</v>
      </c>
      <c r="R22" s="59">
        <v>79.5</v>
      </c>
      <c r="S22" s="59">
        <v>59.5</v>
      </c>
      <c r="T22" s="59">
        <v>2</v>
      </c>
      <c r="U22" s="154">
        <f t="shared" si="0"/>
        <v>65.697916666666671</v>
      </c>
      <c r="V22" s="94">
        <v>0.30059999999999998</v>
      </c>
      <c r="W22" s="155">
        <v>19.829999999999998</v>
      </c>
      <c r="X22" s="244" t="str">
        <f>IF(OR(E22="",C22=""),"",IF(COUNTIFS($E$15:E22,E22,$C$15:C22,C22)=1,E22&amp;" - "&amp;C22&amp;" - "&amp;SUMIFS($J$15:$J$4996,$E$15:$E$4996,E22,$C$15:$C$4996,C22)&amp;I22,""))</f>
        <v/>
      </c>
      <c r="Y22" s="157"/>
    </row>
    <row r="23" spans="1:25" s="17" customFormat="1" ht="36" customHeight="1" x14ac:dyDescent="0.2">
      <c r="A23" s="57">
        <f t="shared" si="1"/>
        <v>9</v>
      </c>
      <c r="B23" s="57"/>
      <c r="C23" s="57" t="s">
        <v>182</v>
      </c>
      <c r="D23" s="57"/>
      <c r="E23" s="58" t="s">
        <v>292</v>
      </c>
      <c r="F23" s="58" t="s">
        <v>124</v>
      </c>
      <c r="G23" s="58" t="s">
        <v>224</v>
      </c>
      <c r="H23" s="60" t="str">
        <f>IF(COUNTIFS($C$15:C23,C23,$I$15:I23,I23)=1,
SUMIFS($J$15:$J$43,$C$15:$C$43,C23,$I$15:$I$43,I23)&amp;I23&amp;" "&amp;C23,
"")</f>
        <v>2T CFN50150W</v>
      </c>
      <c r="I23" s="58" t="s">
        <v>12</v>
      </c>
      <c r="J23" s="61">
        <v>1</v>
      </c>
      <c r="K23" s="62"/>
      <c r="L23" s="63"/>
      <c r="M23" s="64"/>
      <c r="N23" s="63"/>
      <c r="O23" s="65">
        <v>73.5</v>
      </c>
      <c r="P23" s="65">
        <v>37.5</v>
      </c>
      <c r="Q23" s="65">
        <v>2</v>
      </c>
      <c r="R23" s="59">
        <v>73.5</v>
      </c>
      <c r="S23" s="59">
        <v>37.5</v>
      </c>
      <c r="T23" s="59">
        <v>2</v>
      </c>
      <c r="U23" s="154">
        <f t="shared" si="0"/>
        <v>38.28125</v>
      </c>
      <c r="V23" s="94">
        <v>0.38290000000000002</v>
      </c>
      <c r="W23" s="155">
        <v>14.72</v>
      </c>
      <c r="X23" s="244" t="str">
        <f>IF(OR(E23="",C23=""),"",IF(COUNTIFS($E$15:E23,E23,$C$15:C23,C23)=1,E23&amp;" - "&amp;C23&amp;" - "&amp;SUMIFS($J$15:$J$4996,$E$15:$E$4996,E23,$C$15:$C$4996,C23)&amp;I23,""))</f>
        <v>TOPPER 2" - CFN50150W - 2T</v>
      </c>
      <c r="Y23" s="157"/>
    </row>
    <row r="24" spans="1:25" s="17" customFormat="1" ht="36" customHeight="1" x14ac:dyDescent="0.2">
      <c r="A24" s="57">
        <f t="shared" si="1"/>
        <v>10</v>
      </c>
      <c r="B24" s="57"/>
      <c r="C24" s="57" t="s">
        <v>182</v>
      </c>
      <c r="D24" s="57"/>
      <c r="E24" s="58" t="s">
        <v>292</v>
      </c>
      <c r="F24" s="58" t="s">
        <v>124</v>
      </c>
      <c r="G24" s="58" t="s">
        <v>224</v>
      </c>
      <c r="H24" s="60" t="str">
        <f>IF(COUNTIFS($C$15:C24,C24,$I$15:I24,I24)=1,
SUMIFS($J$15:$J$43,$C$15:$C$43,C24,$I$15:$I$43,I24)&amp;I24&amp;" "&amp;C24,
"")</f>
        <v/>
      </c>
      <c r="I24" s="58" t="s">
        <v>12</v>
      </c>
      <c r="J24" s="61">
        <v>1</v>
      </c>
      <c r="K24" s="62"/>
      <c r="L24" s="63"/>
      <c r="M24" s="64"/>
      <c r="N24" s="63"/>
      <c r="O24" s="65">
        <v>73.5</v>
      </c>
      <c r="P24" s="65">
        <v>37.5</v>
      </c>
      <c r="Q24" s="65">
        <v>2</v>
      </c>
      <c r="R24" s="59">
        <v>73.5</v>
      </c>
      <c r="S24" s="59">
        <v>37.5</v>
      </c>
      <c r="T24" s="59">
        <v>2</v>
      </c>
      <c r="U24" s="154">
        <f t="shared" si="0"/>
        <v>38.28125</v>
      </c>
      <c r="V24" s="94">
        <v>0.38290000000000002</v>
      </c>
      <c r="W24" s="155">
        <v>14.72</v>
      </c>
      <c r="X24" s="244" t="str">
        <f>IF(OR(E24="",C24=""),"",IF(COUNTIFS($E$15:E24,E24,$C$15:C24,C24)=1,E24&amp;" - "&amp;C24&amp;" - "&amp;SUMIFS($J$15:$J$4996,$E$15:$E$4996,E24,$C$15:$C$4996,C24)&amp;I24,""))</f>
        <v/>
      </c>
      <c r="Y24" s="103"/>
    </row>
    <row r="25" spans="1:25" s="17" customFormat="1" ht="36" hidden="1" customHeight="1" x14ac:dyDescent="0.2">
      <c r="A25" s="57"/>
      <c r="B25" s="57"/>
      <c r="C25" s="57"/>
      <c r="D25" s="57" t="str" cm="1">
        <f t="array" ref="D25">IFERROR(
_xlfn.XLOOKUP(1,
([1]CODE_PRICE!$A$2:$A$1000=$A$8)*
([1]CODE_PRICE!$B$2:$B$1000=C25),
[1]CODE_PRICE!$C$2:$C$1000
),
"")</f>
        <v/>
      </c>
      <c r="E25" s="58"/>
      <c r="F25" s="58"/>
      <c r="G25" s="59"/>
      <c r="H25" s="60"/>
      <c r="I25" s="58"/>
      <c r="J25" s="61"/>
      <c r="K25" s="62"/>
      <c r="L25" s="63"/>
      <c r="M25" s="64"/>
      <c r="N25" s="63"/>
      <c r="O25" s="65"/>
      <c r="P25" s="65"/>
      <c r="Q25" s="65"/>
      <c r="R25" s="66"/>
      <c r="S25" s="59"/>
      <c r="T25" s="59"/>
      <c r="U25" s="93"/>
      <c r="V25" s="99"/>
      <c r="W25" s="95"/>
      <c r="X25" s="59" t="str">
        <f>IF(OR(E25="",C25=""),"",IF(COUNTIFS($E$15:E25,E25,$C$15:C25,C25)=1,E25&amp;" - "&amp;C25&amp;" - "&amp;SUMIFS($J$15:$J$4996,$E$15:$E$4996,E25,$C$15:$C$4996,C25)&amp;I25&amp;" - "&amp;TEXT(SUMIFS($U$15:$U$4996,$E$15:$E$4996,E25,$C$15:$C$4996,C25),"0.00")&amp;" Bf",""))</f>
        <v/>
      </c>
      <c r="Y25" s="103" t="str">
        <f>IF(COUNTIF($C$15:C25,C25)=1,ROUND(SUMIF($C:$C,C25,$W:$W),2), "")</f>
        <v/>
      </c>
    </row>
    <row r="26" spans="1:25" s="17" customFormat="1" ht="36" hidden="1" customHeight="1" x14ac:dyDescent="0.2">
      <c r="A26" s="57"/>
      <c r="B26" s="57"/>
      <c r="C26" s="57"/>
      <c r="D26" s="57" t="str" cm="1">
        <f t="array" ref="D26">IFERROR(
_xlfn.XLOOKUP(1,
([1]CODE_PRICE!$A$2:$A$1000=$A$8)*
([1]CODE_PRICE!$B$2:$B$1000=C26),
[1]CODE_PRICE!$C$2:$C$1000
),
"")</f>
        <v/>
      </c>
      <c r="E26" s="58"/>
      <c r="F26" s="58"/>
      <c r="G26" s="59"/>
      <c r="H26" s="60"/>
      <c r="I26" s="58"/>
      <c r="J26" s="61"/>
      <c r="K26" s="62"/>
      <c r="L26" s="63"/>
      <c r="M26" s="64"/>
      <c r="N26" s="63"/>
      <c r="O26" s="65"/>
      <c r="P26" s="65"/>
      <c r="Q26" s="65"/>
      <c r="R26" s="66"/>
      <c r="S26" s="59"/>
      <c r="T26" s="59"/>
      <c r="U26" s="93"/>
      <c r="V26" s="99"/>
      <c r="W26" s="95"/>
      <c r="X26" s="59" t="str">
        <f>IF(OR(E26="",C26=""),"",IF(COUNTIFS($E$15:E26,E26,$C$15:C26,C26)=1,E26&amp;" - "&amp;C26&amp;" - "&amp;SUMIFS($J$15:$J$4996,$E$15:$E$4996,E26,$C$15:$C$4996,C26)&amp;I26&amp;" - "&amp;TEXT(SUMIFS($U$15:$U$4996,$E$15:$E$4996,E26,$C$15:$C$4996,C26),"0.00")&amp;" Bf",""))</f>
        <v/>
      </c>
      <c r="Y26" s="103" t="str">
        <f>IF(COUNTIF($C$15:C26,C26)=1,ROUND(SUMIF($C:$C,C26,$W:$W),2), "")</f>
        <v/>
      </c>
    </row>
    <row r="27" spans="1:25" s="17" customFormat="1" ht="36" hidden="1" customHeight="1" x14ac:dyDescent="0.2">
      <c r="A27" s="57"/>
      <c r="B27" s="57"/>
      <c r="C27" s="57"/>
      <c r="D27" s="57" t="str" cm="1">
        <f t="array" ref="D27">IFERROR(
_xlfn.XLOOKUP(1,
([1]CODE_PRICE!$A$2:$A$1000=$A$8)*
([1]CODE_PRICE!$B$2:$B$1000=C27),
[1]CODE_PRICE!$C$2:$C$1000
),
"")</f>
        <v/>
      </c>
      <c r="E27" s="58"/>
      <c r="F27" s="58"/>
      <c r="G27" s="59"/>
      <c r="H27" s="60"/>
      <c r="I27" s="58"/>
      <c r="J27" s="61"/>
      <c r="K27" s="62"/>
      <c r="L27" s="63"/>
      <c r="M27" s="64"/>
      <c r="N27" s="63"/>
      <c r="O27" s="65"/>
      <c r="P27" s="65"/>
      <c r="Q27" s="65"/>
      <c r="R27" s="66"/>
      <c r="S27" s="59"/>
      <c r="T27" s="59"/>
      <c r="U27" s="93"/>
      <c r="V27" s="99"/>
      <c r="W27" s="95"/>
      <c r="X27" s="59" t="str">
        <f>IF(OR(E27="",C27=""),"",IF(COUNTIFS($E$15:E27,E27,$C$15:C27,C27)=1,E27&amp;" - "&amp;C27&amp;" - "&amp;SUMIFS($J$15:$J$4996,$E$15:$E$4996,E27,$C$15:$C$4996,C27)&amp;I27&amp;" - "&amp;TEXT(SUMIFS($U$15:$U$4996,$E$15:$E$4996,E27,$C$15:$C$4996,C27),"0.00")&amp;" Bf",""))</f>
        <v/>
      </c>
      <c r="Y27" s="103" t="str">
        <f>IF(COUNTIF($C$15:C27,C27)=1,ROUND(SUMIF($C:$C,C27,$W:$W),2), "")</f>
        <v/>
      </c>
    </row>
    <row r="28" spans="1:25" s="17" customFormat="1" ht="36" hidden="1" customHeight="1" x14ac:dyDescent="0.2">
      <c r="A28" s="57"/>
      <c r="B28" s="57"/>
      <c r="C28" s="57"/>
      <c r="D28" s="57" t="str" cm="1">
        <f t="array" ref="D28">IFERROR(
_xlfn.XLOOKUP(1,
([1]CODE_PRICE!$A$2:$A$1000=$A$8)*
([1]CODE_PRICE!$B$2:$B$1000=C28),
[1]CODE_PRICE!$C$2:$C$1000
),
"")</f>
        <v/>
      </c>
      <c r="E28" s="58"/>
      <c r="F28" s="58"/>
      <c r="G28" s="59"/>
      <c r="H28" s="60"/>
      <c r="I28" s="58"/>
      <c r="J28" s="61"/>
      <c r="K28" s="62"/>
      <c r="L28" s="63"/>
      <c r="M28" s="64"/>
      <c r="N28" s="63"/>
      <c r="O28" s="65"/>
      <c r="P28" s="65"/>
      <c r="Q28" s="65"/>
      <c r="R28" s="66"/>
      <c r="S28" s="59"/>
      <c r="T28" s="59"/>
      <c r="U28" s="93"/>
      <c r="V28" s="99"/>
      <c r="W28" s="95"/>
      <c r="X28" s="59" t="str">
        <f>IF(OR(E28="",C28=""),"",IF(COUNTIFS($E$15:E28,E28,$C$15:C28,C28)=1,E28&amp;" - "&amp;C28&amp;" - "&amp;SUMIFS($J$15:$J$4996,$E$15:$E$4996,E28,$C$15:$C$4996,C28)&amp;I28&amp;" - "&amp;TEXT(SUMIFS($U$15:$U$4996,$E$15:$E$4996,E28,$C$15:$C$4996,C28),"0.00")&amp;" Bf",""))</f>
        <v/>
      </c>
      <c r="Y28" s="103" t="str">
        <f>IF(COUNTIF($C$15:C28,C28)=1,ROUND(SUMIF($C:$C,C28,$W:$W),2), "")</f>
        <v/>
      </c>
    </row>
    <row r="29" spans="1:25" s="17" customFormat="1" ht="36" hidden="1" customHeight="1" x14ac:dyDescent="0.2">
      <c r="A29" s="57"/>
      <c r="B29" s="57"/>
      <c r="C29" s="57"/>
      <c r="D29" s="57" t="str" cm="1">
        <f t="array" ref="D29">IFERROR(
_xlfn.XLOOKUP(1,
([1]CODE_PRICE!$A$2:$A$1000=$A$8)*
([1]CODE_PRICE!$B$2:$B$1000=C29),
[1]CODE_PRICE!$C$2:$C$1000
),
"")</f>
        <v/>
      </c>
      <c r="E29" s="58"/>
      <c r="F29" s="58"/>
      <c r="G29" s="59"/>
      <c r="H29" s="60"/>
      <c r="I29" s="58"/>
      <c r="J29" s="61"/>
      <c r="K29" s="62"/>
      <c r="L29" s="63"/>
      <c r="M29" s="64"/>
      <c r="N29" s="63"/>
      <c r="O29" s="65"/>
      <c r="P29" s="65"/>
      <c r="Q29" s="65"/>
      <c r="R29" s="66"/>
      <c r="S29" s="59"/>
      <c r="T29" s="59"/>
      <c r="U29" s="93"/>
      <c r="V29" s="99"/>
      <c r="W29" s="95"/>
      <c r="X29" s="59" t="str">
        <f>IF(OR(E29="",C29=""),"",IF(COUNTIFS($E$15:E29,E29,$C$15:C29,C29)=1,E29&amp;" - "&amp;C29&amp;" - "&amp;SUMIFS($J$15:$J$4996,$E$15:$E$4996,E29,$C$15:$C$4996,C29)&amp;I29&amp;" - "&amp;TEXT(SUMIFS($U$15:$U$4996,$E$15:$E$4996,E29,$C$15:$C$4996,C29),"0.00")&amp;" Bf",""))</f>
        <v/>
      </c>
      <c r="Y29" s="103" t="str">
        <f>IF(COUNTIF($C$15:C29,C29)=1,ROUND(SUMIF($C:$C,C29,$W:$W),2), "")</f>
        <v/>
      </c>
    </row>
    <row r="30" spans="1:25" s="17" customFormat="1" ht="36" hidden="1" customHeight="1" x14ac:dyDescent="0.2">
      <c r="A30" s="57"/>
      <c r="B30" s="57"/>
      <c r="C30" s="57"/>
      <c r="D30" s="57" t="str" cm="1">
        <f t="array" ref="D30">IFERROR(
_xlfn.XLOOKUP(1,
([1]CODE_PRICE!$A$2:$A$1000=$A$8)*
([1]CODE_PRICE!$B$2:$B$1000=C30),
[1]CODE_PRICE!$C$2:$C$1000
),
"")</f>
        <v/>
      </c>
      <c r="E30" s="58"/>
      <c r="F30" s="58"/>
      <c r="G30" s="59"/>
      <c r="H30" s="60"/>
      <c r="I30" s="58"/>
      <c r="J30" s="61"/>
      <c r="K30" s="62"/>
      <c r="L30" s="63"/>
      <c r="M30" s="64"/>
      <c r="N30" s="63"/>
      <c r="O30" s="65"/>
      <c r="P30" s="65"/>
      <c r="Q30" s="65"/>
      <c r="R30" s="66"/>
      <c r="S30" s="59"/>
      <c r="T30" s="59"/>
      <c r="U30" s="93"/>
      <c r="V30" s="99"/>
      <c r="W30" s="95"/>
      <c r="X30" s="59" t="str">
        <f>IF(OR(E30="",C30=""),"",IF(COUNTIFS($E$15:E30,E30,$C$15:C30,C30)=1,E30&amp;" - "&amp;C30&amp;" - "&amp;SUMIFS($J$15:$J$4996,$E$15:$E$4996,E30,$C$15:$C$4996,C30)&amp;I30&amp;" - "&amp;TEXT(SUMIFS($U$15:$U$4996,$E$15:$E$4996,E30,$C$15:$C$4996,C30),"0.00")&amp;" Bf",""))</f>
        <v/>
      </c>
      <c r="Y30" s="103" t="str">
        <f>IF(COUNTIF($C$15:C30,C30)=1,ROUND(SUMIF($C:$C,C30,$W:$W),2), "")</f>
        <v/>
      </c>
    </row>
    <row r="31" spans="1:25" s="17" customFormat="1" ht="41.25" hidden="1" customHeight="1" x14ac:dyDescent="0.2">
      <c r="A31" s="57"/>
      <c r="B31" s="57"/>
      <c r="C31" s="57"/>
      <c r="D31" s="57" t="str" cm="1">
        <f t="array" ref="D31">IFERROR(
_xlfn.XLOOKUP(1,
([1]CODE_PRICE!$A$2:$A$1000=$A$8)*
([1]CODE_PRICE!$B$2:$B$1000=C31),
[1]CODE_PRICE!$C$2:$C$1000
),
"")</f>
        <v/>
      </c>
      <c r="E31" s="58"/>
      <c r="F31" s="58"/>
      <c r="G31" s="59"/>
      <c r="H31" s="60"/>
      <c r="I31" s="58"/>
      <c r="J31" s="61"/>
      <c r="K31" s="62"/>
      <c r="L31" s="63"/>
      <c r="M31" s="64"/>
      <c r="N31" s="63"/>
      <c r="O31" s="65"/>
      <c r="P31" s="65"/>
      <c r="Q31" s="65"/>
      <c r="R31" s="66"/>
      <c r="S31" s="59"/>
      <c r="T31" s="59"/>
      <c r="U31" s="93"/>
      <c r="V31" s="94"/>
      <c r="W31" s="95"/>
      <c r="X31" s="59" t="str">
        <f>IF(OR(E31="",C31=""),"",IF(COUNTIFS($E$15:E31,E31,$C$15:C31,C31)=1,E31&amp;" - "&amp;C31&amp;" - "&amp;SUMIFS($J$15:$J$4996,$E$15:$E$4996,E31,$C$15:$C$4996,C31)&amp;I31&amp;" - "&amp;TEXT(SUMIFS($U$15:$U$4996,$E$15:$E$4996,E31,$C$15:$C$4996,C31),"0.00")&amp;" Bf",""))</f>
        <v/>
      </c>
      <c r="Y31" s="24" t="str">
        <f>IF(COUNTIF($C$15:C31,C31)=1,ROUND(SUMIF($C:$C,C31,$W:$W),2), "")</f>
        <v/>
      </c>
    </row>
    <row r="32" spans="1:25" s="17" customFormat="1" ht="41.25" hidden="1" customHeight="1" x14ac:dyDescent="0.2">
      <c r="A32" s="57"/>
      <c r="B32" s="57"/>
      <c r="C32" s="57"/>
      <c r="D32" s="57" t="str" cm="1">
        <f t="array" ref="D32">IFERROR(
_xlfn.XLOOKUP(1,
([1]CODE_PRICE!$A$2:$A$1000=$A$8)*
([1]CODE_PRICE!$B$2:$B$1000=C32),
[1]CODE_PRICE!$C$2:$C$1000
),
"")</f>
        <v/>
      </c>
      <c r="E32" s="58"/>
      <c r="F32" s="58"/>
      <c r="G32" s="59"/>
      <c r="H32" s="60"/>
      <c r="I32" s="58"/>
      <c r="J32" s="61"/>
      <c r="K32" s="62"/>
      <c r="L32" s="63"/>
      <c r="M32" s="64"/>
      <c r="N32" s="63"/>
      <c r="O32" s="65"/>
      <c r="P32" s="65"/>
      <c r="Q32" s="65"/>
      <c r="R32" s="66"/>
      <c r="S32" s="59"/>
      <c r="T32" s="59"/>
      <c r="U32" s="93"/>
      <c r="V32" s="94"/>
      <c r="W32" s="95"/>
      <c r="X32" s="59" t="str">
        <f>IF(OR(E32="",C32=""),"",IF(COUNTIFS($E$15:E32,E32,$C$15:C32,C32)=1,E32&amp;" - "&amp;C32&amp;" - "&amp;SUMIFS($J$15:$J$4996,$E$15:$E$4996,E32,$C$15:$C$4996,C32)&amp;I32&amp;" - "&amp;TEXT(SUMIFS($U$15:$U$4996,$E$15:$E$4996,E32,$C$15:$C$4996,C32),"0.00")&amp;" Bf",""))</f>
        <v/>
      </c>
      <c r="Y32" s="24" t="str">
        <f>IF(COUNTIF($C$15:C32,C32)=1,ROUND(SUMIF($C:$C,C32,$W:$W),2), "")</f>
        <v/>
      </c>
    </row>
    <row r="33" spans="1:33" s="17" customFormat="1" ht="41.25" hidden="1" customHeight="1" x14ac:dyDescent="0.2">
      <c r="A33" s="57"/>
      <c r="B33" s="57"/>
      <c r="C33" s="57"/>
      <c r="D33" s="57" t="str" cm="1">
        <f t="array" ref="D33">IFERROR(
_xlfn.XLOOKUP(1,
([1]CODE_PRICE!$A$2:$A$1000=$A$8)*
([1]CODE_PRICE!$B$2:$B$1000=C33),
[1]CODE_PRICE!$C$2:$C$1000
),
"")</f>
        <v/>
      </c>
      <c r="E33" s="58"/>
      <c r="F33" s="58"/>
      <c r="G33" s="59"/>
      <c r="H33" s="60"/>
      <c r="I33" s="58"/>
      <c r="J33" s="61"/>
      <c r="K33" s="62"/>
      <c r="L33" s="63"/>
      <c r="M33" s="64"/>
      <c r="N33" s="63"/>
      <c r="O33" s="65"/>
      <c r="P33" s="65"/>
      <c r="Q33" s="65"/>
      <c r="R33" s="66"/>
      <c r="S33" s="59"/>
      <c r="T33" s="59"/>
      <c r="U33" s="93"/>
      <c r="V33" s="94"/>
      <c r="W33" s="95"/>
      <c r="X33" s="59" t="str">
        <f>IF(OR(E33="",C33=""),"",IF(COUNTIFS($E$15:E33,E33,$C$15:C33,C33)=1,E33&amp;" - "&amp;C33&amp;" - "&amp;SUMIFS($J$15:$J$4996,$E$15:$E$4996,E33,$C$15:$C$4996,C33)&amp;I33&amp;" - "&amp;TEXT(SUMIFS($U$15:$U$4996,$E$15:$E$4996,E33,$C$15:$C$4996,C33),"0.00")&amp;" Bf",""))</f>
        <v/>
      </c>
      <c r="Y33" s="24" t="str">
        <f>IF(COUNTIF($C$15:C33,C33)=1,ROUND(SUMIF($C:$C,C33,$W:$W),2), "")</f>
        <v/>
      </c>
    </row>
    <row r="34" spans="1:33" s="17" customFormat="1" ht="41.25" hidden="1" customHeight="1" x14ac:dyDescent="0.2">
      <c r="A34" s="57"/>
      <c r="B34" s="57"/>
      <c r="C34" s="57"/>
      <c r="D34" s="57" t="str" cm="1">
        <f t="array" ref="D34">IFERROR(
_xlfn.XLOOKUP(1,
([1]CODE_PRICE!$A$2:$A$1000=$A$8)*
([1]CODE_PRICE!$B$2:$B$1000=C34),
[1]CODE_PRICE!$C$2:$C$1000
),
"")</f>
        <v/>
      </c>
      <c r="E34" s="58"/>
      <c r="F34" s="58"/>
      <c r="G34" s="59"/>
      <c r="H34" s="60"/>
      <c r="I34" s="58"/>
      <c r="J34" s="61"/>
      <c r="K34" s="62"/>
      <c r="L34" s="63"/>
      <c r="M34" s="64"/>
      <c r="N34" s="63"/>
      <c r="O34" s="65"/>
      <c r="P34" s="65"/>
      <c r="Q34" s="65"/>
      <c r="R34" s="66"/>
      <c r="S34" s="59"/>
      <c r="T34" s="59"/>
      <c r="U34" s="93"/>
      <c r="V34" s="94"/>
      <c r="W34" s="95"/>
      <c r="X34" s="59" t="str">
        <f>IF(OR(E34="",C34=""),"",IF(COUNTIFS($E$15:E34,E34,$C$15:C34,C34)=1,E34&amp;" - "&amp;C34&amp;" - "&amp;SUMIFS($J$15:$J$4996,$E$15:$E$4996,E34,$C$15:$C$4996,C34)&amp;I34&amp;" - "&amp;TEXT(SUMIFS($U$15:$U$4996,$E$15:$E$4996,E34,$C$15:$C$4996,C34),"0.00")&amp;" Bf",""))</f>
        <v/>
      </c>
      <c r="Y34" s="24" t="str">
        <f>IF(COUNTIF($C$15:C34,C34)=1,ROUND(SUMIF($C:$C,C34,$W:$W),2), "")</f>
        <v/>
      </c>
    </row>
    <row r="35" spans="1:33" s="17" customFormat="1" ht="41.25" hidden="1" customHeight="1" x14ac:dyDescent="0.2">
      <c r="A35" s="57"/>
      <c r="B35" s="57"/>
      <c r="C35" s="57"/>
      <c r="D35" s="57" t="str" cm="1">
        <f t="array" ref="D35">IFERROR(
_xlfn.XLOOKUP(1,
([1]CODE_PRICE!$A$2:$A$1000=$A$8)*
([1]CODE_PRICE!$B$2:$B$1000=C35),
[1]CODE_PRICE!$C$2:$C$1000
),
"")</f>
        <v/>
      </c>
      <c r="E35" s="58"/>
      <c r="F35" s="58"/>
      <c r="G35" s="59"/>
      <c r="H35" s="60"/>
      <c r="I35" s="58"/>
      <c r="J35" s="61"/>
      <c r="K35" s="62"/>
      <c r="L35" s="63"/>
      <c r="M35" s="64"/>
      <c r="N35" s="63"/>
      <c r="O35" s="65"/>
      <c r="P35" s="65"/>
      <c r="Q35" s="65"/>
      <c r="R35" s="66"/>
      <c r="S35" s="59"/>
      <c r="T35" s="59"/>
      <c r="U35" s="93"/>
      <c r="V35" s="94"/>
      <c r="W35" s="95"/>
      <c r="X35" s="59" t="str">
        <f>IF(OR(E35="",C35=""),"",IF(COUNTIFS($E$15:E35,E35,$C$15:C35,C35)=1,E35&amp;" - "&amp;C35&amp;" - "&amp;SUMIFS($J$15:$J$4996,$E$15:$E$4996,E35,$C$15:$C$4996,C35)&amp;I35&amp;" - "&amp;TEXT(SUMIFS($U$15:$U$4996,$E$15:$E$4996,E35,$C$15:$C$4996,C35),"0.00")&amp;" Bf",""))</f>
        <v/>
      </c>
      <c r="Y35" s="24" t="str">
        <f>IF(COUNTIF($C$15:C35,C35)=1,ROUND(SUMIF($C:$C,C35,$W:$W),2), "")</f>
        <v/>
      </c>
    </row>
    <row r="36" spans="1:33" s="17" customFormat="1" ht="41.25" hidden="1" customHeight="1" x14ac:dyDescent="0.2">
      <c r="A36" s="57"/>
      <c r="B36" s="57"/>
      <c r="C36" s="57"/>
      <c r="D36" s="57" t="str" cm="1">
        <f t="array" ref="D36">IFERROR(
_xlfn.XLOOKUP(1,
([1]CODE_PRICE!$A$2:$A$1000=$A$8)*
([1]CODE_PRICE!$B$2:$B$1000=C36),
[1]CODE_PRICE!$C$2:$C$1000
),
"")</f>
        <v/>
      </c>
      <c r="E36" s="58"/>
      <c r="F36" s="58"/>
      <c r="G36" s="59"/>
      <c r="H36" s="60"/>
      <c r="I36" s="58"/>
      <c r="J36" s="61"/>
      <c r="K36" s="62"/>
      <c r="L36" s="63" t="str" cm="1">
        <f t="array" ref="L36">IF(F36="untrim",_xlfn.XLOOKUP(1,(TRIM('[1]SIZE GUIDE'!$A$3:$A$2007)=TRIM(F36))*(TRIM('[1]SIZE GUIDE'!$B$3:$B$2007)=TRIM(G36))*(TRIM('[1]SIZE GUIDE'!$C$3:$C$2007)=TRIM(I36)),'[1]SIZE GUIDE'!$D$3:$D$2007),"")</f>
        <v/>
      </c>
      <c r="M36" s="64"/>
      <c r="N36" s="63"/>
      <c r="O36" s="65" t="str" cm="1">
        <f t="array" ref="O36">IF(F36="trim",_xlfn.XLOOKUP(1,(TRIM('[1]SIZE GUIDE'!$A$3:$A$2007)=TRIM(F36))*(TRIM('[1]SIZE GUIDE'!$B$3:$B$2007)=TRIM(G36))*(TRIM('[1]SIZE GUIDE'!$C$3:$C$2007)=TRIM(I36)),'[1]SIZE GUIDE'!$D$3:$D$2007),"")</f>
        <v/>
      </c>
      <c r="P36" s="65" t="str" cm="1">
        <f t="array" ref="P36">IF(F36="trim",IFERROR(INDEX('[1]SIZE GUIDE'!$E:$E,MATCH(1,('[1]SIZE GUIDE'!$A:$A=$F36)*('[1]SIZE GUIDE'!$B:$B=$G36)*('[1]SIZE GUIDE'!$C:$C=$I36),0)),""),"")</f>
        <v/>
      </c>
      <c r="Q36" s="65"/>
      <c r="R36" s="66" t="str">
        <f t="shared" ref="R36:R43" si="2">IF(F36="untrim",L36-1.5,O36)</f>
        <v/>
      </c>
      <c r="S36" s="59"/>
      <c r="T36" s="59"/>
      <c r="U36" s="93"/>
      <c r="V36" s="94"/>
      <c r="W36" s="95"/>
      <c r="X36" s="59" t="str">
        <f>IF(OR(E36="",C36=""),"",IF(COUNTIFS($E$15:E36,E36,$C$15:C36,C36)=1,E36&amp;" - "&amp;C36&amp;" - "&amp;SUMIFS($J$15:$J$4996,$E$15:$E$4996,E36,$C$15:$C$4996,C36)&amp;I36&amp;" - "&amp;TEXT(SUMIFS($U$15:$U$4996,$E$15:$E$4996,E36,$C$15:$C$4996,C36),"0.00")&amp;" Bf",""))</f>
        <v/>
      </c>
      <c r="Y36" s="24" t="str">
        <f>IF(COUNTIF($C$15:C36,C36)=1,ROUND(SUMIF($C:$C,C36,$W:$W),2), "")</f>
        <v/>
      </c>
    </row>
    <row r="37" spans="1:33" s="17" customFormat="1" ht="41.25" hidden="1" customHeight="1" x14ac:dyDescent="0.2">
      <c r="A37" s="57"/>
      <c r="B37" s="57"/>
      <c r="C37" s="57"/>
      <c r="D37" s="57" t="str" cm="1">
        <f t="array" ref="D37">IFERROR(
_xlfn.XLOOKUP(1,
([1]CODE_PRICE!$A$2:$A$1000=$A$8)*
([1]CODE_PRICE!$B$2:$B$1000=C37),
[1]CODE_PRICE!$C$2:$C$1000
),
"")</f>
        <v/>
      </c>
      <c r="E37" s="58"/>
      <c r="F37" s="58"/>
      <c r="G37" s="59"/>
      <c r="H37" s="60"/>
      <c r="I37" s="58"/>
      <c r="J37" s="61"/>
      <c r="K37" s="62"/>
      <c r="L37" s="63" t="str" cm="1">
        <f t="array" ref="L37">IF(F37="untrim",_xlfn.XLOOKUP(1,(TRIM('[1]SIZE GUIDE'!$A$3:$A$2007)=TRIM(F37))*(TRIM('[1]SIZE GUIDE'!$B$3:$B$2007)=TRIM(G37))*(TRIM('[1]SIZE GUIDE'!$C$3:$C$2007)=TRIM(I37)),'[1]SIZE GUIDE'!$D$3:$D$2007),"")</f>
        <v/>
      </c>
      <c r="M37" s="64"/>
      <c r="N37" s="63"/>
      <c r="O37" s="65" t="str" cm="1">
        <f t="array" ref="O37">IF(F37="trim",_xlfn.XLOOKUP(1,(TRIM('[1]SIZE GUIDE'!$A$3:$A$2007)=TRIM(F37))*(TRIM('[1]SIZE GUIDE'!$B$3:$B$2007)=TRIM(G37))*(TRIM('[1]SIZE GUIDE'!$C$3:$C$2007)=TRIM(I37)),'[1]SIZE GUIDE'!$D$3:$D$2007),"")</f>
        <v/>
      </c>
      <c r="P37" s="65" t="str" cm="1">
        <f t="array" ref="P37">IF(F37="trim",IFERROR(INDEX('[1]SIZE GUIDE'!$E:$E,MATCH(1,('[1]SIZE GUIDE'!$A:$A=$F37)*('[1]SIZE GUIDE'!$B:$B=$G37)*('[1]SIZE GUIDE'!$C:$C=$I37),0)),""),"")</f>
        <v/>
      </c>
      <c r="Q37" s="65"/>
      <c r="R37" s="66" t="str">
        <f t="shared" si="2"/>
        <v/>
      </c>
      <c r="S37" s="59"/>
      <c r="T37" s="59"/>
      <c r="U37" s="93"/>
      <c r="V37" s="94"/>
      <c r="W37" s="95"/>
      <c r="X37" s="59" t="str">
        <f>IF(OR(E37="",C37=""),"",IF(COUNTIFS($E$15:E37,E37,$C$15:C37,C37)=1,E37&amp;" - "&amp;C37&amp;" - "&amp;SUMIFS($J$15:$J$4996,$E$15:$E$4996,E37,$C$15:$C$4996,C37)&amp;I37&amp;" - "&amp;TEXT(SUMIFS($U$15:$U$4996,$E$15:$E$4996,E37,$C$15:$C$4996,C37),"0.00")&amp;" Bf",""))</f>
        <v/>
      </c>
      <c r="Y37" s="24" t="str">
        <f>IF(COUNTIF($C$15:C37,C37)=1,ROUND(SUMIF($C:$C,C37,$W:$W),2), "")</f>
        <v/>
      </c>
    </row>
    <row r="38" spans="1:33" s="17" customFormat="1" ht="41.25" hidden="1" customHeight="1" x14ac:dyDescent="0.2">
      <c r="A38" s="57"/>
      <c r="B38" s="57"/>
      <c r="C38" s="57"/>
      <c r="D38" s="57" t="str" cm="1">
        <f t="array" ref="D38">IFERROR(
_xlfn.XLOOKUP(1,
([1]CODE_PRICE!$A$2:$A$1000=$A$8)*
([1]CODE_PRICE!$B$2:$B$1000=C38),
[1]CODE_PRICE!$C$2:$C$1000
),
"")</f>
        <v/>
      </c>
      <c r="E38" s="58"/>
      <c r="F38" s="58"/>
      <c r="G38" s="59"/>
      <c r="H38" s="60"/>
      <c r="I38" s="58"/>
      <c r="J38" s="61"/>
      <c r="K38" s="62"/>
      <c r="L38" s="63" t="str" cm="1">
        <f t="array" ref="L38">IF(F38="untrim",_xlfn.XLOOKUP(1,(TRIM('[1]SIZE GUIDE'!$A$3:$A$2007)=TRIM(F38))*(TRIM('[1]SIZE GUIDE'!$B$3:$B$2007)=TRIM(G38))*(TRIM('[1]SIZE GUIDE'!$C$3:$C$2007)=TRIM(I38)),'[1]SIZE GUIDE'!$D$3:$D$2007),"")</f>
        <v/>
      </c>
      <c r="M38" s="64"/>
      <c r="N38" s="63"/>
      <c r="O38" s="65" t="str" cm="1">
        <f t="array" ref="O38">IF(F38="trim",_xlfn.XLOOKUP(1,(TRIM('[1]SIZE GUIDE'!$A$3:$A$2007)=TRIM(F38))*(TRIM('[1]SIZE GUIDE'!$B$3:$B$2007)=TRIM(G38))*(TRIM('[1]SIZE GUIDE'!$C$3:$C$2007)=TRIM(I38)),'[1]SIZE GUIDE'!$D$3:$D$2007),"")</f>
        <v/>
      </c>
      <c r="P38" s="65" t="str" cm="1">
        <f t="array" ref="P38">IF(F38="trim",IFERROR(INDEX('[1]SIZE GUIDE'!$E:$E,MATCH(1,('[1]SIZE GUIDE'!$A:$A=$F38)*('[1]SIZE GUIDE'!$B:$B=$G38)*('[1]SIZE GUIDE'!$C:$C=$I38),0)),""),"")</f>
        <v/>
      </c>
      <c r="Q38" s="65"/>
      <c r="R38" s="66" t="str">
        <f t="shared" si="2"/>
        <v/>
      </c>
      <c r="S38" s="59"/>
      <c r="T38" s="59"/>
      <c r="U38" s="93"/>
      <c r="V38" s="94"/>
      <c r="W38" s="95"/>
      <c r="X38" s="59" t="str">
        <f>IF(OR(E38="",C38=""),"",IF(COUNTIFS($E$15:E38,E38,$C$15:C38,C38)=1,E38&amp;" - "&amp;C38&amp;" - "&amp;SUMIFS($J$15:$J$4996,$E$15:$E$4996,E38,$C$15:$C$4996,C38)&amp;I38&amp;" - "&amp;TEXT(SUMIFS($U$15:$U$4996,$E$15:$E$4996,E38,$C$15:$C$4996,C38),"0.00")&amp;" Bf",""))</f>
        <v/>
      </c>
      <c r="Y38" s="24" t="str">
        <f>IF(COUNTIF($C$15:C38,C38)=1,ROUND(SUMIF($C:$C,C38,$W:$W),2), "")</f>
        <v/>
      </c>
    </row>
    <row r="39" spans="1:33" s="17" customFormat="1" ht="41.25" hidden="1" customHeight="1" x14ac:dyDescent="0.2">
      <c r="A39" s="57"/>
      <c r="B39" s="57"/>
      <c r="C39" s="57"/>
      <c r="D39" s="57" t="str" cm="1">
        <f t="array" ref="D39">IFERROR(
_xlfn.XLOOKUP(1,
([1]CODE_PRICE!$A$2:$A$1000=$A$8)*
([1]CODE_PRICE!$B$2:$B$1000=C39),
[1]CODE_PRICE!$C$2:$C$1000
),
"")</f>
        <v/>
      </c>
      <c r="E39" s="58"/>
      <c r="F39" s="58"/>
      <c r="G39" s="59"/>
      <c r="H39" s="60"/>
      <c r="I39" s="58"/>
      <c r="J39" s="61"/>
      <c r="K39" s="62"/>
      <c r="L39" s="63" t="str" cm="1">
        <f t="array" ref="L39">IF(F39="untrim",_xlfn.XLOOKUP(1,(TRIM('[1]SIZE GUIDE'!$A$3:$A$2007)=TRIM(F39))*(TRIM('[1]SIZE GUIDE'!$B$3:$B$2007)=TRIM(G39))*(TRIM('[1]SIZE GUIDE'!$C$3:$C$2007)=TRIM(I39)),'[1]SIZE GUIDE'!$D$3:$D$2007),"")</f>
        <v/>
      </c>
      <c r="M39" s="64"/>
      <c r="N39" s="63"/>
      <c r="O39" s="65" t="str" cm="1">
        <f t="array" ref="O39">IF(F39="trim",_xlfn.XLOOKUP(1,(TRIM('[1]SIZE GUIDE'!$A$3:$A$2007)=TRIM(F39))*(TRIM('[1]SIZE GUIDE'!$B$3:$B$2007)=TRIM(G39))*(TRIM('[1]SIZE GUIDE'!$C$3:$C$2007)=TRIM(I39)),'[1]SIZE GUIDE'!$D$3:$D$2007),"")</f>
        <v/>
      </c>
      <c r="P39" s="65" t="str" cm="1">
        <f t="array" ref="P39">IF(F39="trim",IFERROR(INDEX('[1]SIZE GUIDE'!$E:$E,MATCH(1,('[1]SIZE GUIDE'!$A:$A=$F39)*('[1]SIZE GUIDE'!$B:$B=$G39)*('[1]SIZE GUIDE'!$C:$C=$I39),0)),""),"")</f>
        <v/>
      </c>
      <c r="Q39" s="65"/>
      <c r="R39" s="66" t="str">
        <f t="shared" si="2"/>
        <v/>
      </c>
      <c r="S39" s="59"/>
      <c r="T39" s="59"/>
      <c r="U39" s="93"/>
      <c r="V39" s="94"/>
      <c r="W39" s="95"/>
      <c r="X39" s="59" t="str">
        <f>IF(OR(E39="",C39=""),"",IF(COUNTIFS($E$15:E39,E39,$C$15:C39,C39)=1,E39&amp;" - "&amp;C39&amp;" - "&amp;SUMIFS($J$15:$J$4996,$E$15:$E$4996,E39,$C$15:$C$4996,C39)&amp;I39&amp;" - "&amp;TEXT(SUMIFS($U$15:$U$4996,$E$15:$E$4996,E39,$C$15:$C$4996,C39),"0.00")&amp;" Bf",""))</f>
        <v/>
      </c>
      <c r="Y39" s="24" t="str">
        <f>IF(COUNTIF($C$15:C39,C39)=1,ROUND(SUMIF($C:$C,C39,$W:$W),2), "")</f>
        <v/>
      </c>
    </row>
    <row r="40" spans="1:33" s="17" customFormat="1" ht="41.25" hidden="1" customHeight="1" x14ac:dyDescent="0.2">
      <c r="A40" s="57"/>
      <c r="B40" s="57"/>
      <c r="C40" s="57"/>
      <c r="D40" s="57" t="str" cm="1">
        <f t="array" ref="D40">IFERROR(
_xlfn.XLOOKUP(1,
([1]CODE_PRICE!$A$2:$A$1000=$A$8)*
([1]CODE_PRICE!$B$2:$B$1000=C40),
[1]CODE_PRICE!$C$2:$C$1000
),
"")</f>
        <v/>
      </c>
      <c r="E40" s="58"/>
      <c r="F40" s="58"/>
      <c r="G40" s="59"/>
      <c r="H40" s="60"/>
      <c r="I40" s="58"/>
      <c r="J40" s="61"/>
      <c r="K40" s="62"/>
      <c r="L40" s="63" t="str" cm="1">
        <f t="array" ref="L40">IF(F40="untrim",_xlfn.XLOOKUP(1,(TRIM('[1]SIZE GUIDE'!$A$3:$A$2007)=TRIM(F40))*(TRIM('[1]SIZE GUIDE'!$B$3:$B$2007)=TRIM(G40))*(TRIM('[1]SIZE GUIDE'!$C$3:$C$2007)=TRIM(I40)),'[1]SIZE GUIDE'!$D$3:$D$2007),"")</f>
        <v/>
      </c>
      <c r="M40" s="64"/>
      <c r="N40" s="63"/>
      <c r="O40" s="65" t="str" cm="1">
        <f t="array" ref="O40">IF(F40="trim",_xlfn.XLOOKUP(1,(TRIM('[1]SIZE GUIDE'!$A$3:$A$2007)=TRIM(F40))*(TRIM('[1]SIZE GUIDE'!$B$3:$B$2007)=TRIM(G40))*(TRIM('[1]SIZE GUIDE'!$C$3:$C$2007)=TRIM(I40)),'[1]SIZE GUIDE'!$D$3:$D$2007),"")</f>
        <v/>
      </c>
      <c r="P40" s="65" t="str" cm="1">
        <f t="array" ref="P40">IF(F40="trim",IFERROR(INDEX('[1]SIZE GUIDE'!$E:$E,MATCH(1,('[1]SIZE GUIDE'!$A:$A=$F40)*('[1]SIZE GUIDE'!$B:$B=$G40)*('[1]SIZE GUIDE'!$C:$C=$I40),0)),""),"")</f>
        <v/>
      </c>
      <c r="Q40" s="65"/>
      <c r="R40" s="66" t="str">
        <f t="shared" si="2"/>
        <v/>
      </c>
      <c r="S40" s="59"/>
      <c r="T40" s="59"/>
      <c r="U40" s="93"/>
      <c r="V40" s="94"/>
      <c r="W40" s="95"/>
      <c r="X40" s="59" t="str">
        <f>IF(OR(E40="",C40=""),"",IF(COUNTIFS($E$15:E40,E40,$C$15:C40,C40)=1,E40&amp;" - "&amp;C40&amp;" - "&amp;SUMIFS($J$15:$J$4996,$E$15:$E$4996,E40,$C$15:$C$4996,C40)&amp;I40&amp;" - "&amp;TEXT(SUMIFS($U$15:$U$4996,$E$15:$E$4996,E40,$C$15:$C$4996,C40),"0.00")&amp;" Bf",""))</f>
        <v/>
      </c>
      <c r="Y40" s="24" t="str">
        <f>IF(COUNTIF($C$15:C40,C40)=1,ROUND(SUMIF($C:$C,C40,$W:$W),2), "")</f>
        <v/>
      </c>
    </row>
    <row r="41" spans="1:33" s="17" customFormat="1" ht="41.25" hidden="1" customHeight="1" x14ac:dyDescent="0.2">
      <c r="A41" s="57"/>
      <c r="B41" s="57"/>
      <c r="C41" s="57"/>
      <c r="D41" s="57" t="str" cm="1">
        <f t="array" ref="D41">IFERROR(
_xlfn.XLOOKUP(1,
([1]CODE_PRICE!$A$2:$A$1000=$A$8)*
([1]CODE_PRICE!$B$2:$B$1000=C41),
[1]CODE_PRICE!$C$2:$C$1000
),
"")</f>
        <v/>
      </c>
      <c r="E41" s="58"/>
      <c r="F41" s="58"/>
      <c r="G41" s="59"/>
      <c r="H41" s="60"/>
      <c r="I41" s="58"/>
      <c r="J41" s="61"/>
      <c r="K41" s="62"/>
      <c r="L41" s="63" t="str" cm="1">
        <f t="array" ref="L41">IF(F41="untrim",_xlfn.XLOOKUP(1,(TRIM('[1]SIZE GUIDE'!$A$3:$A$2007)=TRIM(F41))*(TRIM('[1]SIZE GUIDE'!$B$3:$B$2007)=TRIM(G41))*(TRIM('[1]SIZE GUIDE'!$C$3:$C$2007)=TRIM(I41)),'[1]SIZE GUIDE'!$D$3:$D$2007),"")</f>
        <v/>
      </c>
      <c r="M41" s="64"/>
      <c r="N41" s="63"/>
      <c r="O41" s="65" t="str" cm="1">
        <f t="array" ref="O41">IF(F41="trim",_xlfn.XLOOKUP(1,(TRIM('[1]SIZE GUIDE'!$A$3:$A$2007)=TRIM(F41))*(TRIM('[1]SIZE GUIDE'!$B$3:$B$2007)=TRIM(G41))*(TRIM('[1]SIZE GUIDE'!$C$3:$C$2007)=TRIM(I41)),'[1]SIZE GUIDE'!$D$3:$D$2007),"")</f>
        <v/>
      </c>
      <c r="P41" s="65" t="str" cm="1">
        <f t="array" ref="P41">IF(F41="trim",IFERROR(INDEX('[1]SIZE GUIDE'!$E:$E,MATCH(1,('[1]SIZE GUIDE'!$A:$A=$F41)*('[1]SIZE GUIDE'!$B:$B=$G41)*('[1]SIZE GUIDE'!$C:$C=$I41),0)),""),"")</f>
        <v/>
      </c>
      <c r="Q41" s="65"/>
      <c r="R41" s="66" t="str">
        <f t="shared" si="2"/>
        <v/>
      </c>
      <c r="S41" s="59"/>
      <c r="T41" s="59"/>
      <c r="U41" s="93"/>
      <c r="V41" s="94"/>
      <c r="W41" s="95"/>
      <c r="X41" s="59" t="str">
        <f>IF(OR(E41="",C41=""),"",IF(COUNTIFS($E$15:E41,E41,$C$15:C41,C41)=1,E41&amp;" - "&amp;C41&amp;" - "&amp;SUMIFS($J$15:$J$4996,$E$15:$E$4996,E41,$C$15:$C$4996,C41)&amp;I41&amp;" - "&amp;TEXT(SUMIFS($U$15:$U$4996,$E$15:$E$4996,E41,$C$15:$C$4996,C41),"0.00")&amp;" Bf",""))</f>
        <v/>
      </c>
      <c r="Y41" s="24" t="str">
        <f>IF(COUNTIF($C$15:C41,C41)=1,ROUND(SUMIF($C:$C,C41,$W:$W),2), "")</f>
        <v/>
      </c>
    </row>
    <row r="42" spans="1:33" s="17" customFormat="1" ht="41.25" hidden="1" customHeight="1" x14ac:dyDescent="0.2">
      <c r="A42" s="57"/>
      <c r="B42" s="57"/>
      <c r="C42" s="57"/>
      <c r="D42" s="57" t="str" cm="1">
        <f t="array" ref="D42">IFERROR(
_xlfn.XLOOKUP(1,
([1]CODE_PRICE!$A$2:$A$1000=$A$8)*
([1]CODE_PRICE!$B$2:$B$1000=C42),
[1]CODE_PRICE!$C$2:$C$1000
),
"")</f>
        <v/>
      </c>
      <c r="E42" s="58"/>
      <c r="F42" s="58"/>
      <c r="G42" s="59"/>
      <c r="H42" s="60"/>
      <c r="I42" s="58"/>
      <c r="J42" s="61"/>
      <c r="K42" s="62"/>
      <c r="L42" s="63" t="str" cm="1">
        <f t="array" ref="L42">IF(F42="untrim",_xlfn.XLOOKUP(1,(TRIM('[1]SIZE GUIDE'!$A$3:$A$2007)=TRIM(F42))*(TRIM('[1]SIZE GUIDE'!$B$3:$B$2007)=TRIM(G42))*(TRIM('[1]SIZE GUIDE'!$C$3:$C$2007)=TRIM(I42)),'[1]SIZE GUIDE'!$D$3:$D$2007),"")</f>
        <v/>
      </c>
      <c r="M42" s="64"/>
      <c r="N42" s="63"/>
      <c r="O42" s="65" t="str" cm="1">
        <f t="array" ref="O42">IF(F42="trim",_xlfn.XLOOKUP(1,(TRIM('[1]SIZE GUIDE'!$A$3:$A$2007)=TRIM(F42))*(TRIM('[1]SIZE GUIDE'!$B$3:$B$2007)=TRIM(G42))*(TRIM('[1]SIZE GUIDE'!$C$3:$C$2007)=TRIM(I42)),'[1]SIZE GUIDE'!$D$3:$D$2007),"")</f>
        <v/>
      </c>
      <c r="P42" s="65" t="str" cm="1">
        <f t="array" ref="P42">IF(F42="trim",IFERROR(INDEX('[1]SIZE GUIDE'!$E:$E,MATCH(1,('[1]SIZE GUIDE'!$A:$A=$F42)*('[1]SIZE GUIDE'!$B:$B=$G42)*('[1]SIZE GUIDE'!$C:$C=$I42),0)),""),"")</f>
        <v/>
      </c>
      <c r="Q42" s="65"/>
      <c r="R42" s="66" t="str">
        <f t="shared" si="2"/>
        <v/>
      </c>
      <c r="S42" s="59"/>
      <c r="T42" s="59"/>
      <c r="U42" s="93"/>
      <c r="V42" s="94"/>
      <c r="W42" s="95"/>
      <c r="X42" s="59" t="str">
        <f>IF(OR(E42="",C42=""),"",IF(COUNTIFS($E$15:E42,E42,$C$15:C42,C42)=1,E42&amp;" - "&amp;C42&amp;" - "&amp;SUMIFS($J$15:$J$4996,$E$15:$E$4996,E42,$C$15:$C$4996,C42)&amp;I42&amp;" - "&amp;TEXT(SUMIFS($U$15:$U$4996,$E$15:$E$4996,E42,$C$15:$C$4996,C42),"0.00")&amp;" Bf",""))</f>
        <v/>
      </c>
      <c r="Y42" s="24" t="str">
        <f>IF(COUNTIF($C$15:C42,C42)=1,ROUND(SUMIF($C:$C,C42,$W:$W),2), "")</f>
        <v/>
      </c>
    </row>
    <row r="43" spans="1:33" s="17" customFormat="1" ht="41.25" hidden="1" customHeight="1" x14ac:dyDescent="0.2">
      <c r="A43" s="57"/>
      <c r="B43" s="57"/>
      <c r="C43" s="57"/>
      <c r="D43" s="57" t="str" cm="1">
        <f t="array" ref="D43">IFERROR(
_xlfn.XLOOKUP(1,
([1]CODE_PRICE!$A$2:$A$1000=$A$8)*
([1]CODE_PRICE!$B$2:$B$1000=C43),
[1]CODE_PRICE!$C$2:$C$1000
),
"")</f>
        <v/>
      </c>
      <c r="E43" s="58"/>
      <c r="F43" s="58"/>
      <c r="G43" s="59"/>
      <c r="H43" s="60"/>
      <c r="I43" s="58"/>
      <c r="J43" s="61"/>
      <c r="K43" s="62"/>
      <c r="L43" s="63" t="str" cm="1">
        <f t="array" ref="L43">IF(F43="untrim",_xlfn.XLOOKUP(1,(TRIM('[1]SIZE GUIDE'!$A$3:$A$2007)=TRIM(F43))*(TRIM('[1]SIZE GUIDE'!$B$3:$B$2007)=TRIM(G43))*(TRIM('[1]SIZE GUIDE'!$C$3:$C$2007)=TRIM(I43)),'[1]SIZE GUIDE'!$D$3:$D$2007),"")</f>
        <v/>
      </c>
      <c r="M43" s="64"/>
      <c r="N43" s="63"/>
      <c r="O43" s="65" t="str" cm="1">
        <f t="array" ref="O43">IF(F43="trim",_xlfn.XLOOKUP(1,(TRIM('[1]SIZE GUIDE'!$A$3:$A$2007)=TRIM(F43))*(TRIM('[1]SIZE GUIDE'!$B$3:$B$2007)=TRIM(G43))*(TRIM('[1]SIZE GUIDE'!$C$3:$C$2007)=TRIM(I43)),'[1]SIZE GUIDE'!$D$3:$D$2007),"")</f>
        <v/>
      </c>
      <c r="P43" s="65" t="str" cm="1">
        <f t="array" ref="P43">IF(F43="trim",IFERROR(INDEX('[1]SIZE GUIDE'!$E:$E,MATCH(1,('[1]SIZE GUIDE'!$A:$A=$F43)*('[1]SIZE GUIDE'!$B:$B=$G43)*('[1]SIZE GUIDE'!$C:$C=$I43),0)),""),"")</f>
        <v/>
      </c>
      <c r="Q43" s="65"/>
      <c r="R43" s="66" t="str">
        <f t="shared" si="2"/>
        <v/>
      </c>
      <c r="S43" s="59"/>
      <c r="T43" s="59"/>
      <c r="U43" s="93"/>
      <c r="V43" s="94"/>
      <c r="W43" s="95"/>
      <c r="X43" s="59" t="str">
        <f>IF(OR(E43="",C43=""),"",IF(COUNTIFS($E$15:E43,E43,$C$15:C43,C43)=1,E43&amp;" - "&amp;C43&amp;" - "&amp;SUMIFS($J$15:$J$4996,$E$15:$E$4996,E43,$C$15:$C$4996,C43)&amp;I43&amp;" - "&amp;TEXT(SUMIFS($U$15:$U$4996,$E$15:$E$4996,E43,$C$15:$C$4996,C43),"0.00")&amp;" Bf",""))</f>
        <v/>
      </c>
      <c r="Y43" s="24" t="str">
        <f>IF(COUNTIF($C$15:C43,C43)=1,ROUND(SUMIF($C:$C,C43,$W:$W),2), "")</f>
        <v/>
      </c>
    </row>
    <row r="44" spans="1:33" s="17" customFormat="1" ht="41.25" customHeight="1" thickBot="1" x14ac:dyDescent="0.25">
      <c r="A44" s="53"/>
      <c r="B44" s="53"/>
      <c r="C44" s="53"/>
      <c r="D44" s="53" t="str" cm="1">
        <f t="array" ref="D44">IFERROR(
_xlfn.XLOOKUP(1,
([1]CODE_PRICE!$A$2:$A$1000=$A$8)*
([1]CODE_PRICE!$B$2:$B$1000=C44),
[1]CODE_PRICE!$C$2:$C$1000
),
"")</f>
        <v/>
      </c>
      <c r="E44" s="53"/>
      <c r="F44" s="67"/>
      <c r="G44" s="68"/>
      <c r="H44" s="68"/>
      <c r="I44" s="69" t="s">
        <v>155</v>
      </c>
      <c r="J44" s="70">
        <f>SUM(J15:J43)</f>
        <v>10</v>
      </c>
      <c r="K44" s="55"/>
      <c r="L44" s="55"/>
      <c r="M44" s="55"/>
      <c r="N44" s="55"/>
      <c r="O44" s="56"/>
      <c r="P44" s="56"/>
      <c r="Q44" s="56"/>
      <c r="R44" s="67"/>
      <c r="S44" s="67"/>
      <c r="T44" s="67"/>
      <c r="U44" s="96">
        <f>SUM(U15:U43)</f>
        <v>602.14583333333337</v>
      </c>
      <c r="V44" s="97"/>
      <c r="W44" s="92">
        <f>SUM(W15:W43)</f>
        <v>213.39999999999998</v>
      </c>
      <c r="X44" s="109"/>
      <c r="Y44" s="104">
        <f>SUM(Y15:Y43)</f>
        <v>213.4</v>
      </c>
    </row>
    <row r="45" spans="1:33" s="17" customFormat="1" ht="41.25" customHeight="1" x14ac:dyDescent="0.2">
      <c r="A45" s="57"/>
      <c r="B45" s="71"/>
      <c r="C45" s="71"/>
      <c r="D45" s="156" t="str" cm="1">
        <f t="array" ref="D45">IFERROR(
_xlfn.XLOOKUP(1,
([1]CODE_PRICE!$A$2:$A$1000=$A$8)*
([1]CODE_PRICE!$B$2:$B$1000=C45),
[1]CODE_PRICE!$C$2:$C$1000
),
"")</f>
        <v/>
      </c>
      <c r="E45" s="72"/>
      <c r="F45" s="72"/>
      <c r="G45" s="73"/>
      <c r="H45" s="74"/>
      <c r="I45" s="75" t="s">
        <v>156</v>
      </c>
      <c r="J45" s="76"/>
      <c r="K45" s="77"/>
      <c r="L45" s="78"/>
      <c r="M45" s="79"/>
      <c r="N45" s="78"/>
      <c r="O45" s="78"/>
      <c r="P45" s="78"/>
      <c r="Q45" s="78"/>
      <c r="R45" s="80"/>
      <c r="S45" s="80"/>
      <c r="T45" s="80"/>
      <c r="U45" s="81"/>
      <c r="V45" s="82"/>
      <c r="W45" s="83"/>
      <c r="X45" s="19"/>
      <c r="Y45" s="25"/>
    </row>
    <row r="46" spans="1:33" s="17" customFormat="1" ht="41.25" customHeight="1" thickBot="1" x14ac:dyDescent="0.25">
      <c r="A46" s="53"/>
      <c r="B46" s="53"/>
      <c r="C46" s="68"/>
      <c r="D46" s="68" t="str" cm="1">
        <f t="array" ref="D46">IFERROR(
_xlfn.XLOOKUP(1,
([1]CODE_PRICE!$A$2:$A$1000=$A$8)*
([1]CODE_PRICE!$B$2:$B$1000=C46),
[1]CODE_PRICE!$C$2:$C$1000
),
"")</f>
        <v/>
      </c>
      <c r="E46" s="67"/>
      <c r="F46" s="67"/>
      <c r="G46" s="67"/>
      <c r="H46" s="67"/>
      <c r="I46" s="69" t="s">
        <v>162</v>
      </c>
      <c r="J46" s="70">
        <f>J44</f>
        <v>10</v>
      </c>
      <c r="K46" s="55"/>
      <c r="L46" s="55"/>
      <c r="M46" s="55"/>
      <c r="N46" s="55"/>
      <c r="O46" s="56"/>
      <c r="P46" s="56"/>
      <c r="Q46" s="56"/>
      <c r="R46" s="67"/>
      <c r="S46" s="67"/>
      <c r="T46" s="67"/>
      <c r="U46" s="96">
        <f>U44</f>
        <v>602.14583333333337</v>
      </c>
      <c r="V46" s="97"/>
      <c r="W46" s="92">
        <f>+W44+W45</f>
        <v>213.39999999999998</v>
      </c>
      <c r="X46" s="109"/>
      <c r="Y46" s="104">
        <f>Y44</f>
        <v>213.4</v>
      </c>
    </row>
    <row r="47" spans="1:33" ht="15" customHeight="1" x14ac:dyDescent="0.25">
      <c r="A47" s="48"/>
      <c r="B47" s="48"/>
      <c r="C47" s="48"/>
      <c r="D47" s="48"/>
      <c r="E47" s="48"/>
      <c r="F47" s="48"/>
      <c r="G47" s="84"/>
      <c r="H47" s="48"/>
      <c r="I47" s="85"/>
      <c r="J47" s="85"/>
      <c r="K47" s="8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89"/>
    </row>
    <row r="48" spans="1:33" ht="15" customHeight="1" x14ac:dyDescent="0.25">
      <c r="A48" s="48" t="s">
        <v>153</v>
      </c>
      <c r="B48" s="48"/>
      <c r="C48" s="48"/>
      <c r="D48" s="48"/>
      <c r="E48" s="48"/>
      <c r="F48" s="48"/>
      <c r="G48" s="84"/>
      <c r="H48" s="48"/>
      <c r="I48" s="85"/>
      <c r="J48" s="85"/>
      <c r="K48" s="8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89"/>
      <c r="AG48" s="16" t="s">
        <v>241</v>
      </c>
    </row>
    <row r="49" spans="1:23" ht="15" customHeight="1" x14ac:dyDescent="0.25">
      <c r="A49" s="48"/>
      <c r="B49" s="48"/>
      <c r="C49" s="48"/>
      <c r="D49" s="48"/>
      <c r="E49" s="48"/>
      <c r="F49" s="48"/>
      <c r="G49" s="84"/>
      <c r="H49" s="48"/>
      <c r="I49" s="85"/>
      <c r="J49" s="85"/>
      <c r="K49" s="8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89"/>
    </row>
    <row r="50" spans="1:23" ht="15" customHeight="1" x14ac:dyDescent="0.25">
      <c r="A50" s="48" t="s">
        <v>154</v>
      </c>
      <c r="B50" s="48"/>
      <c r="C50" s="48"/>
      <c r="D50" s="48"/>
      <c r="E50" s="48"/>
      <c r="F50" s="48"/>
      <c r="G50" s="84"/>
      <c r="H50" s="48"/>
      <c r="I50" s="85"/>
      <c r="J50" s="85"/>
      <c r="K50" s="8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89"/>
    </row>
    <row r="51" spans="1:23" ht="15" customHeight="1" x14ac:dyDescent="0.25">
      <c r="A51" s="48"/>
      <c r="B51" s="48"/>
      <c r="C51" s="48"/>
      <c r="D51" s="48"/>
      <c r="E51" s="48"/>
      <c r="F51" s="48"/>
      <c r="G51" s="84"/>
      <c r="H51" s="48"/>
      <c r="I51" s="85"/>
      <c r="J51" s="85"/>
      <c r="K51" s="8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89"/>
    </row>
    <row r="52" spans="1:23" ht="15" customHeight="1" x14ac:dyDescent="0.25">
      <c r="A52" s="48"/>
      <c r="B52" s="48"/>
      <c r="C52" s="48"/>
      <c r="D52" s="48"/>
      <c r="E52" s="48"/>
      <c r="F52" s="48"/>
      <c r="G52" s="84"/>
      <c r="H52" s="48"/>
      <c r="I52" s="85"/>
      <c r="J52" s="85"/>
      <c r="K52" s="8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89"/>
    </row>
    <row r="53" spans="1:23" ht="15" customHeight="1" x14ac:dyDescent="0.25">
      <c r="A53" s="86"/>
      <c r="B53" s="318"/>
      <c r="C53" s="318"/>
      <c r="D53" s="318"/>
      <c r="E53" s="318"/>
      <c r="F53" s="318"/>
      <c r="G53" s="318"/>
      <c r="H53" s="318"/>
      <c r="I53" s="318"/>
      <c r="J53" s="318"/>
      <c r="K53" s="318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89"/>
    </row>
    <row r="54" spans="1:23" ht="15" customHeight="1" x14ac:dyDescent="0.25">
      <c r="A54" s="86"/>
      <c r="B54" s="319"/>
      <c r="C54" s="319"/>
      <c r="D54" s="319"/>
      <c r="E54" s="319"/>
      <c r="F54" s="319"/>
      <c r="G54" s="319"/>
      <c r="H54" s="319"/>
      <c r="I54" s="319"/>
      <c r="J54" s="319"/>
      <c r="K54" s="319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89"/>
    </row>
  </sheetData>
  <mergeCells count="5">
    <mergeCell ref="A7:F7"/>
    <mergeCell ref="G7:H7"/>
    <mergeCell ref="S9:T9"/>
    <mergeCell ref="B53:K53"/>
    <mergeCell ref="B54:K54"/>
  </mergeCells>
  <pageMargins left="0" right="0" top="1" bottom="1" header="0.511811023622047" footer="0.511811023622047"/>
  <pageSetup paperSize="9" scale="30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9CE3E-E2FD-4FB7-A395-66D2CBC88F6A}">
  <sheetPr codeName="Sheet25">
    <pageSetUpPr fitToPage="1"/>
  </sheetPr>
  <dimension ref="A1:Y39"/>
  <sheetViews>
    <sheetView showGridLines="0" view="pageBreakPreview" topLeftCell="A9" zoomScale="89" zoomScaleNormal="68" zoomScaleSheetLayoutView="89" workbookViewId="0">
      <selection activeCell="T26" sqref="T26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26.33203125" style="16" customWidth="1"/>
    <col min="4" max="4" width="15.1640625" style="16" hidden="1" customWidth="1"/>
    <col min="5" max="5" width="16.83203125" style="16" customWidth="1"/>
    <col min="6" max="6" width="11.83203125" style="16" customWidth="1"/>
    <col min="7" max="7" width="21.5" style="16" customWidth="1"/>
    <col min="8" max="8" width="10.6640625" style="16" customWidth="1"/>
    <col min="9" max="9" width="14" style="16" customWidth="1"/>
    <col min="10" max="16" width="10.6640625" style="16" hidden="1" customWidth="1"/>
    <col min="17" max="19" width="10.6640625" style="16" customWidth="1"/>
    <col min="20" max="21" width="14.6640625" style="16" customWidth="1"/>
    <col min="22" max="22" width="14.6640625" style="98" customWidth="1"/>
    <col min="23" max="23" width="39.83203125" style="16" customWidth="1"/>
    <col min="24" max="24" width="18.33203125" style="23" customWidth="1"/>
    <col min="25" max="28" width="8.6640625" style="16" customWidth="1"/>
    <col min="29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9"/>
      <c r="K1" s="29"/>
      <c r="L1" s="29"/>
      <c r="M1" s="29"/>
      <c r="N1" s="27"/>
      <c r="O1" s="27"/>
      <c r="P1" s="121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30"/>
      <c r="K2" s="31"/>
      <c r="L2" s="29"/>
      <c r="M2" s="32" t="s">
        <v>161</v>
      </c>
      <c r="N2" s="27"/>
      <c r="O2" s="27"/>
      <c r="P2" s="28" t="s">
        <v>160</v>
      </c>
      <c r="R2" s="20"/>
      <c r="S2" s="21"/>
      <c r="U2" s="13"/>
      <c r="V2" s="20" t="s">
        <v>151</v>
      </c>
      <c r="W2" s="20"/>
      <c r="X2" s="22"/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37"/>
      <c r="K3" s="37"/>
      <c r="L3" s="37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37"/>
      <c r="K4" s="37"/>
      <c r="L4" s="37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37"/>
      <c r="K5" s="37"/>
      <c r="L5" s="37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37"/>
      <c r="K6" s="37"/>
      <c r="L6" s="37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5"/>
      <c r="I7" s="35"/>
      <c r="J7" s="37"/>
      <c r="K7" s="37"/>
      <c r="L7" s="37"/>
      <c r="M7" s="37"/>
      <c r="N7" s="38"/>
      <c r="O7" s="38"/>
      <c r="P7" s="38"/>
      <c r="Q7" s="43" t="s">
        <v>147</v>
      </c>
      <c r="R7" s="43"/>
      <c r="S7" s="43"/>
      <c r="T7" s="43"/>
      <c r="U7" s="43"/>
      <c r="V7" s="43" t="s">
        <v>148</v>
      </c>
      <c r="W7" s="43"/>
      <c r="X7" s="43"/>
    </row>
    <row r="8" spans="1:24" ht="15" customHeight="1" x14ac:dyDescent="0.25">
      <c r="A8" s="44" t="s">
        <v>207</v>
      </c>
      <c r="B8" s="45"/>
      <c r="C8" s="45"/>
      <c r="D8" s="46"/>
      <c r="E8" s="46"/>
      <c r="F8" s="36"/>
      <c r="G8" s="46"/>
      <c r="H8" s="35"/>
      <c r="I8" s="35"/>
      <c r="J8" s="37"/>
      <c r="K8" s="37"/>
      <c r="L8" s="37"/>
      <c r="M8" s="37"/>
      <c r="N8" s="38"/>
      <c r="O8" s="38"/>
      <c r="P8" s="38"/>
      <c r="Q8" s="105" t="s">
        <v>304</v>
      </c>
      <c r="R8" s="87"/>
      <c r="S8" s="106"/>
      <c r="T8" s="46"/>
      <c r="U8" s="107"/>
      <c r="V8" s="108">
        <v>46210</v>
      </c>
      <c r="W8" s="13"/>
      <c r="X8" s="22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37"/>
      <c r="K9" s="37"/>
      <c r="L9" s="37"/>
      <c r="M9" s="37"/>
      <c r="N9" s="38"/>
      <c r="O9" s="38"/>
      <c r="P9" s="38"/>
      <c r="Q9" s="86"/>
      <c r="R9" s="320"/>
      <c r="S9" s="320"/>
      <c r="T9" s="46"/>
      <c r="U9" s="107"/>
      <c r="V9" s="33"/>
      <c r="W9" s="13"/>
      <c r="X9" s="22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37"/>
      <c r="K10" s="37"/>
      <c r="L10" s="37"/>
      <c r="M10" s="37"/>
      <c r="N10" s="38"/>
      <c r="O10" s="38"/>
      <c r="P10" s="38"/>
      <c r="Q10" s="42" t="s">
        <v>149</v>
      </c>
      <c r="R10" s="43"/>
      <c r="S10" s="43"/>
      <c r="T10" s="43"/>
      <c r="U10" s="43"/>
      <c r="V10" s="43" t="s">
        <v>150</v>
      </c>
      <c r="W10" s="43"/>
      <c r="X10" s="43"/>
    </row>
    <row r="11" spans="1:24" ht="15" customHeight="1" x14ac:dyDescent="0.25">
      <c r="A11" s="188" t="s">
        <v>288</v>
      </c>
      <c r="B11" s="34"/>
      <c r="C11" s="35"/>
      <c r="D11" s="35"/>
      <c r="E11" s="46"/>
      <c r="F11" s="46"/>
      <c r="G11" s="46"/>
      <c r="H11" s="35"/>
      <c r="I11" s="35"/>
      <c r="J11" s="37"/>
      <c r="K11" s="37"/>
      <c r="L11" s="37"/>
      <c r="M11" s="37"/>
      <c r="N11" s="38"/>
      <c r="O11" s="38"/>
      <c r="P11" s="38"/>
      <c r="Q11" s="105" t="s">
        <v>303</v>
      </c>
      <c r="R11" s="86"/>
      <c r="S11" s="86"/>
      <c r="T11" s="46"/>
      <c r="U11" s="107"/>
      <c r="V11" s="86"/>
      <c r="W11" s="13"/>
      <c r="X11" s="22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37"/>
      <c r="K12" s="37"/>
      <c r="L12" s="37"/>
      <c r="M12" s="37"/>
      <c r="N12" s="38"/>
      <c r="O12" s="38"/>
      <c r="P12" s="38"/>
      <c r="Q12" s="48"/>
      <c r="R12" s="48"/>
      <c r="S12" s="48"/>
      <c r="T12" s="48"/>
      <c r="U12" s="47"/>
      <c r="V12" s="49"/>
      <c r="W12" s="13"/>
      <c r="X12" s="22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5"/>
      <c r="K13" s="50"/>
      <c r="L13" s="50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17" customFormat="1" ht="41.25" customHeight="1" x14ac:dyDescent="0.2">
      <c r="A14" s="53" t="s">
        <v>158</v>
      </c>
      <c r="B14" s="53" t="s">
        <v>0</v>
      </c>
      <c r="C14" s="53" t="s">
        <v>1</v>
      </c>
      <c r="D14" s="54" t="s">
        <v>135</v>
      </c>
      <c r="E14" s="54" t="s">
        <v>157</v>
      </c>
      <c r="F14" s="54" t="s">
        <v>3</v>
      </c>
      <c r="G14" s="54" t="s">
        <v>152</v>
      </c>
      <c r="H14" s="54" t="s">
        <v>105</v>
      </c>
      <c r="I14" s="54" t="s">
        <v>5</v>
      </c>
      <c r="J14" s="55" t="s">
        <v>64</v>
      </c>
      <c r="K14" s="55" t="s">
        <v>136</v>
      </c>
      <c r="L14" s="55" t="s">
        <v>24</v>
      </c>
      <c r="M14" s="55" t="s">
        <v>108</v>
      </c>
      <c r="N14" s="56" t="s">
        <v>136</v>
      </c>
      <c r="O14" s="56" t="s">
        <v>24</v>
      </c>
      <c r="P14" s="122" t="s">
        <v>108</v>
      </c>
      <c r="Q14" s="54" t="s">
        <v>136</v>
      </c>
      <c r="R14" s="54" t="s">
        <v>24</v>
      </c>
      <c r="S14" s="54" t="s">
        <v>108</v>
      </c>
      <c r="T14" s="90" t="s">
        <v>159</v>
      </c>
      <c r="U14" s="91" t="s">
        <v>6</v>
      </c>
      <c r="V14" s="92" t="s">
        <v>7</v>
      </c>
      <c r="W14" s="53" t="s">
        <v>140</v>
      </c>
      <c r="X14" s="26" t="s">
        <v>141</v>
      </c>
    </row>
    <row r="15" spans="1:24" s="17" customFormat="1" ht="36" customHeight="1" x14ac:dyDescent="0.2">
      <c r="A15" s="57">
        <v>1</v>
      </c>
      <c r="B15" s="57" t="str" cm="1">
        <f t="array" ref="B15">_xlfn.LET(_xlpm.r,_xlfn.XLOOKUP(1,
(TRIM(CODE_PRICE!$A$4:$A$2003)=TRIM($C$4))*
(TRIM(CODE_PRICE!$B$4:$B$2003)=TRIM(C15)),
CODE_PRICE!$C$4:$C$2003,
""),
IF(OR(_xlpm.r="",_xlpm.r=0),"",_xlpm.r))</f>
        <v/>
      </c>
      <c r="C15" s="57" t="s">
        <v>89</v>
      </c>
      <c r="D15" s="58" t="str">
        <f>_xlfn.XLOOKUP(B15,CODE_PRICE!C:C,CODE_PRICE!D:D,"")</f>
        <v/>
      </c>
      <c r="E15" s="58" t="s">
        <v>11</v>
      </c>
      <c r="F15" s="59" t="s">
        <v>213</v>
      </c>
      <c r="G15" s="60" t="str">
        <f>IF(COUNTIFS($C$15:C15,C15,$H$15:H15,H15)=1,
SUMIFS($I$15:$I$28,$C$15:$C$28,C15,$H$15:$H$28,H15)&amp;H15&amp;" "&amp;C15,
"")</f>
        <v>10S CFN30100W</v>
      </c>
      <c r="H15" s="58" t="s">
        <v>22</v>
      </c>
      <c r="I15" s="61">
        <v>1</v>
      </c>
      <c r="J15" s="158"/>
      <c r="K15" s="158" cm="1">
        <f t="array" ref="K15">IF(E15="untrim",_xlfn.XLOOKUP(1,(TRIM('SIZE GUIDE'!$A$3:$A$2015)=TRIM(E15))*(TRIM('SIZE GUIDE'!$B$3:$B$2015)=TRIM(F15))*(TRIM('SIZE GUIDE'!$C$3:$C$2015)=TRIM(H15)),'SIZE GUIDE'!$D$3:$D$2015),"")</f>
        <v>108</v>
      </c>
      <c r="L15" s="168" cm="1">
        <f t="array" ref="L15">IF(E15="untrim",IFERROR(INDEX('SIZE GUIDE'!$E:$E,MATCH(1,('SIZE GUIDE'!$A:$A=$E15)*('SIZE GUIDE'!$B:$B=$F15)*('SIZE GUIDE'!$C:$C=$H15),0)),""),"")</f>
        <v>81</v>
      </c>
      <c r="M15" s="158">
        <v>44</v>
      </c>
      <c r="N15" s="65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65" t="str" cm="1">
        <f t="array" ref="O15">IF(E15="trim",IFERROR(INDEX('SIZE GUIDE'!$E:$E,MATCH(1,('SIZE GUIDE'!$A:$A=$E15)*('SIZE GUIDE'!$B:$B=$F15)*('SIZE GUIDE'!$C:$C=$H15),0)),""),"")</f>
        <v/>
      </c>
      <c r="P15" s="65"/>
      <c r="Q15" s="258">
        <f>K15</f>
        <v>108</v>
      </c>
      <c r="R15" s="258">
        <f>L15</f>
        <v>81</v>
      </c>
      <c r="S15" s="258">
        <f>IF(E15="untrim",M15-0.5,P15-0.5)</f>
        <v>43.5</v>
      </c>
      <c r="T15" s="93">
        <f t="shared" ref="T15:T24" si="0">IFERROR(Q15*R15*S15/144*I15,"")</f>
        <v>2642.625</v>
      </c>
      <c r="U15" s="94">
        <f>SUMIFS(CODE_PRICE!F:F,CODE_PRICE!B:B,C15,CODE_PRICE!A:A,$A$8)</f>
        <v>0.1968</v>
      </c>
      <c r="V15" s="95">
        <f>T15*U15</f>
        <v>520.06860000000006</v>
      </c>
      <c r="W15" s="102" t="str">
        <f>IF(COUNTIF($C$15:C15,C15)=1,C15 &amp; " - " &amp; TEXT(SUMIF($C:$C,C15,$T:$T),"0.00"),"")</f>
        <v>CFN30100W - 25454.25</v>
      </c>
      <c r="X15" s="103">
        <f>IF(COUNTIF($C$15:C15,C15)=1,ROUND(SUMIF($C:$C,C15,$V:$V),2), "")</f>
        <v>5009.3999999999996</v>
      </c>
    </row>
    <row r="16" spans="1:24" s="17" customFormat="1" ht="36" customHeight="1" x14ac:dyDescent="0.2">
      <c r="A16" s="57">
        <f>A15+1</f>
        <v>2</v>
      </c>
      <c r="B16" s="57" t="str" cm="1">
        <f t="array" ref="B16">_xlfn.LET(_xlpm.r,_xlfn.XLOOKUP(1,
(TRIM(CODE_PRICE!$A$4:$A$2003)=TRIM($C$4))*
(TRIM(CODE_PRICE!$B$4:$B$2003)=TRIM(C16)),
CODE_PRICE!$C$4:$C$2003,
""),
IF(OR(_xlpm.r="",_xlpm.r=0),"",_xlpm.r))</f>
        <v/>
      </c>
      <c r="C16" s="57" t="s">
        <v>89</v>
      </c>
      <c r="D16" s="58" t="str">
        <f>_xlfn.XLOOKUP(B16,CODE_PRICE!C:C,CODE_PRICE!D:D,"")</f>
        <v/>
      </c>
      <c r="E16" s="58" t="s">
        <v>11</v>
      </c>
      <c r="F16" s="59" t="s">
        <v>213</v>
      </c>
      <c r="G16" s="60" t="str">
        <f>IF(COUNTIFS($C$15:C16,C16,$H$15:H16,H16)=1,
SUMIFS($I$15:$I$28,$C$15:$C$28,C16,$H$15:$H$28,H16)&amp;H16&amp;" "&amp;C16,
"")</f>
        <v/>
      </c>
      <c r="H16" s="58" t="s">
        <v>22</v>
      </c>
      <c r="I16" s="61">
        <v>1</v>
      </c>
      <c r="J16" s="158"/>
      <c r="K16" s="158" cm="1">
        <f t="array" ref="K16">IF(E16="untrim",_xlfn.XLOOKUP(1,(TRIM('SIZE GUIDE'!$A$3:$A$2015)=TRIM(E16))*(TRIM('SIZE GUIDE'!$B$3:$B$2015)=TRIM(F16))*(TRIM('SIZE GUIDE'!$C$3:$C$2015)=TRIM(H16)),'SIZE GUIDE'!$D$3:$D$2015),"")</f>
        <v>108</v>
      </c>
      <c r="L16" s="168" cm="1">
        <f t="array" ref="L16">IF(E16="untrim",IFERROR(INDEX('SIZE GUIDE'!$E:$E,MATCH(1,('SIZE GUIDE'!$A:$A=$E16)*('SIZE GUIDE'!$B:$B=$F16)*('SIZE GUIDE'!$C:$C=$H16),0)),""),"")</f>
        <v>81</v>
      </c>
      <c r="M16" s="158">
        <v>41</v>
      </c>
      <c r="N16" s="65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65" t="str" cm="1">
        <f t="array" ref="O16">IF(E16="trim",IFERROR(INDEX('SIZE GUIDE'!$E:$E,MATCH(1,('SIZE GUIDE'!$A:$A=$E16)*('SIZE GUIDE'!$B:$B=$F16)*('SIZE GUIDE'!$C:$C=$H16),0)),""),"")</f>
        <v/>
      </c>
      <c r="P16" s="65"/>
      <c r="Q16" s="258">
        <f t="shared" ref="Q16:R24" si="1">K16</f>
        <v>108</v>
      </c>
      <c r="R16" s="258">
        <f t="shared" si="1"/>
        <v>81</v>
      </c>
      <c r="S16" s="258">
        <f>IF(E16="untrim",M16-0.5,P16-0.5)</f>
        <v>40.5</v>
      </c>
      <c r="T16" s="93">
        <f t="shared" si="0"/>
        <v>2460.375</v>
      </c>
      <c r="U16" s="94">
        <f>SUMIFS(CODE_PRICE!F:F,CODE_PRICE!B:B,C16,CODE_PRICE!A:A,$A$8)</f>
        <v>0.1968</v>
      </c>
      <c r="V16" s="95">
        <f t="shared" ref="V16:V24" si="2">T16*U16</f>
        <v>484.20179999999999</v>
      </c>
      <c r="W16" s="102" t="str">
        <f>IF(COUNTIF($C$15:C16,C16)=1,C16 &amp; " - " &amp; TEXT(SUMIF($C:$C,C16,$T:$T),"0.00"),"")</f>
        <v/>
      </c>
      <c r="X16" s="103" t="str">
        <f>IF(COUNTIF($C$15:C16,C16)=1,ROUND(SUMIF($C:$C,C16,$V:$V),2), "")</f>
        <v/>
      </c>
    </row>
    <row r="17" spans="1:24" s="17" customFormat="1" ht="36" customHeight="1" x14ac:dyDescent="0.2">
      <c r="A17" s="57">
        <f t="shared" ref="A17:A23" si="3">A16+1</f>
        <v>3</v>
      </c>
      <c r="B17" s="57" t="str" cm="1">
        <f t="array" ref="B17">_xlfn.LET(_xlpm.r,_xlfn.XLOOKUP(1,
(TRIM(CODE_PRICE!$A$4:$A$2003)=TRIM($C$4))*
(TRIM(CODE_PRICE!$B$4:$B$2003)=TRIM(C17)),
CODE_PRICE!$C$4:$C$2003,
""),
IF(OR(_xlpm.r="",_xlpm.r=0),"",_xlpm.r))</f>
        <v/>
      </c>
      <c r="C17" s="57" t="s">
        <v>89</v>
      </c>
      <c r="D17" s="58" t="str">
        <f>_xlfn.XLOOKUP(B17,CODE_PRICE!C:C,CODE_PRICE!D:D,"")</f>
        <v/>
      </c>
      <c r="E17" s="58" t="s">
        <v>11</v>
      </c>
      <c r="F17" s="59" t="s">
        <v>213</v>
      </c>
      <c r="G17" s="60" t="str">
        <f>IF(COUNTIFS($C$15:C17,C17,$H$15:H17,H17)=1,
SUMIFS($I$15:$I$28,$C$15:$C$28,C17,$H$15:$H$28,H17)&amp;H17&amp;" "&amp;C17,
"")</f>
        <v/>
      </c>
      <c r="H17" s="58" t="s">
        <v>22</v>
      </c>
      <c r="I17" s="61">
        <v>1</v>
      </c>
      <c r="J17" s="158"/>
      <c r="K17" s="158" cm="1">
        <f t="array" ref="K17">IF(E17="untrim",_xlfn.XLOOKUP(1,(TRIM('SIZE GUIDE'!$A$3:$A$2015)=TRIM(E17))*(TRIM('SIZE GUIDE'!$B$3:$B$2015)=TRIM(F17))*(TRIM('SIZE GUIDE'!$C$3:$C$2015)=TRIM(H17)),'SIZE GUIDE'!$D$3:$D$2015),"")</f>
        <v>108</v>
      </c>
      <c r="L17" s="168" cm="1">
        <f t="array" ref="L17">IF(E17="untrim",IFERROR(INDEX('SIZE GUIDE'!$E:$E,MATCH(1,('SIZE GUIDE'!$A:$A=$E17)*('SIZE GUIDE'!$B:$B=$F17)*('SIZE GUIDE'!$C:$C=$H17),0)),""),"")</f>
        <v>81</v>
      </c>
      <c r="M17" s="158">
        <v>45</v>
      </c>
      <c r="N17" s="65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65" t="str" cm="1">
        <f t="array" ref="O17">IF(E17="trim",IFERROR(INDEX('SIZE GUIDE'!$E:$E,MATCH(1,('SIZE GUIDE'!$A:$A=$E17)*('SIZE GUIDE'!$B:$B=$F17)*('SIZE GUIDE'!$C:$C=$H17),0)),""),"")</f>
        <v/>
      </c>
      <c r="P17" s="65"/>
      <c r="Q17" s="258">
        <f t="shared" si="1"/>
        <v>108</v>
      </c>
      <c r="R17" s="258">
        <f t="shared" si="1"/>
        <v>81</v>
      </c>
      <c r="S17" s="258">
        <f>IF(E17="untrim",M17-0.5,P17-0.5)</f>
        <v>44.5</v>
      </c>
      <c r="T17" s="93">
        <f t="shared" si="0"/>
        <v>2703.375</v>
      </c>
      <c r="U17" s="94">
        <f>SUMIFS(CODE_PRICE!F:F,CODE_PRICE!B:B,C17,CODE_PRICE!A:A,$A$8)</f>
        <v>0.1968</v>
      </c>
      <c r="V17" s="95">
        <f t="shared" si="2"/>
        <v>532.02419999999995</v>
      </c>
      <c r="W17" s="102" t="str">
        <f>IF(COUNTIF($C$15:C17,C17)=1,C17 &amp; " - " &amp; TEXT(SUMIF($C:$C,C17,$T:$T),"0.00"),"")</f>
        <v/>
      </c>
      <c r="X17" s="103" t="str">
        <f>IF(COUNTIF($C$15:C17,C17)=1,ROUND(SUMIF($C:$C,C17,$V:$V),2), "")</f>
        <v/>
      </c>
    </row>
    <row r="18" spans="1:24" s="17" customFormat="1" ht="36" customHeight="1" x14ac:dyDescent="0.2">
      <c r="A18" s="57">
        <f t="shared" si="3"/>
        <v>4</v>
      </c>
      <c r="B18" s="57" t="str" cm="1">
        <f t="array" ref="B18">_xlfn.LET(_xlpm.r,_xlfn.XLOOKUP(1,
(TRIM(CODE_PRICE!$A$4:$A$2003)=TRIM($C$4))*
(TRIM(CODE_PRICE!$B$4:$B$2003)=TRIM(C18)),
CODE_PRICE!$C$4:$C$2003,
""),
IF(OR(_xlpm.r="",_xlpm.r=0),"",_xlpm.r))</f>
        <v/>
      </c>
      <c r="C18" s="57" t="s">
        <v>89</v>
      </c>
      <c r="D18" s="58" t="str">
        <f>_xlfn.XLOOKUP(B18,CODE_PRICE!C:C,CODE_PRICE!D:D,"")</f>
        <v/>
      </c>
      <c r="E18" s="58" t="s">
        <v>11</v>
      </c>
      <c r="F18" s="59" t="s">
        <v>213</v>
      </c>
      <c r="G18" s="60" t="str">
        <f>IF(COUNTIFS($C$15:C18,C18,$H$15:H18,H18)=1,
SUMIFS($I$15:$I$28,$C$15:$C$28,C18,$H$15:$H$28,H18)&amp;H18&amp;" "&amp;C18,
"")</f>
        <v/>
      </c>
      <c r="H18" s="58" t="s">
        <v>22</v>
      </c>
      <c r="I18" s="61">
        <v>1</v>
      </c>
      <c r="J18" s="158"/>
      <c r="K18" s="158" cm="1">
        <f t="array" ref="K18">IF(E18="untrim",_xlfn.XLOOKUP(1,(TRIM('SIZE GUIDE'!$A$3:$A$2015)=TRIM(E18))*(TRIM('SIZE GUIDE'!$B$3:$B$2015)=TRIM(F18))*(TRIM('SIZE GUIDE'!$C$3:$C$2015)=TRIM(H18)),'SIZE GUIDE'!$D$3:$D$2015),"")</f>
        <v>108</v>
      </c>
      <c r="L18" s="168" cm="1">
        <f t="array" ref="L18">IF(E18="untrim",IFERROR(INDEX('SIZE GUIDE'!$E:$E,MATCH(1,('SIZE GUIDE'!$A:$A=$E18)*('SIZE GUIDE'!$B:$B=$F18)*('SIZE GUIDE'!$C:$C=$H18),0)),""),"")</f>
        <v>81</v>
      </c>
      <c r="M18" s="158">
        <v>45</v>
      </c>
      <c r="N18" s="65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65" t="str" cm="1">
        <f t="array" ref="O18">IF(E18="trim",IFERROR(INDEX('SIZE GUIDE'!$E:$E,MATCH(1,('SIZE GUIDE'!$A:$A=$E18)*('SIZE GUIDE'!$B:$B=$F18)*('SIZE GUIDE'!$C:$C=$H18),0)),""),"")</f>
        <v/>
      </c>
      <c r="P18" s="65"/>
      <c r="Q18" s="258">
        <f t="shared" si="1"/>
        <v>108</v>
      </c>
      <c r="R18" s="258">
        <f t="shared" si="1"/>
        <v>81</v>
      </c>
      <c r="S18" s="258">
        <f t="shared" ref="S18:S24" si="4">IF(E18="untrim",M18-0.5,P18-0.5)</f>
        <v>44.5</v>
      </c>
      <c r="T18" s="93">
        <f t="shared" si="0"/>
        <v>2703.375</v>
      </c>
      <c r="U18" s="94">
        <f>SUMIFS(CODE_PRICE!F:F,CODE_PRICE!B:B,C18,CODE_PRICE!A:A,$A$8)</f>
        <v>0.1968</v>
      </c>
      <c r="V18" s="95">
        <f t="shared" si="2"/>
        <v>532.02419999999995</v>
      </c>
      <c r="W18" s="102" t="str">
        <f>IF(COUNTIF($C$15:C18,C18)=1,C18 &amp; " - " &amp; TEXT(SUMIF($C:$C,C18,$T:$T),"0.00"),"")</f>
        <v/>
      </c>
      <c r="X18" s="103" t="str">
        <f>IF(COUNTIF($C$15:C18,C18)=1,ROUND(SUMIF($C:$C,C18,$V:$V),2), "")</f>
        <v/>
      </c>
    </row>
    <row r="19" spans="1:24" s="17" customFormat="1" ht="36" customHeight="1" x14ac:dyDescent="0.2">
      <c r="A19" s="57">
        <f t="shared" si="3"/>
        <v>5</v>
      </c>
      <c r="B19" s="57" t="str" cm="1">
        <f t="array" ref="B19">_xlfn.LET(_xlpm.r,_xlfn.XLOOKUP(1,
(TRIM(CODE_PRICE!$A$4:$A$2003)=TRIM($C$4))*
(TRIM(CODE_PRICE!$B$4:$B$2003)=TRIM(C19)),
CODE_PRICE!$C$4:$C$2003,
""),
IF(OR(_xlpm.r="",_xlpm.r=0),"",_xlpm.r))</f>
        <v/>
      </c>
      <c r="C19" s="57" t="s">
        <v>89</v>
      </c>
      <c r="D19" s="58" t="str">
        <f>_xlfn.XLOOKUP(B19,CODE_PRICE!C:C,CODE_PRICE!D:D,"")</f>
        <v/>
      </c>
      <c r="E19" s="58" t="s">
        <v>11</v>
      </c>
      <c r="F19" s="59" t="s">
        <v>213</v>
      </c>
      <c r="G19" s="60" t="str">
        <f>IF(COUNTIFS($C$15:C19,C19,$H$15:H19,H19)=1,
SUMIFS($I$15:$I$28,$C$15:$C$28,C19,$H$15:$H$28,H19)&amp;H19&amp;" "&amp;C19,
"")</f>
        <v/>
      </c>
      <c r="H19" s="58" t="s">
        <v>22</v>
      </c>
      <c r="I19" s="61">
        <v>1</v>
      </c>
      <c r="J19" s="158"/>
      <c r="K19" s="158" cm="1">
        <f t="array" ref="K19">IF(E19="untrim",_xlfn.XLOOKUP(1,(TRIM('SIZE GUIDE'!$A$3:$A$2015)=TRIM(E19))*(TRIM('SIZE GUIDE'!$B$3:$B$2015)=TRIM(F19))*(TRIM('SIZE GUIDE'!$C$3:$C$2015)=TRIM(H19)),'SIZE GUIDE'!$D$3:$D$2015),"")</f>
        <v>108</v>
      </c>
      <c r="L19" s="168" cm="1">
        <f t="array" ref="L19">IF(E19="untrim",IFERROR(INDEX('SIZE GUIDE'!$E:$E,MATCH(1,('SIZE GUIDE'!$A:$A=$E19)*('SIZE GUIDE'!$B:$B=$F19)*('SIZE GUIDE'!$C:$C=$H19),0)),""),"")</f>
        <v>81</v>
      </c>
      <c r="M19" s="158">
        <v>41</v>
      </c>
      <c r="N19" s="65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65" t="str" cm="1">
        <f t="array" ref="O19">IF(E19="trim",IFERROR(INDEX('SIZE GUIDE'!$E:$E,MATCH(1,('SIZE GUIDE'!$A:$A=$E19)*('SIZE GUIDE'!$B:$B=$F19)*('SIZE GUIDE'!$C:$C=$H19),0)),""),"")</f>
        <v/>
      </c>
      <c r="P19" s="65"/>
      <c r="Q19" s="258">
        <f t="shared" si="1"/>
        <v>108</v>
      </c>
      <c r="R19" s="258">
        <f t="shared" si="1"/>
        <v>81</v>
      </c>
      <c r="S19" s="258">
        <f t="shared" si="4"/>
        <v>40.5</v>
      </c>
      <c r="T19" s="93">
        <f t="shared" si="0"/>
        <v>2460.375</v>
      </c>
      <c r="U19" s="94">
        <f>SUMIFS(CODE_PRICE!F:F,CODE_PRICE!B:B,C19,CODE_PRICE!A:A,$A$8)</f>
        <v>0.1968</v>
      </c>
      <c r="V19" s="95">
        <f t="shared" si="2"/>
        <v>484.20179999999999</v>
      </c>
      <c r="W19" s="102" t="str">
        <f>IF(COUNTIF($C$15:C19,C19)=1,C19 &amp; " - " &amp; TEXT(SUMIF($C:$C,C19,$T:$T),"0.00"),"")</f>
        <v/>
      </c>
      <c r="X19" s="103" t="str">
        <f>IF(COUNTIF($C$15:C19,C19)=1,ROUND(SUMIF($C:$C,C19,$V:$V),2), "")</f>
        <v/>
      </c>
    </row>
    <row r="20" spans="1:24" s="17" customFormat="1" ht="36" customHeight="1" x14ac:dyDescent="0.2">
      <c r="A20" s="57">
        <f t="shared" si="3"/>
        <v>6</v>
      </c>
      <c r="B20" s="57" t="str" cm="1">
        <f t="array" ref="B20">_xlfn.LET(_xlpm.r,_xlfn.XLOOKUP(1,
(TRIM(CODE_PRICE!$A$4:$A$2003)=TRIM($C$4))*
(TRIM(CODE_PRICE!$B$4:$B$2003)=TRIM(C20)),
CODE_PRICE!$C$4:$C$2003,
""),
IF(OR(_xlpm.r="",_xlpm.r=0),"",_xlpm.r))</f>
        <v/>
      </c>
      <c r="C20" s="57" t="s">
        <v>89</v>
      </c>
      <c r="D20" s="58" t="str">
        <f>_xlfn.XLOOKUP(B20,CODE_PRICE!C:C,CODE_PRICE!D:D,"")</f>
        <v/>
      </c>
      <c r="E20" s="58" t="s">
        <v>11</v>
      </c>
      <c r="F20" s="59" t="s">
        <v>213</v>
      </c>
      <c r="G20" s="60" t="str">
        <f>IF(COUNTIFS($C$15:C20,C20,$H$15:H20,H20)=1,
SUMIFS($I$15:$I$28,$C$15:$C$28,C20,$H$15:$H$28,H20)&amp;H20&amp;" "&amp;C20,
"")</f>
        <v/>
      </c>
      <c r="H20" s="58" t="s">
        <v>22</v>
      </c>
      <c r="I20" s="61">
        <v>1</v>
      </c>
      <c r="J20" s="158"/>
      <c r="K20" s="158" cm="1">
        <f t="array" ref="K20">IF(E20="untrim",_xlfn.XLOOKUP(1,(TRIM('SIZE GUIDE'!$A$3:$A$2015)=TRIM(E20))*(TRIM('SIZE GUIDE'!$B$3:$B$2015)=TRIM(F20))*(TRIM('SIZE GUIDE'!$C$3:$C$2015)=TRIM(H20)),'SIZE GUIDE'!$D$3:$D$2015),"")</f>
        <v>108</v>
      </c>
      <c r="L20" s="168" cm="1">
        <f t="array" ref="L20">IF(E20="untrim",IFERROR(INDEX('SIZE GUIDE'!$E:$E,MATCH(1,('SIZE GUIDE'!$A:$A=$E20)*('SIZE GUIDE'!$B:$B=$F20)*('SIZE GUIDE'!$C:$C=$H20),0)),""),"")</f>
        <v>81</v>
      </c>
      <c r="M20" s="158">
        <v>45</v>
      </c>
      <c r="N20" s="65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65" t="str" cm="1">
        <f t="array" ref="O20">IF(E20="trim",IFERROR(INDEX('SIZE GUIDE'!$E:$E,MATCH(1,('SIZE GUIDE'!$A:$A=$E20)*('SIZE GUIDE'!$B:$B=$F20)*('SIZE GUIDE'!$C:$C=$H20),0)),""),"")</f>
        <v/>
      </c>
      <c r="P20" s="65"/>
      <c r="Q20" s="258">
        <f t="shared" si="1"/>
        <v>108</v>
      </c>
      <c r="R20" s="258">
        <f t="shared" si="1"/>
        <v>81</v>
      </c>
      <c r="S20" s="258">
        <f t="shared" si="4"/>
        <v>44.5</v>
      </c>
      <c r="T20" s="93">
        <f t="shared" si="0"/>
        <v>2703.375</v>
      </c>
      <c r="U20" s="94">
        <f>SUMIFS(CODE_PRICE!F:F,CODE_PRICE!B:B,C20,CODE_PRICE!A:A,$A$8)</f>
        <v>0.1968</v>
      </c>
      <c r="V20" s="95">
        <f t="shared" si="2"/>
        <v>532.02419999999995</v>
      </c>
      <c r="W20" s="102" t="str">
        <f>IF(COUNTIF($C$15:C20,C20)=1,C20 &amp; " - " &amp; TEXT(SUMIF($C:$C,C20,$T:$T),"0.00"),"")</f>
        <v/>
      </c>
      <c r="X20" s="103" t="str">
        <f>IF(COUNTIF($C$15:C20,C20)=1,ROUND(SUMIF($C:$C,C20,$V:$V),2), "")</f>
        <v/>
      </c>
    </row>
    <row r="21" spans="1:24" s="17" customFormat="1" ht="36" customHeight="1" x14ac:dyDescent="0.2">
      <c r="A21" s="57">
        <f t="shared" si="3"/>
        <v>7</v>
      </c>
      <c r="B21" s="57" t="str" cm="1">
        <f t="array" ref="B21">_xlfn.LET(_xlpm.r,_xlfn.XLOOKUP(1,
(TRIM(CODE_PRICE!$A$4:$A$2003)=TRIM($C$4))*
(TRIM(CODE_PRICE!$B$4:$B$2003)=TRIM(C21)),
CODE_PRICE!$C$4:$C$2003,
""),
IF(OR(_xlpm.r="",_xlpm.r=0),"",_xlpm.r))</f>
        <v/>
      </c>
      <c r="C21" s="57" t="s">
        <v>89</v>
      </c>
      <c r="D21" s="58" t="str">
        <f>_xlfn.XLOOKUP(B21,CODE_PRICE!C:C,CODE_PRICE!D:D,"")</f>
        <v/>
      </c>
      <c r="E21" s="58" t="s">
        <v>11</v>
      </c>
      <c r="F21" s="59" t="s">
        <v>213</v>
      </c>
      <c r="G21" s="60" t="str">
        <f>IF(COUNTIFS($C$15:C21,C21,$H$15:H21,H21)=1,
SUMIFS($I$15:$I$28,$C$15:$C$28,C21,$H$15:$H$28,H21)&amp;H21&amp;" "&amp;C21,
"")</f>
        <v/>
      </c>
      <c r="H21" s="58" t="s">
        <v>22</v>
      </c>
      <c r="I21" s="61">
        <v>1</v>
      </c>
      <c r="J21" s="158"/>
      <c r="K21" s="158" cm="1">
        <f t="array" ref="K21">IF(E21="untrim",_xlfn.XLOOKUP(1,(TRIM('SIZE GUIDE'!$A$3:$A$2015)=TRIM(E21))*(TRIM('SIZE GUIDE'!$B$3:$B$2015)=TRIM(F21))*(TRIM('SIZE GUIDE'!$C$3:$C$2015)=TRIM(H21)),'SIZE GUIDE'!$D$3:$D$2015),"")</f>
        <v>108</v>
      </c>
      <c r="L21" s="168" cm="1">
        <f t="array" ref="L21">IF(E21="untrim",IFERROR(INDEX('SIZE GUIDE'!$E:$E,MATCH(1,('SIZE GUIDE'!$A:$A=$E21)*('SIZE GUIDE'!$B:$B=$F21)*('SIZE GUIDE'!$C:$C=$H21),0)),""),"")</f>
        <v>81</v>
      </c>
      <c r="M21" s="158">
        <v>45</v>
      </c>
      <c r="N21" s="65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65" t="str" cm="1">
        <f t="array" ref="O21">IF(E21="trim",IFERROR(INDEX('SIZE GUIDE'!$E:$E,MATCH(1,('SIZE GUIDE'!$A:$A=$E21)*('SIZE GUIDE'!$B:$B=$F21)*('SIZE GUIDE'!$C:$C=$H21),0)),""),"")</f>
        <v/>
      </c>
      <c r="P21" s="65"/>
      <c r="Q21" s="258">
        <f t="shared" si="1"/>
        <v>108</v>
      </c>
      <c r="R21" s="258">
        <f t="shared" si="1"/>
        <v>81</v>
      </c>
      <c r="S21" s="258">
        <f t="shared" si="4"/>
        <v>44.5</v>
      </c>
      <c r="T21" s="93">
        <f t="shared" si="0"/>
        <v>2703.375</v>
      </c>
      <c r="U21" s="94">
        <f>SUMIFS(CODE_PRICE!F:F,CODE_PRICE!B:B,C21,CODE_PRICE!A:A,$A$8)</f>
        <v>0.1968</v>
      </c>
      <c r="V21" s="95">
        <f t="shared" si="2"/>
        <v>532.02419999999995</v>
      </c>
      <c r="W21" s="102" t="str">
        <f>IF(COUNTIF($C$15:C21,C21)=1,C21 &amp; " - " &amp; TEXT(SUMIF($C:$C,C21,$T:$T),"0.00"),"")</f>
        <v/>
      </c>
      <c r="X21" s="103" t="str">
        <f>IF(COUNTIF($C$15:C21,C21)=1,ROUND(SUMIF($C:$C,C21,$V:$V),2), "")</f>
        <v/>
      </c>
    </row>
    <row r="22" spans="1:24" s="17" customFormat="1" ht="36" customHeight="1" x14ac:dyDescent="0.2">
      <c r="A22" s="57">
        <f t="shared" si="3"/>
        <v>8</v>
      </c>
      <c r="B22" s="57" t="str" cm="1">
        <f t="array" ref="B22">_xlfn.LET(_xlpm.r,_xlfn.XLOOKUP(1,
(TRIM(CODE_PRICE!$A$4:$A$2003)=TRIM($C$4))*
(TRIM(CODE_PRICE!$B$4:$B$2003)=TRIM(C22)),
CODE_PRICE!$C$4:$C$2003,
""),
IF(OR(_xlpm.r="",_xlpm.r=0),"",_xlpm.r))</f>
        <v/>
      </c>
      <c r="C22" s="57" t="s">
        <v>89</v>
      </c>
      <c r="D22" s="58" t="str">
        <f>_xlfn.XLOOKUP(B22,CODE_PRICE!C:C,CODE_PRICE!D:D,"")</f>
        <v/>
      </c>
      <c r="E22" s="58" t="s">
        <v>11</v>
      </c>
      <c r="F22" s="59" t="s">
        <v>213</v>
      </c>
      <c r="G22" s="60" t="str">
        <f>IF(COUNTIFS($C$15:C22,C22,$H$15:H22,H22)=1,
SUMIFS($I$15:$I$28,$C$15:$C$28,C22,$H$15:$H$28,H22)&amp;H22&amp;" "&amp;C22,
"")</f>
        <v/>
      </c>
      <c r="H22" s="58" t="s">
        <v>22</v>
      </c>
      <c r="I22" s="61">
        <v>1</v>
      </c>
      <c r="J22" s="158"/>
      <c r="K22" s="158" cm="1">
        <f t="array" ref="K22">IF(E22="untrim",_xlfn.XLOOKUP(1,(TRIM('SIZE GUIDE'!$A$3:$A$2015)=TRIM(E22))*(TRIM('SIZE GUIDE'!$B$3:$B$2015)=TRIM(F22))*(TRIM('SIZE GUIDE'!$C$3:$C$2015)=TRIM(H22)),'SIZE GUIDE'!$D$3:$D$2015),"")</f>
        <v>108</v>
      </c>
      <c r="L22" s="168" cm="1">
        <f t="array" ref="L22">IF(E22="untrim",IFERROR(INDEX('SIZE GUIDE'!$E:$E,MATCH(1,('SIZE GUIDE'!$A:$A=$E22)*('SIZE GUIDE'!$B:$B=$F22)*('SIZE GUIDE'!$C:$C=$H22),0)),""),"")</f>
        <v>81</v>
      </c>
      <c r="M22" s="158">
        <v>40</v>
      </c>
      <c r="N22" s="65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65" t="str" cm="1">
        <f t="array" ref="O22">IF(E22="trim",IFERROR(INDEX('SIZE GUIDE'!$E:$E,MATCH(1,('SIZE GUIDE'!$A:$A=$E22)*('SIZE GUIDE'!$B:$B=$F22)*('SIZE GUIDE'!$C:$C=$H22),0)),""),"")</f>
        <v/>
      </c>
      <c r="P22" s="65"/>
      <c r="Q22" s="258">
        <f t="shared" si="1"/>
        <v>108</v>
      </c>
      <c r="R22" s="258">
        <f t="shared" si="1"/>
        <v>81</v>
      </c>
      <c r="S22" s="258">
        <f t="shared" si="4"/>
        <v>39.5</v>
      </c>
      <c r="T22" s="93">
        <f t="shared" si="0"/>
        <v>2399.625</v>
      </c>
      <c r="U22" s="94">
        <f>SUMIFS(CODE_PRICE!F:F,CODE_PRICE!B:B,C22,CODE_PRICE!A:A,$A$8)</f>
        <v>0.1968</v>
      </c>
      <c r="V22" s="95">
        <f t="shared" si="2"/>
        <v>472.24619999999999</v>
      </c>
      <c r="W22" s="102" t="str">
        <f>IF(COUNTIF($C$15:C22,C22)=1,C22 &amp; " - " &amp; TEXT(SUMIF($C:$C,C22,$T:$T),"0.00"),"")</f>
        <v/>
      </c>
      <c r="X22" s="103" t="e" cm="1" vm="1">
        <f t="array" aca="1" ref="X22" ca="1">A:J=IF(COUNTIF($C$15:C22,C22)=1,ROUND(SUMIF($C:$C,C22,$V:$V),2), "")</f>
        <v>#VALUE!</v>
      </c>
    </row>
    <row r="23" spans="1:24" s="17" customFormat="1" ht="36" customHeight="1" x14ac:dyDescent="0.2">
      <c r="A23" s="57">
        <f t="shared" si="3"/>
        <v>9</v>
      </c>
      <c r="B23" s="57" t="str" cm="1">
        <f t="array" ref="B23">_xlfn.LET(_xlpm.r,_xlfn.XLOOKUP(1,
(TRIM(CODE_PRICE!$A$4:$A$2003)=TRIM($C$4))*
(TRIM(CODE_PRICE!$B$4:$B$2003)=TRIM(C23)),
CODE_PRICE!$C$4:$C$2003,
""),
IF(OR(_xlpm.r="",_xlpm.r=0),"",_xlpm.r))</f>
        <v/>
      </c>
      <c r="C23" s="57" t="s">
        <v>89</v>
      </c>
      <c r="D23" s="58" t="str">
        <f>_xlfn.XLOOKUP(B23,CODE_PRICE!C:C,CODE_PRICE!D:D,"")</f>
        <v/>
      </c>
      <c r="E23" s="58" t="s">
        <v>11</v>
      </c>
      <c r="F23" s="59" t="s">
        <v>213</v>
      </c>
      <c r="G23" s="60" t="str">
        <f>IF(COUNTIFS($C$15:C23,C23,$H$15:H23,H23)=1,
SUMIFS($I$15:$I$28,$C$15:$C$28,C23,$H$15:$H$28,H23)&amp;H23&amp;" "&amp;C23,
"")</f>
        <v/>
      </c>
      <c r="H23" s="58" t="s">
        <v>22</v>
      </c>
      <c r="I23" s="61">
        <v>1</v>
      </c>
      <c r="J23" s="158"/>
      <c r="K23" s="158" cm="1">
        <f t="array" ref="K23">IF(E23="untrim",_xlfn.XLOOKUP(1,(TRIM('SIZE GUIDE'!$A$3:$A$2015)=TRIM(E23))*(TRIM('SIZE GUIDE'!$B$3:$B$2015)=TRIM(F23))*(TRIM('SIZE GUIDE'!$C$3:$C$2015)=TRIM(H23)),'SIZE GUIDE'!$D$3:$D$2015),"")</f>
        <v>108</v>
      </c>
      <c r="L23" s="168" cm="1">
        <f t="array" ref="L23">IF(E23="untrim",IFERROR(INDEX('SIZE GUIDE'!$E:$E,MATCH(1,('SIZE GUIDE'!$A:$A=$E23)*('SIZE GUIDE'!$B:$B=$F23)*('SIZE GUIDE'!$C:$C=$H23),0)),""),"")</f>
        <v>81</v>
      </c>
      <c r="M23" s="158">
        <v>39</v>
      </c>
      <c r="N23" s="65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65" t="str" cm="1">
        <f t="array" ref="O23">IF(E23="trim",IFERROR(INDEX('SIZE GUIDE'!$E:$E,MATCH(1,('SIZE GUIDE'!$A:$A=$E23)*('SIZE GUIDE'!$B:$B=$F23)*('SIZE GUIDE'!$C:$C=$H23),0)),""),"")</f>
        <v/>
      </c>
      <c r="P23" s="65"/>
      <c r="Q23" s="258">
        <f t="shared" si="1"/>
        <v>108</v>
      </c>
      <c r="R23" s="258">
        <f t="shared" si="1"/>
        <v>81</v>
      </c>
      <c r="S23" s="258">
        <f t="shared" si="4"/>
        <v>38.5</v>
      </c>
      <c r="T23" s="93">
        <f t="shared" si="0"/>
        <v>2338.875</v>
      </c>
      <c r="U23" s="94">
        <f>SUMIFS(CODE_PRICE!F:F,CODE_PRICE!B:B,C23,CODE_PRICE!A:A,$A$8)</f>
        <v>0.1968</v>
      </c>
      <c r="V23" s="95">
        <f t="shared" si="2"/>
        <v>460.29059999999998</v>
      </c>
      <c r="W23" s="102" t="str">
        <f>IF(COUNTIF($C$15:C23,C23)=1,C23 &amp; " - " &amp; TEXT(SUMIF($C:$C,C23,$T:$T),"0.00"),"")</f>
        <v/>
      </c>
      <c r="X23" s="103" t="str">
        <f>IF(COUNTIF($C$15:C23,C23)=1,ROUND(SUMIF($C:$C,C23,$V:$V),2), "")</f>
        <v/>
      </c>
    </row>
    <row r="24" spans="1:24" s="17" customFormat="1" ht="36" customHeight="1" x14ac:dyDescent="0.2">
      <c r="A24" s="57">
        <f>A23+1</f>
        <v>10</v>
      </c>
      <c r="B24" s="57" t="str" cm="1">
        <f t="array" ref="B24">_xlfn.LET(_xlpm.r,_xlfn.XLOOKUP(1,
(TRIM(CODE_PRICE!$A$4:$A$2003)=TRIM($C$4))*
(TRIM(CODE_PRICE!$B$4:$B$2003)=TRIM(C24)),
CODE_PRICE!$C$4:$C$2003,
""),
IF(OR(_xlpm.r="",_xlpm.r=0),"",_xlpm.r))</f>
        <v/>
      </c>
      <c r="C24" s="57" t="s">
        <v>89</v>
      </c>
      <c r="D24" s="58" t="str">
        <f>_xlfn.XLOOKUP(B24,CODE_PRICE!C:C,CODE_PRICE!D:D,"")</f>
        <v/>
      </c>
      <c r="E24" s="58" t="s">
        <v>11</v>
      </c>
      <c r="F24" s="59" t="s">
        <v>213</v>
      </c>
      <c r="G24" s="60" t="str">
        <f>IF(COUNTIFS($C$15:C24,C24,$H$15:H24,H24)=1,
SUMIFS($I$15:$I$28,$C$15:$C$28,C24,$H$15:$H$28,H24)&amp;H24&amp;" "&amp;C24,
"")</f>
        <v/>
      </c>
      <c r="H24" s="58" t="s">
        <v>22</v>
      </c>
      <c r="I24" s="61">
        <v>1</v>
      </c>
      <c r="J24" s="158"/>
      <c r="K24" s="158" cm="1">
        <f t="array" ref="K24">IF(E24="untrim",_xlfn.XLOOKUP(1,(TRIM('SIZE GUIDE'!$A$3:$A$2015)=TRIM(E24))*(TRIM('SIZE GUIDE'!$B$3:$B$2015)=TRIM(F24))*(TRIM('SIZE GUIDE'!$C$3:$C$2015)=TRIM(H24)),'SIZE GUIDE'!$D$3:$D$2015),"")</f>
        <v>108</v>
      </c>
      <c r="L24" s="168" cm="1">
        <f t="array" ref="L24">IF(E24="untrim",IFERROR(INDEX('SIZE GUIDE'!$E:$E,MATCH(1,('SIZE GUIDE'!$A:$A=$E24)*('SIZE GUIDE'!$B:$B=$F24)*('SIZE GUIDE'!$C:$C=$H24),0)),""),"")</f>
        <v>81</v>
      </c>
      <c r="M24" s="158">
        <v>39</v>
      </c>
      <c r="N24" s="65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65" t="str" cm="1">
        <f t="array" ref="O24">IF(E24="trim",IFERROR(INDEX('SIZE GUIDE'!$E:$E,MATCH(1,('SIZE GUIDE'!$A:$A=$E24)*('SIZE GUIDE'!$B:$B=$F24)*('SIZE GUIDE'!$C:$C=$H24),0)),""),"")</f>
        <v/>
      </c>
      <c r="P24" s="65"/>
      <c r="Q24" s="258">
        <f t="shared" si="1"/>
        <v>108</v>
      </c>
      <c r="R24" s="258">
        <f t="shared" si="1"/>
        <v>81</v>
      </c>
      <c r="S24" s="258">
        <f t="shared" si="4"/>
        <v>38.5</v>
      </c>
      <c r="T24" s="93">
        <f t="shared" si="0"/>
        <v>2338.875</v>
      </c>
      <c r="U24" s="94">
        <f>SUMIFS(CODE_PRICE!F:F,CODE_PRICE!B:B,C24,CODE_PRICE!A:A,$A$8)</f>
        <v>0.1968</v>
      </c>
      <c r="V24" s="95">
        <f t="shared" si="2"/>
        <v>460.29059999999998</v>
      </c>
      <c r="W24" s="102" t="str">
        <f>IF(COUNTIF($C$15:C24,C24)=1,C24 &amp; " - " &amp; TEXT(SUMIF($C:$C,C24,$T:$T),"0.00"),"")</f>
        <v/>
      </c>
      <c r="X24" s="103" t="str">
        <f>IF(COUNTIF($C$15:C24,C24)=1,ROUND(SUMIF($C:$C,C24,$V:$V),2), "")</f>
        <v/>
      </c>
    </row>
    <row r="25" spans="1:24" s="17" customFormat="1" ht="36" customHeight="1" x14ac:dyDescent="0.2">
      <c r="A25" s="57">
        <f>A24+1</f>
        <v>11</v>
      </c>
      <c r="B25" s="57"/>
      <c r="C25" s="57" t="s">
        <v>278</v>
      </c>
      <c r="D25" s="58"/>
      <c r="E25" s="58" t="s">
        <v>11</v>
      </c>
      <c r="F25" s="59"/>
      <c r="G25" s="60" t="s">
        <v>281</v>
      </c>
      <c r="H25" s="58" t="s">
        <v>16</v>
      </c>
      <c r="I25" s="61">
        <v>1</v>
      </c>
      <c r="J25" s="158"/>
      <c r="K25" s="295">
        <v>82</v>
      </c>
      <c r="L25" s="295">
        <v>63.5</v>
      </c>
      <c r="M25" s="158">
        <v>30.5</v>
      </c>
      <c r="N25" s="65"/>
      <c r="O25" s="65"/>
      <c r="P25" s="65"/>
      <c r="Q25" s="258">
        <v>82</v>
      </c>
      <c r="R25" s="258">
        <v>63.5</v>
      </c>
      <c r="S25" s="258">
        <v>30.5</v>
      </c>
      <c r="T25" s="93">
        <v>0</v>
      </c>
      <c r="U25" s="93">
        <v>0</v>
      </c>
      <c r="V25" s="95">
        <v>0</v>
      </c>
      <c r="W25" s="102"/>
      <c r="X25" s="103"/>
    </row>
    <row r="26" spans="1:24" s="17" customFormat="1" ht="36" customHeight="1" x14ac:dyDescent="0.2">
      <c r="A26" s="57">
        <f>A25+1</f>
        <v>12</v>
      </c>
      <c r="B26" s="57"/>
      <c r="C26" s="57" t="s">
        <v>282</v>
      </c>
      <c r="D26" s="58"/>
      <c r="E26" s="58" t="s">
        <v>279</v>
      </c>
      <c r="F26" s="59"/>
      <c r="G26" s="60" t="s">
        <v>280</v>
      </c>
      <c r="H26" s="57" t="s">
        <v>18</v>
      </c>
      <c r="I26" s="61">
        <v>1</v>
      </c>
      <c r="J26" s="158"/>
      <c r="K26" s="158"/>
      <c r="L26" s="168"/>
      <c r="M26" s="158"/>
      <c r="N26" s="65"/>
      <c r="O26" s="65"/>
      <c r="P26" s="65"/>
      <c r="Q26" s="93">
        <v>0</v>
      </c>
      <c r="R26" s="93">
        <v>0</v>
      </c>
      <c r="S26" s="93">
        <v>0</v>
      </c>
      <c r="T26" s="93">
        <v>0</v>
      </c>
      <c r="U26" s="93">
        <v>0</v>
      </c>
      <c r="V26" s="95">
        <v>0</v>
      </c>
      <c r="W26" s="102"/>
      <c r="X26" s="103"/>
    </row>
    <row r="27" spans="1:24" s="17" customFormat="1" ht="36" customHeight="1" x14ac:dyDescent="0.2">
      <c r="A27" s="57">
        <f>A26+1</f>
        <v>13</v>
      </c>
      <c r="B27" s="57"/>
      <c r="C27" s="57" t="s">
        <v>283</v>
      </c>
      <c r="D27" s="58"/>
      <c r="E27" s="58" t="s">
        <v>279</v>
      </c>
      <c r="F27" s="59"/>
      <c r="G27" s="60" t="s">
        <v>280</v>
      </c>
      <c r="H27" s="58" t="s">
        <v>18</v>
      </c>
      <c r="I27" s="61">
        <v>1</v>
      </c>
      <c r="J27" s="158"/>
      <c r="K27" s="158"/>
      <c r="L27" s="168"/>
      <c r="M27" s="158"/>
      <c r="N27" s="65"/>
      <c r="O27" s="65"/>
      <c r="P27" s="65"/>
      <c r="Q27" s="93">
        <v>0</v>
      </c>
      <c r="R27" s="93">
        <v>0</v>
      </c>
      <c r="S27" s="93">
        <v>0</v>
      </c>
      <c r="T27" s="93">
        <v>0</v>
      </c>
      <c r="U27" s="93">
        <v>0</v>
      </c>
      <c r="V27" s="95">
        <v>0</v>
      </c>
      <c r="W27" s="102"/>
      <c r="X27" s="103"/>
    </row>
    <row r="28" spans="1:24" s="17" customFormat="1" ht="36" hidden="1" customHeight="1" x14ac:dyDescent="0.2">
      <c r="A28" s="57"/>
      <c r="B28" s="57"/>
      <c r="C28" s="57"/>
      <c r="D28" s="58"/>
      <c r="E28" s="58"/>
      <c r="F28" s="59"/>
      <c r="G28" s="60"/>
      <c r="H28" s="58"/>
      <c r="I28" s="61"/>
      <c r="J28" s="158"/>
      <c r="K28" s="158"/>
      <c r="L28" s="168"/>
      <c r="M28" s="158"/>
      <c r="N28" s="65"/>
      <c r="O28" s="65"/>
      <c r="P28" s="65"/>
      <c r="Q28" s="93">
        <v>0</v>
      </c>
      <c r="R28" s="93">
        <v>0</v>
      </c>
      <c r="S28" s="93">
        <v>0</v>
      </c>
      <c r="T28" s="93">
        <v>0</v>
      </c>
      <c r="U28" s="93">
        <v>0</v>
      </c>
      <c r="V28" s="95">
        <v>0</v>
      </c>
      <c r="W28" s="102"/>
      <c r="X28" s="103"/>
    </row>
    <row r="29" spans="1:24" s="17" customFormat="1" ht="41.25" customHeight="1" thickBot="1" x14ac:dyDescent="0.25">
      <c r="A29" s="53"/>
      <c r="B29" s="53"/>
      <c r="C29" s="53"/>
      <c r="D29" s="53"/>
      <c r="E29" s="67"/>
      <c r="F29" s="68"/>
      <c r="G29" s="68"/>
      <c r="H29" s="69" t="s">
        <v>155</v>
      </c>
      <c r="I29" s="70">
        <f>SUM(I15:I28)</f>
        <v>13</v>
      </c>
      <c r="J29" s="55"/>
      <c r="K29" s="55"/>
      <c r="L29" s="55"/>
      <c r="M29" s="55"/>
      <c r="N29" s="56"/>
      <c r="O29" s="56"/>
      <c r="P29" s="122"/>
      <c r="Q29" s="67"/>
      <c r="R29" s="67"/>
      <c r="S29" s="67"/>
      <c r="T29" s="96">
        <f>SUM(T15:T28)</f>
        <v>25454.25</v>
      </c>
      <c r="U29" s="97"/>
      <c r="V29" s="92">
        <f>SUM(V15:V28)</f>
        <v>5009.3963999999996</v>
      </c>
      <c r="W29" s="109">
        <f>T29</f>
        <v>25454.25</v>
      </c>
      <c r="X29" s="104" t="e" vm="2">
        <f ca="1">SUM(X15:X28)</f>
        <v>#VALUE!</v>
      </c>
    </row>
    <row r="30" spans="1:24" s="17" customFormat="1" ht="41.25" customHeight="1" x14ac:dyDescent="0.2">
      <c r="A30" s="57"/>
      <c r="B30" s="71"/>
      <c r="C30" s="71"/>
      <c r="D30" s="72"/>
      <c r="E30" s="72"/>
      <c r="F30" s="73"/>
      <c r="G30" s="74"/>
      <c r="H30" s="75" t="s">
        <v>156</v>
      </c>
      <c r="I30" s="76"/>
      <c r="J30" s="77"/>
      <c r="K30" s="78"/>
      <c r="L30" s="79"/>
      <c r="M30" s="78"/>
      <c r="N30" s="78"/>
      <c r="O30" s="78"/>
      <c r="P30" s="78"/>
      <c r="Q30" s="80"/>
      <c r="R30" s="80"/>
      <c r="S30" s="80"/>
      <c r="T30" s="81"/>
      <c r="U30" s="82"/>
      <c r="V30" s="83"/>
      <c r="W30" s="19"/>
      <c r="X30" s="25"/>
    </row>
    <row r="31" spans="1:24" s="17" customFormat="1" ht="41.25" customHeight="1" thickBot="1" x14ac:dyDescent="0.25">
      <c r="A31" s="53"/>
      <c r="B31" s="53"/>
      <c r="C31" s="68"/>
      <c r="D31" s="67"/>
      <c r="E31" s="67"/>
      <c r="F31" s="67"/>
      <c r="G31" s="67"/>
      <c r="H31" s="69" t="s">
        <v>162</v>
      </c>
      <c r="I31" s="70">
        <f>I29</f>
        <v>13</v>
      </c>
      <c r="J31" s="55"/>
      <c r="K31" s="55"/>
      <c r="L31" s="55"/>
      <c r="M31" s="55"/>
      <c r="N31" s="56"/>
      <c r="O31" s="56"/>
      <c r="P31" s="122"/>
      <c r="Q31" s="67"/>
      <c r="R31" s="67"/>
      <c r="S31" s="67"/>
      <c r="T31" s="96">
        <f>T29</f>
        <v>25454.25</v>
      </c>
      <c r="U31" s="97"/>
      <c r="V31" s="92">
        <f>+V29+V30</f>
        <v>5009.3963999999996</v>
      </c>
      <c r="W31" s="109">
        <f>W29</f>
        <v>25454.25</v>
      </c>
      <c r="X31" s="104" t="e" vm="2">
        <f ca="1">X29</f>
        <v>#VALUE!</v>
      </c>
    </row>
    <row r="32" spans="1:24" ht="15" customHeight="1" x14ac:dyDescent="0.25">
      <c r="A32" s="48"/>
      <c r="B32" s="48"/>
      <c r="C32" s="48"/>
      <c r="D32" s="48"/>
      <c r="E32" s="48"/>
      <c r="F32" s="84"/>
      <c r="G32" s="48"/>
      <c r="H32" s="85"/>
      <c r="I32" s="85"/>
      <c r="J32" s="8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89"/>
    </row>
    <row r="33" spans="1:25" ht="15" customHeight="1" x14ac:dyDescent="0.25">
      <c r="A33" s="48" t="s">
        <v>153</v>
      </c>
      <c r="B33" s="48"/>
      <c r="C33" s="48"/>
      <c r="D33" s="48"/>
      <c r="E33" s="48"/>
      <c r="F33" s="84"/>
      <c r="G33" s="48"/>
      <c r="H33" s="85"/>
      <c r="I33" s="85"/>
      <c r="J33" s="8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89"/>
    </row>
    <row r="34" spans="1:25" ht="15" customHeight="1" x14ac:dyDescent="0.25">
      <c r="A34" s="48"/>
      <c r="B34" s="48"/>
      <c r="C34" s="48"/>
      <c r="D34" s="48"/>
      <c r="E34" s="48"/>
      <c r="F34" s="84"/>
      <c r="G34" s="48"/>
      <c r="H34" s="85"/>
      <c r="I34" s="85"/>
      <c r="J34" s="8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89"/>
    </row>
    <row r="35" spans="1:25" ht="15" customHeight="1" x14ac:dyDescent="0.25">
      <c r="A35" s="48" t="s">
        <v>154</v>
      </c>
      <c r="B35" s="48"/>
      <c r="C35" s="48"/>
      <c r="D35" s="48"/>
      <c r="E35" s="48"/>
      <c r="F35" s="84"/>
      <c r="G35" s="48"/>
      <c r="H35" s="85"/>
      <c r="I35" s="85"/>
      <c r="J35" s="8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89"/>
    </row>
    <row r="36" spans="1:25" ht="15" customHeight="1" x14ac:dyDescent="0.25">
      <c r="A36" s="48"/>
      <c r="B36" s="48"/>
      <c r="C36" s="48"/>
      <c r="D36" s="48"/>
      <c r="E36" s="48"/>
      <c r="F36" s="84"/>
      <c r="G36" s="48"/>
      <c r="H36" s="85"/>
      <c r="I36" s="85"/>
      <c r="J36" s="8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89"/>
    </row>
    <row r="37" spans="1:25" ht="15" customHeight="1" x14ac:dyDescent="0.25">
      <c r="A37" s="48"/>
      <c r="B37" s="48"/>
      <c r="C37" s="48"/>
      <c r="D37" s="48"/>
      <c r="E37" s="48"/>
      <c r="F37" s="84"/>
      <c r="G37" s="48"/>
      <c r="H37" s="85"/>
      <c r="I37" s="85"/>
      <c r="J37" s="8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89"/>
    </row>
    <row r="38" spans="1:25" ht="15" customHeight="1" x14ac:dyDescent="0.25">
      <c r="A38" s="86"/>
      <c r="B38" s="318"/>
      <c r="C38" s="318"/>
      <c r="D38" s="318"/>
      <c r="E38" s="318"/>
      <c r="F38" s="318"/>
      <c r="G38" s="318"/>
      <c r="H38" s="318"/>
      <c r="I38" s="318"/>
      <c r="J38" s="318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89"/>
    </row>
    <row r="39" spans="1:25" ht="15" customHeight="1" x14ac:dyDescent="0.25">
      <c r="A39" s="86"/>
      <c r="B39" s="319"/>
      <c r="C39" s="319"/>
      <c r="D39" s="319"/>
      <c r="E39" s="319"/>
      <c r="F39" s="319"/>
      <c r="G39" s="319"/>
      <c r="H39" s="319"/>
      <c r="I39" s="319"/>
      <c r="J39" s="319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89"/>
      <c r="X39" s="16"/>
      <c r="Y39" s="23"/>
    </row>
  </sheetData>
  <mergeCells count="5">
    <mergeCell ref="A7:E7"/>
    <mergeCell ref="F7:G7"/>
    <mergeCell ref="R9:S9"/>
    <mergeCell ref="B38:J38"/>
    <mergeCell ref="B39:J39"/>
  </mergeCells>
  <pageMargins left="0" right="0" top="1" bottom="0" header="0.511811023622047" footer="0.511811023622047"/>
  <pageSetup paperSize="9" scale="50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08EDE93-F76A-4563-AE96-255E3CEA466E}">
          <x14:formula1>
            <xm:f>'SIZE GUIDE'!$B:$B</xm:f>
          </x14:formula1>
          <xm:sqref>G29 F15:F31</xm:sqref>
        </x14:dataValidation>
        <x14:dataValidation type="list" allowBlank="1" xr:uid="{74042A4A-FF30-4C98-93BB-523207F84E0A}">
          <x14:formula1>
            <xm:f>LISTS!$B$2:$B$8</xm:f>
          </x14:formula1>
          <x14:formula2>
            <xm:f>0</xm:f>
          </x14:formula2>
          <xm:sqref>H15:H31</xm:sqref>
        </x14:dataValidation>
        <x14:dataValidation type="list" allowBlank="1" xr:uid="{F5B39CD5-273A-4A8E-8BC5-93D804283E5C}">
          <x14:formula1>
            <xm:f>'SIZE GUIDE'!$A$3:$A$38</xm:f>
          </x14:formula1>
          <xm:sqref>E15:E31</xm:sqref>
        </x14:dataValidation>
        <x14:dataValidation type="list" errorStyle="information" allowBlank="1" showInputMessage="1" xr:uid="{24462275-A42A-4677-AFF0-C182DA4381B2}">
          <x14:formula1>
            <xm:f>CODE_MASTER_AS!$A$3:$A$14</xm:f>
          </x14:formula1>
          <xm:sqref>F29:G29 C30:C31 C15:C25 C28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B90AA-DC47-41A5-A373-D037647105BD}">
  <sheetPr codeName="Sheet27">
    <pageSetUpPr fitToPage="1"/>
  </sheetPr>
  <dimension ref="A1:AH56"/>
  <sheetViews>
    <sheetView showGridLines="0" view="pageBreakPreview" zoomScale="80" zoomScaleNormal="68" zoomScaleSheetLayoutView="80" workbookViewId="0">
      <selection activeCell="AA18" sqref="AA18"/>
    </sheetView>
  </sheetViews>
  <sheetFormatPr baseColWidth="10" defaultColWidth="8.6640625" defaultRowHeight="15" customHeight="1" x14ac:dyDescent="0.2"/>
  <cols>
    <col min="1" max="1" width="6.5" style="16" customWidth="1"/>
    <col min="2" max="2" width="12.83203125" style="15" customWidth="1"/>
    <col min="3" max="3" width="18" style="16" customWidth="1"/>
    <col min="4" max="4" width="25" style="16" hidden="1" customWidth="1"/>
    <col min="5" max="5" width="12" style="16" customWidth="1"/>
    <col min="6" max="6" width="12.5" style="16" customWidth="1"/>
    <col min="7" max="7" width="23.5" style="16" bestFit="1" customWidth="1"/>
    <col min="8" max="8" width="8.5" style="16" customWidth="1"/>
    <col min="9" max="9" width="7.5" style="16" customWidth="1"/>
    <col min="10" max="10" width="10.6640625" style="15" hidden="1" customWidth="1"/>
    <col min="11" max="11" width="10.6640625" style="16" hidden="1" customWidth="1"/>
    <col min="12" max="12" width="10.6640625" style="269" hidden="1" customWidth="1"/>
    <col min="13" max="16" width="10.6640625" style="16" hidden="1" customWidth="1"/>
    <col min="17" max="19" width="8.5" style="16" customWidth="1"/>
    <col min="20" max="20" width="15.5" style="16" customWidth="1"/>
    <col min="21" max="21" width="13.5" style="16" customWidth="1"/>
    <col min="22" max="22" width="26.1640625" style="98" customWidth="1"/>
    <col min="23" max="23" width="28.1640625" style="16" customWidth="1"/>
    <col min="24" max="24" width="20.33203125" style="23" customWidth="1"/>
    <col min="25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45"/>
      <c r="K1" s="29"/>
      <c r="L1" s="261"/>
      <c r="M1" s="29" t="s">
        <v>204</v>
      </c>
      <c r="N1" s="27"/>
      <c r="O1" s="27"/>
      <c r="P1" s="27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246"/>
      <c r="K2" s="31"/>
      <c r="L2" s="261"/>
      <c r="M2" s="32" t="s">
        <v>161</v>
      </c>
      <c r="N2" s="27"/>
      <c r="O2" s="27"/>
      <c r="P2" s="28" t="s">
        <v>160</v>
      </c>
      <c r="R2" s="20"/>
      <c r="S2" s="21"/>
      <c r="U2" s="13"/>
      <c r="V2" s="20"/>
      <c r="W2" s="20"/>
      <c r="X2" s="20" t="s">
        <v>151</v>
      </c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247"/>
      <c r="K3" s="37"/>
      <c r="L3" s="262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247"/>
      <c r="K4" s="37"/>
      <c r="L4" s="262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247"/>
      <c r="K5" s="37"/>
      <c r="L5" s="262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247"/>
      <c r="K6" s="37"/>
      <c r="L6" s="262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5" t="s">
        <v>143</v>
      </c>
      <c r="B7" s="315"/>
      <c r="C7" s="315"/>
      <c r="D7" s="315"/>
      <c r="E7" s="315"/>
      <c r="F7" s="316"/>
      <c r="G7" s="316"/>
      <c r="H7" s="35"/>
      <c r="I7" s="35"/>
      <c r="J7" s="247"/>
      <c r="K7" s="37"/>
      <c r="L7" s="262"/>
      <c r="M7" s="37"/>
      <c r="N7" s="38"/>
      <c r="O7" s="38"/>
      <c r="P7" s="38"/>
      <c r="Q7" s="231" t="s">
        <v>147</v>
      </c>
      <c r="R7" s="231"/>
      <c r="S7" s="231"/>
      <c r="T7" s="231"/>
      <c r="U7" s="231"/>
      <c r="V7" s="231" t="s">
        <v>148</v>
      </c>
      <c r="W7" s="231"/>
      <c r="X7" s="231"/>
    </row>
    <row r="8" spans="1:24" ht="15" customHeight="1" x14ac:dyDescent="0.25">
      <c r="A8" s="44" t="s">
        <v>306</v>
      </c>
      <c r="B8" s="45"/>
      <c r="C8" s="45"/>
      <c r="D8" s="46"/>
      <c r="E8" s="46"/>
      <c r="F8" s="36"/>
      <c r="G8" s="46"/>
      <c r="H8" s="35"/>
      <c r="I8" s="35"/>
      <c r="J8" s="247"/>
      <c r="K8" s="37"/>
      <c r="L8" s="262"/>
      <c r="M8" s="37"/>
      <c r="N8" s="38"/>
      <c r="O8" s="38"/>
      <c r="P8" s="38"/>
      <c r="Q8" s="190" t="s">
        <v>307</v>
      </c>
      <c r="R8" s="191"/>
      <c r="S8" s="192"/>
      <c r="T8" s="193"/>
      <c r="U8" s="194"/>
      <c r="V8" s="195">
        <v>46205</v>
      </c>
      <c r="W8" s="232"/>
      <c r="X8" s="233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247"/>
      <c r="K9" s="37"/>
      <c r="L9" s="262"/>
      <c r="M9" s="37"/>
      <c r="N9" s="38"/>
      <c r="O9" s="38"/>
      <c r="P9" s="38"/>
      <c r="Q9" s="225"/>
      <c r="R9" s="317"/>
      <c r="S9" s="317"/>
      <c r="T9" s="228"/>
      <c r="U9" s="234"/>
      <c r="V9" s="235"/>
      <c r="W9" s="232"/>
      <c r="X9" s="233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247"/>
      <c r="K10" s="37"/>
      <c r="L10" s="262"/>
      <c r="M10" s="37"/>
      <c r="N10" s="38"/>
      <c r="O10" s="38"/>
      <c r="P10" s="38"/>
      <c r="Q10" s="236" t="s">
        <v>149</v>
      </c>
      <c r="R10" s="231"/>
      <c r="S10" s="231"/>
      <c r="T10" s="231"/>
      <c r="U10" s="231"/>
      <c r="V10" s="231" t="s">
        <v>150</v>
      </c>
      <c r="W10" s="231"/>
      <c r="X10" s="231"/>
    </row>
    <row r="11" spans="1:24" ht="15" customHeight="1" x14ac:dyDescent="0.25">
      <c r="A11" s="188" t="s">
        <v>288</v>
      </c>
      <c r="B11" s="34"/>
      <c r="C11" s="35"/>
      <c r="D11" s="35"/>
      <c r="E11" s="46"/>
      <c r="F11" s="46"/>
      <c r="G11" s="46"/>
      <c r="H11" s="35"/>
      <c r="I11" s="35"/>
      <c r="J11" s="247"/>
      <c r="K11" s="37"/>
      <c r="L11" s="262"/>
      <c r="M11" s="37"/>
      <c r="N11" s="38"/>
      <c r="O11" s="38"/>
      <c r="P11" s="38"/>
      <c r="Q11" s="190" t="s">
        <v>303</v>
      </c>
      <c r="R11" s="190"/>
      <c r="S11" s="190"/>
      <c r="T11" s="193"/>
      <c r="U11" s="194"/>
      <c r="V11" s="190"/>
      <c r="W11" s="232"/>
      <c r="X11" s="233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247"/>
      <c r="K12" s="37"/>
      <c r="L12" s="262"/>
      <c r="M12" s="37"/>
      <c r="N12" s="38"/>
      <c r="O12" s="38"/>
      <c r="P12" s="38"/>
      <c r="Q12" s="190"/>
      <c r="R12" s="190"/>
      <c r="S12" s="190"/>
      <c r="T12" s="190"/>
      <c r="U12" s="194"/>
      <c r="V12" s="237"/>
      <c r="W12" s="232"/>
      <c r="X12" s="233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4"/>
      <c r="K13" s="50"/>
      <c r="L13" s="263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210" customFormat="1" ht="39.75" customHeight="1" x14ac:dyDescent="0.2">
      <c r="A14" s="212" t="s">
        <v>158</v>
      </c>
      <c r="B14" s="212" t="s">
        <v>64</v>
      </c>
      <c r="C14" s="212" t="s">
        <v>1</v>
      </c>
      <c r="D14" s="213" t="s">
        <v>135</v>
      </c>
      <c r="E14" s="213" t="s">
        <v>157</v>
      </c>
      <c r="F14" s="213" t="s">
        <v>3</v>
      </c>
      <c r="G14" s="213" t="s">
        <v>152</v>
      </c>
      <c r="H14" s="213" t="s">
        <v>105</v>
      </c>
      <c r="I14" s="213" t="s">
        <v>5</v>
      </c>
      <c r="J14" s="248" t="s">
        <v>64</v>
      </c>
      <c r="K14" s="216" t="s">
        <v>136</v>
      </c>
      <c r="L14" s="264" t="s">
        <v>24</v>
      </c>
      <c r="M14" s="216" t="s">
        <v>108</v>
      </c>
      <c r="N14" s="217" t="s">
        <v>136</v>
      </c>
      <c r="O14" s="217" t="s">
        <v>24</v>
      </c>
      <c r="P14" s="259" t="s">
        <v>108</v>
      </c>
      <c r="Q14" s="213" t="s">
        <v>136</v>
      </c>
      <c r="R14" s="213" t="s">
        <v>24</v>
      </c>
      <c r="S14" s="213" t="s">
        <v>108</v>
      </c>
      <c r="T14" s="218" t="s">
        <v>159</v>
      </c>
      <c r="U14" s="219" t="s">
        <v>6</v>
      </c>
      <c r="V14" s="220" t="s">
        <v>7</v>
      </c>
      <c r="W14" s="220" t="s">
        <v>140</v>
      </c>
      <c r="X14" s="220" t="s">
        <v>141</v>
      </c>
    </row>
    <row r="15" spans="1:24" s="210" customFormat="1" ht="31.5" customHeight="1" x14ac:dyDescent="0.2">
      <c r="A15" s="196">
        <v>1</v>
      </c>
      <c r="B15" s="296">
        <v>46206</v>
      </c>
      <c r="C15" s="196" t="s">
        <v>95</v>
      </c>
      <c r="D15" s="197"/>
      <c r="E15" s="197" t="s">
        <v>11</v>
      </c>
      <c r="F15" s="198" t="s">
        <v>123</v>
      </c>
      <c r="G15" s="199" t="str">
        <f>IF(COUNTIFS($C$15:C15,C15,$H$15:H15,H15)=1,
SUMIFS($I$15:$I$43,$C$15:$C$43,C15,$H$15:$H$43,H15)&amp;H15&amp;" "&amp;C15,
"")</f>
        <v>7Q CFN50131W</v>
      </c>
      <c r="H15" s="197" t="s">
        <v>16</v>
      </c>
      <c r="I15" s="200">
        <v>1</v>
      </c>
      <c r="J15" s="249"/>
      <c r="K15" s="201" cm="1">
        <f t="array" ref="K15">IF(E15="untrim",_xlfn.XLOOKUP(1,(TRIM('SIZE GUIDE'!$A$3:$A$2015)=TRIM(E15))*(TRIM('SIZE GUIDE'!$B$3:$B$2015)=TRIM(F15))*(TRIM('SIZE GUIDE'!$C$3:$C$2015)=TRIM(H15)),'SIZE GUIDE'!$D$3:$D$2015),"")</f>
        <v>81</v>
      </c>
      <c r="L15" s="265" cm="1">
        <f t="array" ref="L15">IF(E15="untrim",IFERROR(INDEX('SIZE GUIDE'!$E:$E,MATCH(1,('SIZE GUIDE'!$A:$A=$E15)*('SIZE GUIDE'!$B:$B=$F15)*('SIZE GUIDE'!$C:$C=$H15),0)),""),"")</f>
        <v>61</v>
      </c>
      <c r="M15" s="202">
        <v>42</v>
      </c>
      <c r="N15" s="203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203" t="str" cm="1">
        <f t="array" ref="O15">IF(E15="trim",IFERROR(INDEX('SIZE GUIDE'!$E:$E,MATCH(1,('SIZE GUIDE'!$A:$A=$E15)*('SIZE GUIDE'!$B:$B=$F15)*('SIZE GUIDE'!$C:$C=$H15),0)),""),"")</f>
        <v/>
      </c>
      <c r="P15" s="203"/>
      <c r="Q15" s="204">
        <f>IF(E15="untrim",K15-1.5,N15)</f>
        <v>79.5</v>
      </c>
      <c r="R15" s="198">
        <f>IF(E15="untrim",L15-1.5,O15)</f>
        <v>59.5</v>
      </c>
      <c r="S15" s="198">
        <f>IF(E15="untrim",M15-0.5,P15-0.5)</f>
        <v>41.5</v>
      </c>
      <c r="T15" s="205">
        <f>IFERROR(Q15*R15*S15/144*I15,"")</f>
        <v>1363.2317708333333</v>
      </c>
      <c r="U15" s="206">
        <f>SUMIFS(CODE_PRICE!F:F,CODE_PRICE!B:B,C15,CODE_PRICE!A:A,$A$8)</f>
        <v>0.21740000000000001</v>
      </c>
      <c r="V15" s="207">
        <f>T15*U15</f>
        <v>296.36658697916664</v>
      </c>
      <c r="W15" s="208" t="str">
        <f>IF(COUNTIF($C$15:C15,C15)=1,C15 &amp; " - " &amp; TEXT(SUMIF($C:$C,C15,$T:$T),"0.00"),"")</f>
        <v>CFN50131W - 9542.62</v>
      </c>
      <c r="X15" s="209">
        <f>IF(COUNTIF($C$15:C15,C15)=1,ROUND(SUMIF($C:$C,C15,$V:$V),2), "")</f>
        <v>2074.5700000000002</v>
      </c>
    </row>
    <row r="16" spans="1:24" s="210" customFormat="1" ht="31.5" customHeight="1" x14ac:dyDescent="0.2">
      <c r="A16" s="196">
        <f>A15+1</f>
        <v>2</v>
      </c>
      <c r="B16" s="296">
        <v>46206</v>
      </c>
      <c r="C16" s="196" t="s">
        <v>96</v>
      </c>
      <c r="D16" s="197"/>
      <c r="E16" s="197" t="s">
        <v>11</v>
      </c>
      <c r="F16" s="198" t="s">
        <v>123</v>
      </c>
      <c r="G16" s="199" t="str">
        <f>IF(COUNTIFS($C$15:C16,C16,$H$15:H16,H16)=1,
SUMIFS($I$15:$I$43,$C$15:$C$43,C16,$H$15:$H$43,H16)&amp;H16&amp;" "&amp;C16,
"")</f>
        <v>2Q CFN34150W</v>
      </c>
      <c r="H16" s="197" t="s">
        <v>16</v>
      </c>
      <c r="I16" s="200">
        <v>1</v>
      </c>
      <c r="J16" s="249"/>
      <c r="K16" s="201" cm="1">
        <f t="array" ref="K16">IF(E16="untrim",_xlfn.XLOOKUP(1,(TRIM('SIZE GUIDE'!$A$3:$A$2015)=TRIM(E16))*(TRIM('SIZE GUIDE'!$B$3:$B$2015)=TRIM(F16))*(TRIM('SIZE GUIDE'!$C$3:$C$2015)=TRIM(H16)),'SIZE GUIDE'!$D$3:$D$2015),"")</f>
        <v>81</v>
      </c>
      <c r="L16" s="265" cm="1">
        <f t="array" ref="L16">IF(E16="untrim",IFERROR(INDEX('SIZE GUIDE'!$E:$E,MATCH(1,('SIZE GUIDE'!$A:$A=$E16)*('SIZE GUIDE'!$B:$B=$F16)*('SIZE GUIDE'!$C:$C=$H16),0)),""),"")</f>
        <v>61</v>
      </c>
      <c r="M16" s="202">
        <v>42</v>
      </c>
      <c r="N16" s="203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203" t="str" cm="1">
        <f t="array" ref="O16">IF(E16="trim",IFERROR(INDEX('SIZE GUIDE'!$E:$E,MATCH(1,('SIZE GUIDE'!$A:$A=$E16)*('SIZE GUIDE'!$B:$B=$F16)*('SIZE GUIDE'!$C:$C=$H16),0)),""),"")</f>
        <v/>
      </c>
      <c r="P16" s="203"/>
      <c r="Q16" s="204">
        <f t="shared" ref="Q16:Q24" si="0">IF(E16="untrim",K16-1.5,N16)</f>
        <v>79.5</v>
      </c>
      <c r="R16" s="198">
        <f t="shared" ref="R16:R24" si="1">IF(E16="untrim",L16-1.5,O16)</f>
        <v>59.5</v>
      </c>
      <c r="S16" s="198">
        <f t="shared" ref="S16:S24" si="2">IF(E16="untrim",M16-0.5,P16-0.5)</f>
        <v>41.5</v>
      </c>
      <c r="T16" s="205">
        <f t="shared" ref="T16:T24" si="3">IFERROR(Q16*R16*S16/144*I16,"")</f>
        <v>1363.2317708333333</v>
      </c>
      <c r="U16" s="206">
        <f>SUMIFS(CODE_PRICE!F:F,CODE_PRICE!B:B,C16,CODE_PRICE!A:A,$A$8)</f>
        <v>0.2419</v>
      </c>
      <c r="V16" s="207">
        <f t="shared" ref="V16:V24" si="4">T16*U16</f>
        <v>329.76576536458333</v>
      </c>
      <c r="W16" s="208" t="str">
        <f>IF(COUNTIF($C$15:C16,C16)=1,C16 &amp; " - " &amp; TEXT(SUMIF($C:$C,C16,$T:$T),"0.00"),"")</f>
        <v>CFN34150W - 2726.46</v>
      </c>
      <c r="X16" s="209">
        <f>IF(COUNTIF($C$15:C16,C16)=1,ROUND(SUMIF($C:$C,C16,$V:$V),2), "")</f>
        <v>659.53</v>
      </c>
    </row>
    <row r="17" spans="1:34" s="210" customFormat="1" ht="31.5" customHeight="1" x14ac:dyDescent="0.2">
      <c r="A17" s="196">
        <f t="shared" ref="A17:A36" si="5">A16+1</f>
        <v>3</v>
      </c>
      <c r="B17" s="296">
        <v>46206</v>
      </c>
      <c r="C17" s="196" t="s">
        <v>96</v>
      </c>
      <c r="D17" s="197"/>
      <c r="E17" s="197" t="s">
        <v>11</v>
      </c>
      <c r="F17" s="198" t="s">
        <v>123</v>
      </c>
      <c r="G17" s="199" t="str">
        <f>IF(COUNTIFS($C$15:C17,C17,$H$15:H17,H17)=1,
SUMIFS($I$15:$I$43,$C$15:$C$43,C17,$H$15:$H$43,H17)&amp;H17&amp;" "&amp;C17,
"")</f>
        <v/>
      </c>
      <c r="H17" s="197" t="s">
        <v>16</v>
      </c>
      <c r="I17" s="200">
        <v>1</v>
      </c>
      <c r="J17" s="249"/>
      <c r="K17" s="201" cm="1">
        <f t="array" ref="K17">IF(E17="untrim",_xlfn.XLOOKUP(1,(TRIM('SIZE GUIDE'!$A$3:$A$2015)=TRIM(E17))*(TRIM('SIZE GUIDE'!$B$3:$B$2015)=TRIM(F17))*(TRIM('SIZE GUIDE'!$C$3:$C$2015)=TRIM(H17)),'SIZE GUIDE'!$D$3:$D$2015),"")</f>
        <v>81</v>
      </c>
      <c r="L17" s="265" cm="1">
        <f t="array" ref="L17">IF(E17="untrim",IFERROR(INDEX('SIZE GUIDE'!$E:$E,MATCH(1,('SIZE GUIDE'!$A:$A=$E17)*('SIZE GUIDE'!$B:$B=$F17)*('SIZE GUIDE'!$C:$C=$H17),0)),""),"")</f>
        <v>61</v>
      </c>
      <c r="M17" s="202">
        <v>42</v>
      </c>
      <c r="N17" s="203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203" t="str" cm="1">
        <f t="array" ref="O17">IF(E17="trim",IFERROR(INDEX('SIZE GUIDE'!$E:$E,MATCH(1,('SIZE GUIDE'!$A:$A=$E17)*('SIZE GUIDE'!$B:$B=$F17)*('SIZE GUIDE'!$C:$C=$H17),0)),""),"")</f>
        <v/>
      </c>
      <c r="P17" s="203"/>
      <c r="Q17" s="204">
        <f t="shared" si="0"/>
        <v>79.5</v>
      </c>
      <c r="R17" s="198">
        <f t="shared" si="1"/>
        <v>59.5</v>
      </c>
      <c r="S17" s="198">
        <f t="shared" si="2"/>
        <v>41.5</v>
      </c>
      <c r="T17" s="205">
        <f t="shared" si="3"/>
        <v>1363.2317708333333</v>
      </c>
      <c r="U17" s="206">
        <f>SUMIFS(CODE_PRICE!F:F,CODE_PRICE!B:B,C17,CODE_PRICE!A:A,$A$8)</f>
        <v>0.2419</v>
      </c>
      <c r="V17" s="207">
        <f t="shared" si="4"/>
        <v>329.76576536458333</v>
      </c>
      <c r="W17" s="208" t="str">
        <f>IF(COUNTIF($C$15:C17,C17)=1,C17 &amp; " - " &amp; TEXT(SUMIF($C:$C,C17,$T:$T),"0.00"),"")</f>
        <v/>
      </c>
      <c r="X17" s="209" t="str">
        <f>IF(COUNTIF($C$15:C17,C17)=1,ROUND(SUMIF($C:$C,C17,$V:$V),2), "")</f>
        <v/>
      </c>
    </row>
    <row r="18" spans="1:34" s="210" customFormat="1" ht="31.5" customHeight="1" x14ac:dyDescent="0.2">
      <c r="A18" s="196">
        <f t="shared" si="5"/>
        <v>4</v>
      </c>
      <c r="B18" s="296">
        <v>46209</v>
      </c>
      <c r="C18" s="196" t="s">
        <v>95</v>
      </c>
      <c r="D18" s="197"/>
      <c r="E18" s="197" t="s">
        <v>11</v>
      </c>
      <c r="F18" s="198" t="s">
        <v>123</v>
      </c>
      <c r="G18" s="199" t="str">
        <f>IF(COUNTIFS($C$15:C18,C18,$H$15:H18,H18)=1,
SUMIFS($I$15:$I$43,$C$15:$C$43,C18,$H$15:$H$43,H18)&amp;H18&amp;" "&amp;C18,
"")</f>
        <v/>
      </c>
      <c r="H18" s="197" t="s">
        <v>16</v>
      </c>
      <c r="I18" s="200">
        <v>1</v>
      </c>
      <c r="J18" s="249"/>
      <c r="K18" s="201" cm="1">
        <f t="array" ref="K18">IF(E18="untrim",_xlfn.XLOOKUP(1,(TRIM('SIZE GUIDE'!$A$3:$A$2015)=TRIM(E18))*(TRIM('SIZE GUIDE'!$B$3:$B$2015)=TRIM(F18))*(TRIM('SIZE GUIDE'!$C$3:$C$2015)=TRIM(H18)),'SIZE GUIDE'!$D$3:$D$2015),"")</f>
        <v>81</v>
      </c>
      <c r="L18" s="265" cm="1">
        <f t="array" ref="L18">IF(E18="untrim",IFERROR(INDEX('SIZE GUIDE'!$E:$E,MATCH(1,('SIZE GUIDE'!$A:$A=$E18)*('SIZE GUIDE'!$B:$B=$F18)*('SIZE GUIDE'!$C:$C=$H18),0)),""),"")</f>
        <v>61</v>
      </c>
      <c r="M18" s="202">
        <v>42</v>
      </c>
      <c r="N18" s="203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203" t="str" cm="1">
        <f t="array" ref="O18">IF(E18="trim",IFERROR(INDEX('SIZE GUIDE'!$E:$E,MATCH(1,('SIZE GUIDE'!$A:$A=$E18)*('SIZE GUIDE'!$B:$B=$F18)*('SIZE GUIDE'!$C:$C=$H18),0)),""),"")</f>
        <v/>
      </c>
      <c r="P18" s="203"/>
      <c r="Q18" s="204">
        <f t="shared" si="0"/>
        <v>79.5</v>
      </c>
      <c r="R18" s="198">
        <f t="shared" si="1"/>
        <v>59.5</v>
      </c>
      <c r="S18" s="198">
        <f t="shared" si="2"/>
        <v>41.5</v>
      </c>
      <c r="T18" s="205">
        <f t="shared" si="3"/>
        <v>1363.2317708333333</v>
      </c>
      <c r="U18" s="206">
        <f>SUMIFS(CODE_PRICE!F:F,CODE_PRICE!B:B,C18,CODE_PRICE!A:A,$A$8)</f>
        <v>0.21740000000000001</v>
      </c>
      <c r="V18" s="207">
        <f t="shared" si="4"/>
        <v>296.36658697916664</v>
      </c>
      <c r="W18" s="208" t="str">
        <f>IF(COUNTIF($C$15:C18,C18)=1,C18 &amp; " - " &amp; TEXT(SUMIF($C:$C,C18,$T:$T),"0.00"),"")</f>
        <v/>
      </c>
      <c r="X18" s="209" t="str">
        <f>IF(COUNTIF($C$15:C18,C18)=1,ROUND(SUMIF($C:$C,C18,$V:$V),2), "")</f>
        <v/>
      </c>
      <c r="AH18" s="211"/>
    </row>
    <row r="19" spans="1:34" s="210" customFormat="1" ht="31.5" customHeight="1" x14ac:dyDescent="0.2">
      <c r="A19" s="196">
        <f t="shared" si="5"/>
        <v>5</v>
      </c>
      <c r="B19" s="296">
        <v>46209</v>
      </c>
      <c r="C19" s="196" t="s">
        <v>99</v>
      </c>
      <c r="D19" s="197"/>
      <c r="E19" s="197" t="s">
        <v>11</v>
      </c>
      <c r="F19" s="198" t="s">
        <v>123</v>
      </c>
      <c r="G19" s="199" t="str">
        <f>IF(COUNTIFS($C$15:C19,C19,$H$15:H19,H19)=1,
SUMIFS($I$15:$I$43,$C$15:$C$43,C19,$H$15:$H$43,H19)&amp;H19&amp;" "&amp;C19,
"")</f>
        <v>1Q CFN17138W</v>
      </c>
      <c r="H19" s="197" t="s">
        <v>16</v>
      </c>
      <c r="I19" s="200">
        <v>1</v>
      </c>
      <c r="J19" s="249"/>
      <c r="K19" s="201" cm="1">
        <f t="array" ref="K19">IF(E19="untrim",_xlfn.XLOOKUP(1,(TRIM('SIZE GUIDE'!$A$3:$A$2015)=TRIM(E19))*(TRIM('SIZE GUIDE'!$B$3:$B$2015)=TRIM(F19))*(TRIM('SIZE GUIDE'!$C$3:$C$2015)=TRIM(H19)),'SIZE GUIDE'!$D$3:$D$2015),"")</f>
        <v>81</v>
      </c>
      <c r="L19" s="265" cm="1">
        <f t="array" ref="L19">IF(E19="untrim",IFERROR(INDEX('SIZE GUIDE'!$E:$E,MATCH(1,('SIZE GUIDE'!$A:$A=$E19)*('SIZE GUIDE'!$B:$B=$F19)*('SIZE GUIDE'!$C:$C=$H19),0)),""),"")</f>
        <v>61</v>
      </c>
      <c r="M19" s="202">
        <v>34</v>
      </c>
      <c r="N19" s="203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203" t="str" cm="1">
        <f t="array" ref="O19">IF(E19="trim",IFERROR(INDEX('SIZE GUIDE'!$E:$E,MATCH(1,('SIZE GUIDE'!$A:$A=$E19)*('SIZE GUIDE'!$B:$B=$F19)*('SIZE GUIDE'!$C:$C=$H19),0)),""),"")</f>
        <v/>
      </c>
      <c r="P19" s="203"/>
      <c r="Q19" s="204">
        <f t="shared" si="0"/>
        <v>79.5</v>
      </c>
      <c r="R19" s="198">
        <f t="shared" si="1"/>
        <v>59.5</v>
      </c>
      <c r="S19" s="198">
        <f t="shared" si="2"/>
        <v>33.5</v>
      </c>
      <c r="T19" s="205">
        <f t="shared" si="3"/>
        <v>1100.4401041666667</v>
      </c>
      <c r="U19" s="206">
        <f>SUMIFS(CODE_PRICE!F:F,CODE_PRICE!B:B,C19,CODE_PRICE!A:A,$A$8)</f>
        <v>0.23169999999999999</v>
      </c>
      <c r="V19" s="207">
        <f t="shared" si="4"/>
        <v>254.97197213541668</v>
      </c>
      <c r="W19" s="208" t="str">
        <f>IF(COUNTIF($C$15:C19,C19)=1,C19 &amp; " - " &amp; TEXT(SUMIF($C:$C,C19,$T:$T),"0.00"),"")</f>
        <v>CFN17138W - 1100.44</v>
      </c>
      <c r="X19" s="209">
        <f>IF(COUNTIF($C$15:C19,C19)=1,ROUND(SUMIF($C:$C,C19,$V:$V),2), "")</f>
        <v>254.97</v>
      </c>
    </row>
    <row r="20" spans="1:34" s="210" customFormat="1" ht="31.5" customHeight="1" x14ac:dyDescent="0.2">
      <c r="A20" s="196">
        <f t="shared" si="5"/>
        <v>6</v>
      </c>
      <c r="B20" s="296">
        <v>46210</v>
      </c>
      <c r="C20" s="196" t="s">
        <v>95</v>
      </c>
      <c r="D20" s="197"/>
      <c r="E20" s="197" t="s">
        <v>11</v>
      </c>
      <c r="F20" s="198" t="s">
        <v>123</v>
      </c>
      <c r="G20" s="199" t="str">
        <f>IF(COUNTIFS($C$15:C20,C20,$H$15:H20,H20)=1,
SUMIFS($I$15:$I$43,$C$15:$C$43,C20,$H$15:$H$43,H20)&amp;H20&amp;" "&amp;C20,
"")</f>
        <v/>
      </c>
      <c r="H20" s="197" t="s">
        <v>16</v>
      </c>
      <c r="I20" s="200">
        <v>1</v>
      </c>
      <c r="J20" s="249"/>
      <c r="K20" s="201" cm="1">
        <f t="array" ref="K20">IF(E20="untrim",_xlfn.XLOOKUP(1,(TRIM('SIZE GUIDE'!$A$3:$A$2015)=TRIM(E20))*(TRIM('SIZE GUIDE'!$B$3:$B$2015)=TRIM(F20))*(TRIM('SIZE GUIDE'!$C$3:$C$2015)=TRIM(H20)),'SIZE GUIDE'!$D$3:$D$2015),"")</f>
        <v>81</v>
      </c>
      <c r="L20" s="265" cm="1">
        <f t="array" ref="L20">IF(E20="untrim",IFERROR(INDEX('SIZE GUIDE'!$E:$E,MATCH(1,('SIZE GUIDE'!$A:$A=$E20)*('SIZE GUIDE'!$B:$B=$F20)*('SIZE GUIDE'!$C:$C=$H20),0)),""),"")</f>
        <v>61</v>
      </c>
      <c r="M20" s="202">
        <v>42</v>
      </c>
      <c r="N20" s="203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203" t="str" cm="1">
        <f t="array" ref="O20">IF(E20="trim",IFERROR(INDEX('SIZE GUIDE'!$E:$E,MATCH(1,('SIZE GUIDE'!$A:$A=$E20)*('SIZE GUIDE'!$B:$B=$F20)*('SIZE GUIDE'!$C:$C=$H20),0)),""),"")</f>
        <v/>
      </c>
      <c r="P20" s="203"/>
      <c r="Q20" s="204">
        <f t="shared" si="0"/>
        <v>79.5</v>
      </c>
      <c r="R20" s="198">
        <f t="shared" si="1"/>
        <v>59.5</v>
      </c>
      <c r="S20" s="198">
        <f t="shared" si="2"/>
        <v>41.5</v>
      </c>
      <c r="T20" s="205">
        <f t="shared" si="3"/>
        <v>1363.2317708333333</v>
      </c>
      <c r="U20" s="206">
        <f>SUMIFS(CODE_PRICE!F:F,CODE_PRICE!B:B,C20,CODE_PRICE!A:A,$A$8)</f>
        <v>0.21740000000000001</v>
      </c>
      <c r="V20" s="207">
        <f t="shared" si="4"/>
        <v>296.36658697916664</v>
      </c>
      <c r="W20" s="208" t="str">
        <f>IF(COUNTIF($C$15:C20,C20)=1,C20 &amp; " - " &amp; TEXT(SUMIF($C:$C,C20,$T:$T),"0.00"),"")</f>
        <v/>
      </c>
      <c r="X20" s="209" t="str">
        <f>IF(COUNTIF($C$15:C20,C20)=1,ROUND(SUMIF($C:$C,C20,$V:$V),2), "")</f>
        <v/>
      </c>
    </row>
    <row r="21" spans="1:34" s="210" customFormat="1" ht="31.5" customHeight="1" x14ac:dyDescent="0.2">
      <c r="A21" s="196">
        <f t="shared" si="5"/>
        <v>7</v>
      </c>
      <c r="B21" s="296">
        <v>46210</v>
      </c>
      <c r="C21" s="196" t="s">
        <v>95</v>
      </c>
      <c r="D21" s="197"/>
      <c r="E21" s="197" t="s">
        <v>11</v>
      </c>
      <c r="F21" s="198" t="s">
        <v>123</v>
      </c>
      <c r="G21" s="199" t="str">
        <f>IF(COUNTIFS($C$15:C21,C21,$H$15:H21,H21)=1,
SUMIFS($I$15:$I$43,$C$15:$C$43,C21,$H$15:$H$43,H21)&amp;H21&amp;" "&amp;C21,
"")</f>
        <v/>
      </c>
      <c r="H21" s="197" t="s">
        <v>16</v>
      </c>
      <c r="I21" s="200">
        <v>1</v>
      </c>
      <c r="J21" s="249"/>
      <c r="K21" s="201" cm="1">
        <f t="array" ref="K21">IF(E21="untrim",_xlfn.XLOOKUP(1,(TRIM('SIZE GUIDE'!$A$3:$A$2015)=TRIM(E21))*(TRIM('SIZE GUIDE'!$B$3:$B$2015)=TRIM(F21))*(TRIM('SIZE GUIDE'!$C$3:$C$2015)=TRIM(H21)),'SIZE GUIDE'!$D$3:$D$2015),"")</f>
        <v>81</v>
      </c>
      <c r="L21" s="265" cm="1">
        <f t="array" ref="L21">IF(E21="untrim",IFERROR(INDEX('SIZE GUIDE'!$E:$E,MATCH(1,('SIZE GUIDE'!$A:$A=$E21)*('SIZE GUIDE'!$B:$B=$F21)*('SIZE GUIDE'!$C:$C=$H21),0)),""),"")</f>
        <v>61</v>
      </c>
      <c r="M21" s="202">
        <v>42</v>
      </c>
      <c r="N21" s="203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203" t="str" cm="1">
        <f t="array" ref="O21">IF(E21="trim",IFERROR(INDEX('SIZE GUIDE'!$E:$E,MATCH(1,('SIZE GUIDE'!$A:$A=$E21)*('SIZE GUIDE'!$B:$B=$F21)*('SIZE GUIDE'!$C:$C=$H21),0)),""),"")</f>
        <v/>
      </c>
      <c r="P21" s="203"/>
      <c r="Q21" s="204">
        <f t="shared" si="0"/>
        <v>79.5</v>
      </c>
      <c r="R21" s="198">
        <f t="shared" si="1"/>
        <v>59.5</v>
      </c>
      <c r="S21" s="198">
        <f t="shared" si="2"/>
        <v>41.5</v>
      </c>
      <c r="T21" s="205">
        <f t="shared" si="3"/>
        <v>1363.2317708333333</v>
      </c>
      <c r="U21" s="206">
        <f>SUMIFS(CODE_PRICE!F:F,CODE_PRICE!B:B,C21,CODE_PRICE!A:A,$A$8)</f>
        <v>0.21740000000000001</v>
      </c>
      <c r="V21" s="207">
        <f t="shared" si="4"/>
        <v>296.36658697916664</v>
      </c>
      <c r="W21" s="208" t="str">
        <f>IF(COUNTIF($C$15:C21,C21)=1,C21 &amp; " - " &amp; TEXT(SUMIF($C:$C,C21,$T:$T),"0.00"),"")</f>
        <v/>
      </c>
      <c r="X21" s="209" t="str">
        <f>IF(COUNTIF($C$15:C21,C21)=1,ROUND(SUMIF($C:$C,C21,$V:$V),2), "")</f>
        <v/>
      </c>
    </row>
    <row r="22" spans="1:34" s="210" customFormat="1" ht="31.5" customHeight="1" x14ac:dyDescent="0.2">
      <c r="A22" s="196">
        <f t="shared" si="5"/>
        <v>8</v>
      </c>
      <c r="B22" s="296">
        <v>46210</v>
      </c>
      <c r="C22" s="196" t="s">
        <v>95</v>
      </c>
      <c r="D22" s="197"/>
      <c r="E22" s="197" t="s">
        <v>11</v>
      </c>
      <c r="F22" s="198" t="s">
        <v>123</v>
      </c>
      <c r="G22" s="199" t="str">
        <f>IF(COUNTIFS($C$15:C22,C22,$H$15:H22,H22)=1,
SUMIFS($I$15:$I$43,$C$15:$C$43,C22,$H$15:$H$43,H22)&amp;H22&amp;" "&amp;C22,
"")</f>
        <v/>
      </c>
      <c r="H22" s="197" t="s">
        <v>16</v>
      </c>
      <c r="I22" s="200">
        <v>1</v>
      </c>
      <c r="J22" s="249"/>
      <c r="K22" s="201" cm="1">
        <f t="array" ref="K22">IF(E22="untrim",_xlfn.XLOOKUP(1,(TRIM('SIZE GUIDE'!$A$3:$A$2015)=TRIM(E22))*(TRIM('SIZE GUIDE'!$B$3:$B$2015)=TRIM(F22))*(TRIM('SIZE GUIDE'!$C$3:$C$2015)=TRIM(H22)),'SIZE GUIDE'!$D$3:$D$2015),"")</f>
        <v>81</v>
      </c>
      <c r="L22" s="265" cm="1">
        <f t="array" ref="L22">IF(E22="untrim",IFERROR(INDEX('SIZE GUIDE'!$E:$E,MATCH(1,('SIZE GUIDE'!$A:$A=$E22)*('SIZE GUIDE'!$B:$B=$F22)*('SIZE GUIDE'!$C:$C=$H22),0)),""),"")</f>
        <v>61</v>
      </c>
      <c r="M22" s="202">
        <v>42</v>
      </c>
      <c r="N22" s="203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203" t="str" cm="1">
        <f t="array" ref="O22">IF(E22="trim",IFERROR(INDEX('SIZE GUIDE'!$E:$E,MATCH(1,('SIZE GUIDE'!$A:$A=$E22)*('SIZE GUIDE'!$B:$B=$F22)*('SIZE GUIDE'!$C:$C=$H22),0)),""),"")</f>
        <v/>
      </c>
      <c r="P22" s="203"/>
      <c r="Q22" s="204">
        <f t="shared" si="0"/>
        <v>79.5</v>
      </c>
      <c r="R22" s="198">
        <f t="shared" si="1"/>
        <v>59.5</v>
      </c>
      <c r="S22" s="198">
        <f t="shared" si="2"/>
        <v>41.5</v>
      </c>
      <c r="T22" s="205">
        <f t="shared" si="3"/>
        <v>1363.2317708333333</v>
      </c>
      <c r="U22" s="206">
        <f>SUMIFS(CODE_PRICE!F:F,CODE_PRICE!B:B,C22,CODE_PRICE!A:A,$A$8)</f>
        <v>0.21740000000000001</v>
      </c>
      <c r="V22" s="207">
        <f t="shared" si="4"/>
        <v>296.36658697916664</v>
      </c>
      <c r="W22" s="208" t="str">
        <f>IF(COUNTIF($C$15:C22,C22)=1,C22 &amp; " - " &amp; TEXT(SUMIF($C:$C,C22,$T:$T),"0.00"),"")</f>
        <v/>
      </c>
      <c r="X22" s="209" t="str">
        <f>IF(COUNTIF($C$15:C22,C22)=1,ROUND(SUMIF($C:$C,C22,$V:$V),2), "")</f>
        <v/>
      </c>
      <c r="AD22" s="210" t="s">
        <v>204</v>
      </c>
    </row>
    <row r="23" spans="1:34" s="210" customFormat="1" ht="31.5" customHeight="1" x14ac:dyDescent="0.2">
      <c r="A23" s="196">
        <f t="shared" si="5"/>
        <v>9</v>
      </c>
      <c r="B23" s="296">
        <v>46210</v>
      </c>
      <c r="C23" s="196" t="s">
        <v>95</v>
      </c>
      <c r="D23" s="197"/>
      <c r="E23" s="197" t="s">
        <v>11</v>
      </c>
      <c r="F23" s="198" t="s">
        <v>123</v>
      </c>
      <c r="G23" s="199" t="str">
        <f>IF(COUNTIFS($C$15:C23,C23,$H$15:H23,H23)=1,
SUMIFS($I$15:$I$43,$C$15:$C$43,C23,$H$15:$H$43,H23)&amp;H23&amp;" "&amp;C23,
"")</f>
        <v/>
      </c>
      <c r="H23" s="197" t="s">
        <v>16</v>
      </c>
      <c r="I23" s="200">
        <v>1</v>
      </c>
      <c r="J23" s="249"/>
      <c r="K23" s="201" cm="1">
        <f t="array" ref="K23">IF(E23="untrim",_xlfn.XLOOKUP(1,(TRIM('SIZE GUIDE'!$A$3:$A$2015)=TRIM(E23))*(TRIM('SIZE GUIDE'!$B$3:$B$2015)=TRIM(F23))*(TRIM('SIZE GUIDE'!$C$3:$C$2015)=TRIM(H23)),'SIZE GUIDE'!$D$3:$D$2015),"")</f>
        <v>81</v>
      </c>
      <c r="L23" s="265" cm="1">
        <f t="array" ref="L23">IF(E23="untrim",IFERROR(INDEX('SIZE GUIDE'!$E:$E,MATCH(1,('SIZE GUIDE'!$A:$A=$E23)*('SIZE GUIDE'!$B:$B=$F23)*('SIZE GUIDE'!$C:$C=$H23),0)),""),"")</f>
        <v>61</v>
      </c>
      <c r="M23" s="202">
        <v>42</v>
      </c>
      <c r="N23" s="203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203" t="str" cm="1">
        <f t="array" ref="O23">IF(E23="trim",IFERROR(INDEX('SIZE GUIDE'!$E:$E,MATCH(1,('SIZE GUIDE'!$A:$A=$E23)*('SIZE GUIDE'!$B:$B=$F23)*('SIZE GUIDE'!$C:$C=$H23),0)),""),"")</f>
        <v/>
      </c>
      <c r="P23" s="203"/>
      <c r="Q23" s="204">
        <f t="shared" si="0"/>
        <v>79.5</v>
      </c>
      <c r="R23" s="198">
        <f t="shared" si="1"/>
        <v>59.5</v>
      </c>
      <c r="S23" s="198">
        <f t="shared" si="2"/>
        <v>41.5</v>
      </c>
      <c r="T23" s="205">
        <f t="shared" si="3"/>
        <v>1363.2317708333333</v>
      </c>
      <c r="U23" s="206">
        <f>SUMIFS(CODE_PRICE!F:F,CODE_PRICE!B:B,C23,CODE_PRICE!A:A,$A$8)</f>
        <v>0.21740000000000001</v>
      </c>
      <c r="V23" s="207">
        <f t="shared" si="4"/>
        <v>296.36658697916664</v>
      </c>
      <c r="W23" s="208" t="str">
        <f>IF(COUNTIF($C$15:C23,C23)=1,C23 &amp; " - " &amp; TEXT(SUMIF($C:$C,C23,$T:$T),"0.00"),"")</f>
        <v/>
      </c>
      <c r="X23" s="209" t="str">
        <f>IF(COUNTIF($C$15:C23,C23)=1,ROUND(SUMIF($C:$C,C23,$V:$V),2), "")</f>
        <v/>
      </c>
    </row>
    <row r="24" spans="1:34" s="210" customFormat="1" ht="31.5" customHeight="1" x14ac:dyDescent="0.2">
      <c r="A24" s="196">
        <f t="shared" si="5"/>
        <v>10</v>
      </c>
      <c r="B24" s="296">
        <v>46210</v>
      </c>
      <c r="C24" s="196" t="s">
        <v>95</v>
      </c>
      <c r="D24" s="197"/>
      <c r="E24" s="197" t="s">
        <v>11</v>
      </c>
      <c r="F24" s="198" t="s">
        <v>123</v>
      </c>
      <c r="G24" s="199" t="str">
        <f>IF(COUNTIFS($C$15:C24,C24,$H$15:H24,H24)=1,
SUMIFS($I$15:$I$43,$C$15:$C$43,C24,$H$15:$H$43,H24)&amp;H24&amp;" "&amp;C24,
"")</f>
        <v/>
      </c>
      <c r="H24" s="197" t="s">
        <v>16</v>
      </c>
      <c r="I24" s="200">
        <v>1</v>
      </c>
      <c r="J24" s="249"/>
      <c r="K24" s="201" cm="1">
        <f t="array" ref="K24">IF(E24="untrim",_xlfn.XLOOKUP(1,(TRIM('SIZE GUIDE'!$A$3:$A$2015)=TRIM(E24))*(TRIM('SIZE GUIDE'!$B$3:$B$2015)=TRIM(F24))*(TRIM('SIZE GUIDE'!$C$3:$C$2015)=TRIM(H24)),'SIZE GUIDE'!$D$3:$D$2015),"")</f>
        <v>81</v>
      </c>
      <c r="L24" s="265" cm="1">
        <f t="array" ref="L24">IF(E24="untrim",IFERROR(INDEX('SIZE GUIDE'!$E:$E,MATCH(1,('SIZE GUIDE'!$A:$A=$E24)*('SIZE GUIDE'!$B:$B=$F24)*('SIZE GUIDE'!$C:$C=$H24),0)),""),"")</f>
        <v>61</v>
      </c>
      <c r="M24" s="202">
        <v>42</v>
      </c>
      <c r="N24" s="203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203" t="str" cm="1">
        <f t="array" ref="O24">IF(E24="trim",IFERROR(INDEX('SIZE GUIDE'!$E:$E,MATCH(1,('SIZE GUIDE'!$A:$A=$E24)*('SIZE GUIDE'!$B:$B=$F24)*('SIZE GUIDE'!$C:$C=$H24),0)),""),"")</f>
        <v/>
      </c>
      <c r="P24" s="203"/>
      <c r="Q24" s="204">
        <f t="shared" si="0"/>
        <v>79.5</v>
      </c>
      <c r="R24" s="198">
        <f t="shared" si="1"/>
        <v>59.5</v>
      </c>
      <c r="S24" s="198">
        <f t="shared" si="2"/>
        <v>41.5</v>
      </c>
      <c r="T24" s="205">
        <f t="shared" si="3"/>
        <v>1363.2317708333333</v>
      </c>
      <c r="U24" s="206">
        <f>SUMIFS(CODE_PRICE!F:F,CODE_PRICE!B:B,C24,CODE_PRICE!A:A,$A$8)</f>
        <v>0.21740000000000001</v>
      </c>
      <c r="V24" s="207">
        <f t="shared" si="4"/>
        <v>296.36658697916664</v>
      </c>
      <c r="W24" s="208" t="str">
        <f>IF(COUNTIF($C$15:C24,C24)=1,C24 &amp; " - " &amp; TEXT(SUMIF($C:$C,C24,$T:$T),"0.00"),"")</f>
        <v/>
      </c>
      <c r="X24" s="209" t="str">
        <f>IF(COUNTIF($C$15:C24,C24)=1,ROUND(SUMIF($C:$C,C24,$V:$V),2), "")</f>
        <v/>
      </c>
    </row>
    <row r="25" spans="1:34" s="210" customFormat="1" ht="31.5" hidden="1" customHeight="1" x14ac:dyDescent="0.2">
      <c r="A25" s="196">
        <f t="shared" si="5"/>
        <v>11</v>
      </c>
      <c r="B25" s="196"/>
      <c r="C25" s="196"/>
      <c r="D25" s="197"/>
      <c r="E25" s="197"/>
      <c r="F25" s="198"/>
      <c r="G25" s="199"/>
      <c r="H25" s="197"/>
      <c r="I25" s="200"/>
      <c r="J25" s="249"/>
      <c r="K25" s="201"/>
      <c r="L25" s="265"/>
      <c r="M25" s="202"/>
      <c r="N25" s="203"/>
      <c r="O25" s="203"/>
      <c r="P25" s="203"/>
      <c r="Q25" s="204"/>
      <c r="R25" s="198"/>
      <c r="S25" s="198"/>
      <c r="T25" s="205"/>
      <c r="U25" s="206"/>
      <c r="V25" s="207"/>
      <c r="W25" s="208"/>
      <c r="X25" s="209" t="str">
        <f>IF(COUNTIF($C$15:C25,C25)=1,ROUND(SUMIF($C:$C,C25,$V:$V),2), "")</f>
        <v/>
      </c>
    </row>
    <row r="26" spans="1:34" s="210" customFormat="1" ht="31.5" hidden="1" customHeight="1" x14ac:dyDescent="0.2">
      <c r="A26" s="196">
        <f t="shared" si="5"/>
        <v>12</v>
      </c>
      <c r="B26" s="196"/>
      <c r="C26" s="196"/>
      <c r="D26" s="197"/>
      <c r="E26" s="197"/>
      <c r="F26" s="198"/>
      <c r="G26" s="199"/>
      <c r="H26" s="197"/>
      <c r="I26" s="200"/>
      <c r="J26" s="249"/>
      <c r="K26" s="201"/>
      <c r="L26" s="265"/>
      <c r="M26" s="202"/>
      <c r="N26" s="203"/>
      <c r="O26" s="203"/>
      <c r="P26" s="203"/>
      <c r="Q26" s="204"/>
      <c r="R26" s="198"/>
      <c r="S26" s="198"/>
      <c r="T26" s="205"/>
      <c r="U26" s="206"/>
      <c r="V26" s="207"/>
      <c r="W26" s="208"/>
      <c r="X26" s="209" t="str">
        <f>IF(COUNTIF($C$15:C26,C26)=1,ROUND(SUMIF($C:$C,C26,$V:$V),2), "")</f>
        <v/>
      </c>
    </row>
    <row r="27" spans="1:34" s="210" customFormat="1" ht="31.5" hidden="1" customHeight="1" x14ac:dyDescent="0.2">
      <c r="A27" s="196">
        <f t="shared" si="5"/>
        <v>13</v>
      </c>
      <c r="B27" s="196"/>
      <c r="C27" s="196"/>
      <c r="D27" s="197"/>
      <c r="E27" s="197"/>
      <c r="F27" s="198"/>
      <c r="G27" s="199"/>
      <c r="H27" s="197"/>
      <c r="I27" s="200"/>
      <c r="J27" s="249"/>
      <c r="K27" s="201"/>
      <c r="L27" s="265"/>
      <c r="M27" s="202"/>
      <c r="N27" s="203"/>
      <c r="O27" s="203"/>
      <c r="P27" s="203"/>
      <c r="Q27" s="204"/>
      <c r="R27" s="198"/>
      <c r="S27" s="198"/>
      <c r="T27" s="205"/>
      <c r="U27" s="206"/>
      <c r="V27" s="207"/>
      <c r="W27" s="208"/>
      <c r="X27" s="209" t="str">
        <f>IF(COUNTIF($C$15:C27,C27)=1,ROUND(SUMIF($C:$C,C27,$V:$V),2), "")</f>
        <v/>
      </c>
    </row>
    <row r="28" spans="1:34" s="210" customFormat="1" ht="31.5" hidden="1" customHeight="1" x14ac:dyDescent="0.2">
      <c r="A28" s="196">
        <f t="shared" si="5"/>
        <v>14</v>
      </c>
      <c r="B28" s="196"/>
      <c r="C28" s="196"/>
      <c r="D28" s="197"/>
      <c r="E28" s="197"/>
      <c r="F28" s="198"/>
      <c r="G28" s="199"/>
      <c r="H28" s="197"/>
      <c r="I28" s="200"/>
      <c r="J28" s="249"/>
      <c r="K28" s="201"/>
      <c r="L28" s="265"/>
      <c r="M28" s="202"/>
      <c r="N28" s="203"/>
      <c r="O28" s="203"/>
      <c r="P28" s="203"/>
      <c r="Q28" s="204"/>
      <c r="R28" s="198"/>
      <c r="S28" s="198"/>
      <c r="T28" s="205"/>
      <c r="U28" s="206"/>
      <c r="V28" s="207"/>
      <c r="W28" s="208"/>
      <c r="X28" s="209" t="str">
        <f>IF(COUNTIF($C$15:C28,C28)=1,ROUND(SUMIF($C:$C,C28,$V:$V),2), "")</f>
        <v/>
      </c>
    </row>
    <row r="29" spans="1:34" s="210" customFormat="1" ht="31.5" hidden="1" customHeight="1" x14ac:dyDescent="0.2">
      <c r="A29" s="196">
        <f t="shared" si="5"/>
        <v>15</v>
      </c>
      <c r="B29" s="196"/>
      <c r="C29" s="196"/>
      <c r="D29" s="197"/>
      <c r="E29" s="197"/>
      <c r="F29" s="198"/>
      <c r="G29" s="199"/>
      <c r="H29" s="197"/>
      <c r="I29" s="200"/>
      <c r="J29" s="249"/>
      <c r="K29" s="201"/>
      <c r="L29" s="265"/>
      <c r="M29" s="202"/>
      <c r="N29" s="203"/>
      <c r="O29" s="203"/>
      <c r="P29" s="203"/>
      <c r="Q29" s="204"/>
      <c r="R29" s="198"/>
      <c r="S29" s="198"/>
      <c r="T29" s="205"/>
      <c r="U29" s="206"/>
      <c r="V29" s="207"/>
      <c r="W29" s="208"/>
      <c r="X29" s="209" t="str">
        <f>IF(COUNTIF($C$15:C29,C29)=1,ROUND(SUMIF($C:$C,C29,$V:$V),2), "")</f>
        <v/>
      </c>
    </row>
    <row r="30" spans="1:34" s="210" customFormat="1" ht="31.5" hidden="1" customHeight="1" x14ac:dyDescent="0.2">
      <c r="A30" s="196">
        <f t="shared" si="5"/>
        <v>16</v>
      </c>
      <c r="B30" s="196"/>
      <c r="C30" s="196"/>
      <c r="D30" s="197"/>
      <c r="E30" s="197"/>
      <c r="F30" s="198"/>
      <c r="G30" s="199"/>
      <c r="H30" s="197"/>
      <c r="I30" s="200"/>
      <c r="J30" s="285"/>
      <c r="K30" s="201"/>
      <c r="L30" s="265"/>
      <c r="M30" s="202"/>
      <c r="N30" s="203"/>
      <c r="O30" s="203"/>
      <c r="P30" s="203"/>
      <c r="Q30" s="204"/>
      <c r="R30" s="198"/>
      <c r="S30" s="198"/>
      <c r="T30" s="205"/>
      <c r="U30" s="206"/>
      <c r="V30" s="207"/>
      <c r="W30" s="208"/>
      <c r="X30" s="209" t="str">
        <f>IF(COUNTIF($C$15:C30,C30)=1,ROUND(SUMIF($C:$C,C30,$V:$V),2), "")</f>
        <v/>
      </c>
    </row>
    <row r="31" spans="1:34" s="210" customFormat="1" ht="31.5" hidden="1" customHeight="1" x14ac:dyDescent="0.2">
      <c r="A31" s="196">
        <f t="shared" si="5"/>
        <v>17</v>
      </c>
      <c r="B31" s="196"/>
      <c r="C31" s="196"/>
      <c r="D31" s="197"/>
      <c r="E31" s="197"/>
      <c r="F31" s="198"/>
      <c r="G31" s="199"/>
      <c r="H31" s="197"/>
      <c r="I31" s="200"/>
      <c r="J31" s="249"/>
      <c r="K31" s="201"/>
      <c r="L31" s="265"/>
      <c r="M31" s="202"/>
      <c r="N31" s="203"/>
      <c r="O31" s="203"/>
      <c r="P31" s="203"/>
      <c r="Q31" s="204"/>
      <c r="R31" s="198"/>
      <c r="S31" s="198"/>
      <c r="T31" s="205"/>
      <c r="U31" s="206"/>
      <c r="V31" s="207"/>
      <c r="W31" s="208"/>
      <c r="X31" s="209" t="str">
        <f>IF(COUNTIF($C$15:C31,C31)=1,ROUND(SUMIF($C:$C,C31,$V:$V),2), "")</f>
        <v/>
      </c>
    </row>
    <row r="32" spans="1:34" s="210" customFormat="1" ht="31.5" hidden="1" customHeight="1" x14ac:dyDescent="0.2">
      <c r="A32" s="196">
        <f t="shared" si="5"/>
        <v>18</v>
      </c>
      <c r="B32" s="196"/>
      <c r="C32" s="196"/>
      <c r="D32" s="197"/>
      <c r="E32" s="197"/>
      <c r="F32" s="198"/>
      <c r="G32" s="199"/>
      <c r="H32" s="197"/>
      <c r="I32" s="200"/>
      <c r="J32" s="249"/>
      <c r="K32" s="201"/>
      <c r="L32" s="265"/>
      <c r="M32" s="202"/>
      <c r="N32" s="203"/>
      <c r="O32" s="203"/>
      <c r="P32" s="203"/>
      <c r="Q32" s="204"/>
      <c r="R32" s="198"/>
      <c r="S32" s="198"/>
      <c r="T32" s="205"/>
      <c r="U32" s="206"/>
      <c r="V32" s="207"/>
      <c r="W32" s="208"/>
      <c r="X32" s="209" t="str">
        <f>IF(COUNTIF($C$15:C32,C32)=1,ROUND(SUMIF($C:$C,C32,$V:$V),2), "")</f>
        <v/>
      </c>
    </row>
    <row r="33" spans="1:24" s="210" customFormat="1" ht="31.5" hidden="1" customHeight="1" x14ac:dyDescent="0.2">
      <c r="A33" s="196">
        <f t="shared" si="5"/>
        <v>19</v>
      </c>
      <c r="B33" s="196"/>
      <c r="C33" s="196"/>
      <c r="D33" s="197"/>
      <c r="E33" s="197"/>
      <c r="F33" s="198"/>
      <c r="G33" s="199"/>
      <c r="H33" s="197"/>
      <c r="I33" s="200"/>
      <c r="J33" s="249"/>
      <c r="K33" s="201"/>
      <c r="L33" s="265"/>
      <c r="M33" s="202"/>
      <c r="N33" s="203"/>
      <c r="O33" s="203"/>
      <c r="P33" s="203"/>
      <c r="Q33" s="204"/>
      <c r="R33" s="198"/>
      <c r="S33" s="198"/>
      <c r="T33" s="205"/>
      <c r="U33" s="206"/>
      <c r="V33" s="207"/>
      <c r="W33" s="208"/>
      <c r="X33" s="209" t="str">
        <f>IF(COUNTIF($C$15:C33,C33)=1,ROUND(SUMIF($C:$C,C33,$V:$V),2), "")</f>
        <v/>
      </c>
    </row>
    <row r="34" spans="1:24" s="210" customFormat="1" ht="31.5" hidden="1" customHeight="1" x14ac:dyDescent="0.2">
      <c r="A34" s="196">
        <f t="shared" si="5"/>
        <v>20</v>
      </c>
      <c r="B34" s="196"/>
      <c r="C34" s="196"/>
      <c r="D34" s="197"/>
      <c r="E34" s="197"/>
      <c r="F34" s="198"/>
      <c r="G34" s="199"/>
      <c r="H34" s="197"/>
      <c r="I34" s="200"/>
      <c r="J34" s="249"/>
      <c r="K34" s="201"/>
      <c r="L34" s="265"/>
      <c r="M34" s="202"/>
      <c r="N34" s="203"/>
      <c r="O34" s="203"/>
      <c r="P34" s="203"/>
      <c r="Q34" s="204"/>
      <c r="R34" s="198"/>
      <c r="S34" s="198"/>
      <c r="T34" s="205"/>
      <c r="U34" s="206"/>
      <c r="V34" s="207"/>
      <c r="W34" s="208"/>
      <c r="X34" s="209" t="str">
        <f>IF(COUNTIF($C$15:C34,C34)=1,ROUND(SUMIF($C:$C,C34,$V:$V),2), "")</f>
        <v/>
      </c>
    </row>
    <row r="35" spans="1:24" s="210" customFormat="1" ht="31.5" hidden="1" customHeight="1" x14ac:dyDescent="0.2">
      <c r="A35" s="196">
        <f t="shared" si="5"/>
        <v>21</v>
      </c>
      <c r="B35" s="196"/>
      <c r="C35" s="196"/>
      <c r="D35" s="197"/>
      <c r="E35" s="197"/>
      <c r="F35" s="198"/>
      <c r="G35" s="199"/>
      <c r="H35" s="197"/>
      <c r="I35" s="200"/>
      <c r="J35" s="249"/>
      <c r="K35" s="201"/>
      <c r="L35" s="265"/>
      <c r="M35" s="202"/>
      <c r="N35" s="203"/>
      <c r="O35" s="203"/>
      <c r="P35" s="203"/>
      <c r="Q35" s="204"/>
      <c r="R35" s="198"/>
      <c r="S35" s="198"/>
      <c r="T35" s="205"/>
      <c r="U35" s="206"/>
      <c r="V35" s="207"/>
      <c r="W35" s="208"/>
      <c r="X35" s="209" t="str">
        <f>IF(COUNTIF($C$15:C35,C35)=1,ROUND(SUMIF($C:$C,C35,$V:$V),2), "")</f>
        <v/>
      </c>
    </row>
    <row r="36" spans="1:24" s="210" customFormat="1" ht="31.5" hidden="1" customHeight="1" x14ac:dyDescent="0.2">
      <c r="A36" s="196">
        <f t="shared" si="5"/>
        <v>22</v>
      </c>
      <c r="B36" s="196"/>
      <c r="C36" s="196"/>
      <c r="D36" s="197"/>
      <c r="E36" s="197"/>
      <c r="F36" s="198"/>
      <c r="G36" s="199"/>
      <c r="H36" s="197"/>
      <c r="I36" s="200"/>
      <c r="J36" s="249"/>
      <c r="K36" s="201"/>
      <c r="L36" s="265"/>
      <c r="M36" s="202"/>
      <c r="N36" s="203"/>
      <c r="O36" s="203"/>
      <c r="P36" s="203"/>
      <c r="Q36" s="204"/>
      <c r="R36" s="198"/>
      <c r="S36" s="198"/>
      <c r="T36" s="205"/>
      <c r="U36" s="206"/>
      <c r="V36" s="207"/>
      <c r="W36" s="208"/>
      <c r="X36" s="209" t="str">
        <f>IF(COUNTIF($C$15:C36,C36)=1,ROUND(SUMIF($C:$C,C36,$V:$V),2), "")</f>
        <v/>
      </c>
    </row>
    <row r="37" spans="1:24" s="210" customFormat="1" ht="31.5" hidden="1" customHeight="1" x14ac:dyDescent="0.2">
      <c r="A37" s="196"/>
      <c r="B37" s="196"/>
      <c r="C37" s="196"/>
      <c r="D37" s="197"/>
      <c r="E37" s="197"/>
      <c r="F37" s="198"/>
      <c r="G37" s="199"/>
      <c r="H37" s="197"/>
      <c r="I37" s="200"/>
      <c r="J37" s="249"/>
      <c r="K37" s="201"/>
      <c r="L37" s="265"/>
      <c r="M37" s="202"/>
      <c r="N37" s="203"/>
      <c r="O37" s="203"/>
      <c r="P37" s="203"/>
      <c r="Q37" s="204"/>
      <c r="R37" s="198"/>
      <c r="S37" s="198"/>
      <c r="T37" s="205"/>
      <c r="U37" s="206"/>
      <c r="V37" s="207"/>
      <c r="W37" s="208"/>
      <c r="X37" s="209"/>
    </row>
    <row r="38" spans="1:24" s="210" customFormat="1" ht="31.5" hidden="1" customHeight="1" x14ac:dyDescent="0.2">
      <c r="A38" s="196"/>
      <c r="B38" s="196"/>
      <c r="C38" s="196"/>
      <c r="D38" s="197"/>
      <c r="E38" s="197"/>
      <c r="F38" s="198"/>
      <c r="G38" s="199"/>
      <c r="H38" s="197"/>
      <c r="I38" s="200"/>
      <c r="J38" s="249"/>
      <c r="K38" s="201"/>
      <c r="L38" s="265"/>
      <c r="M38" s="202"/>
      <c r="N38" s="203"/>
      <c r="O38" s="203"/>
      <c r="P38" s="203"/>
      <c r="Q38" s="204"/>
      <c r="R38" s="198"/>
      <c r="S38" s="198"/>
      <c r="T38" s="205"/>
      <c r="U38" s="206"/>
      <c r="V38" s="207"/>
      <c r="W38" s="208"/>
      <c r="X38" s="209"/>
    </row>
    <row r="39" spans="1:24" s="210" customFormat="1" ht="31.5" hidden="1" customHeight="1" x14ac:dyDescent="0.2">
      <c r="A39" s="196"/>
      <c r="B39" s="196"/>
      <c r="C39" s="196"/>
      <c r="D39" s="197"/>
      <c r="E39" s="197"/>
      <c r="F39" s="198"/>
      <c r="G39" s="199"/>
      <c r="H39" s="197"/>
      <c r="I39" s="200"/>
      <c r="J39" s="249"/>
      <c r="K39" s="201"/>
      <c r="L39" s="265"/>
      <c r="M39" s="202"/>
      <c r="N39" s="203"/>
      <c r="O39" s="203"/>
      <c r="P39" s="203"/>
      <c r="Q39" s="204"/>
      <c r="R39" s="198"/>
      <c r="S39" s="198"/>
      <c r="T39" s="205"/>
      <c r="U39" s="206"/>
      <c r="V39" s="207"/>
      <c r="W39" s="208"/>
      <c r="X39" s="209"/>
    </row>
    <row r="40" spans="1:24" s="210" customFormat="1" ht="31.5" hidden="1" customHeight="1" x14ac:dyDescent="0.2">
      <c r="A40" s="196"/>
      <c r="B40" s="196"/>
      <c r="C40" s="196"/>
      <c r="D40" s="197"/>
      <c r="E40" s="197"/>
      <c r="F40" s="198"/>
      <c r="G40" s="199"/>
      <c r="H40" s="197"/>
      <c r="I40" s="200"/>
      <c r="J40" s="249"/>
      <c r="K40" s="201"/>
      <c r="L40" s="265"/>
      <c r="M40" s="202"/>
      <c r="N40" s="203"/>
      <c r="O40" s="203"/>
      <c r="P40" s="203"/>
      <c r="Q40" s="204"/>
      <c r="R40" s="198"/>
      <c r="S40" s="198"/>
      <c r="T40" s="205"/>
      <c r="U40" s="206"/>
      <c r="V40" s="207"/>
      <c r="W40" s="208"/>
      <c r="X40" s="209"/>
    </row>
    <row r="41" spans="1:24" s="210" customFormat="1" ht="31.5" hidden="1" customHeight="1" x14ac:dyDescent="0.2">
      <c r="A41" s="196"/>
      <c r="B41" s="196"/>
      <c r="C41" s="196"/>
      <c r="D41" s="260"/>
      <c r="E41" s="197"/>
      <c r="F41" s="198"/>
      <c r="G41" s="199"/>
      <c r="H41" s="197"/>
      <c r="I41" s="200"/>
      <c r="J41" s="249"/>
      <c r="K41" s="201"/>
      <c r="L41" s="265"/>
      <c r="M41" s="202"/>
      <c r="N41" s="203"/>
      <c r="O41" s="203"/>
      <c r="P41" s="203"/>
      <c r="Q41" s="204"/>
      <c r="R41" s="198"/>
      <c r="S41" s="198"/>
      <c r="T41" s="205"/>
      <c r="U41" s="206"/>
      <c r="V41" s="207"/>
      <c r="W41" s="198"/>
      <c r="X41" s="238"/>
    </row>
    <row r="42" spans="1:24" s="210" customFormat="1" ht="31.5" hidden="1" customHeight="1" x14ac:dyDescent="0.2">
      <c r="A42" s="196"/>
      <c r="B42" s="196"/>
      <c r="C42" s="196"/>
      <c r="D42" s="260"/>
      <c r="E42" s="197"/>
      <c r="F42" s="198"/>
      <c r="G42" s="199"/>
      <c r="H42" s="197"/>
      <c r="I42" s="200"/>
      <c r="J42" s="249"/>
      <c r="K42" s="201"/>
      <c r="L42" s="265"/>
      <c r="M42" s="202"/>
      <c r="N42" s="203"/>
      <c r="O42" s="203"/>
      <c r="P42" s="203"/>
      <c r="Q42" s="204"/>
      <c r="R42" s="198"/>
      <c r="S42" s="198"/>
      <c r="T42" s="205"/>
      <c r="U42" s="206"/>
      <c r="V42" s="207"/>
      <c r="W42" s="198"/>
      <c r="X42" s="238"/>
    </row>
    <row r="43" spans="1:24" s="210" customFormat="1" ht="31.5" hidden="1" customHeight="1" x14ac:dyDescent="0.2">
      <c r="A43" s="196"/>
      <c r="B43" s="196"/>
      <c r="C43" s="196"/>
      <c r="D43" s="260"/>
      <c r="E43" s="197"/>
      <c r="F43" s="198"/>
      <c r="G43" s="199"/>
      <c r="H43" s="197"/>
      <c r="I43" s="200"/>
      <c r="J43" s="249"/>
      <c r="K43" s="201"/>
      <c r="L43" s="265"/>
      <c r="M43" s="202"/>
      <c r="N43" s="203"/>
      <c r="O43" s="203"/>
      <c r="P43" s="203"/>
      <c r="Q43" s="204"/>
      <c r="R43" s="198"/>
      <c r="S43" s="198"/>
      <c r="T43" s="205"/>
      <c r="U43" s="206"/>
      <c r="V43" s="207"/>
      <c r="W43" s="198"/>
      <c r="X43" s="238"/>
    </row>
    <row r="44" spans="1:24" s="284" customFormat="1" ht="31.5" hidden="1" customHeight="1" x14ac:dyDescent="0.2">
      <c r="A44" s="270"/>
      <c r="B44" s="270"/>
      <c r="C44" s="270"/>
      <c r="D44" s="271"/>
      <c r="E44" s="272"/>
      <c r="F44" s="273"/>
      <c r="G44" s="274"/>
      <c r="H44" s="197"/>
      <c r="I44" s="275"/>
      <c r="J44" s="276"/>
      <c r="K44" s="277"/>
      <c r="L44" s="278"/>
      <c r="M44" s="279"/>
      <c r="N44" s="277"/>
      <c r="O44" s="277"/>
      <c r="P44" s="277"/>
      <c r="Q44" s="277"/>
      <c r="R44" s="273"/>
      <c r="S44" s="273"/>
      <c r="T44" s="280"/>
      <c r="U44" s="281"/>
      <c r="V44" s="282"/>
      <c r="W44" s="273"/>
      <c r="X44" s="283"/>
    </row>
    <row r="45" spans="1:24" s="284" customFormat="1" ht="31.5" hidden="1" customHeight="1" x14ac:dyDescent="0.2">
      <c r="A45" s="270"/>
      <c r="B45" s="270"/>
      <c r="C45" s="270"/>
      <c r="D45" s="271"/>
      <c r="E45" s="272"/>
      <c r="F45" s="273"/>
      <c r="G45" s="274"/>
      <c r="H45" s="197"/>
      <c r="I45" s="275"/>
      <c r="J45" s="276"/>
      <c r="K45" s="277"/>
      <c r="L45" s="278"/>
      <c r="M45" s="279"/>
      <c r="N45" s="277"/>
      <c r="O45" s="277"/>
      <c r="P45" s="277"/>
      <c r="Q45" s="277"/>
      <c r="R45" s="273"/>
      <c r="S45" s="273"/>
      <c r="T45" s="280"/>
      <c r="U45" s="281"/>
      <c r="V45" s="282"/>
      <c r="W45" s="273"/>
      <c r="X45" s="283"/>
    </row>
    <row r="46" spans="1:24" s="210" customFormat="1" ht="31.5" customHeight="1" x14ac:dyDescent="0.2">
      <c r="A46" s="212"/>
      <c r="B46" s="212"/>
      <c r="C46" s="212"/>
      <c r="D46" s="212"/>
      <c r="E46" s="213"/>
      <c r="F46" s="212"/>
      <c r="G46" s="212"/>
      <c r="H46" s="214" t="s">
        <v>155</v>
      </c>
      <c r="I46" s="215">
        <f>SUM(I13:I43)</f>
        <v>10</v>
      </c>
      <c r="J46" s="248"/>
      <c r="K46" s="216"/>
      <c r="L46" s="264"/>
      <c r="M46" s="216"/>
      <c r="N46" s="217"/>
      <c r="O46" s="217"/>
      <c r="P46" s="217"/>
      <c r="Q46" s="213"/>
      <c r="R46" s="213"/>
      <c r="S46" s="213"/>
      <c r="T46" s="218">
        <f>SUM(T13:T45)</f>
        <v>13369.526041666668</v>
      </c>
      <c r="U46" s="219"/>
      <c r="V46" s="220">
        <f>SUM(V13:V45)</f>
        <v>2989.0696117187499</v>
      </c>
      <c r="W46" s="219"/>
      <c r="X46" s="220"/>
    </row>
    <row r="47" spans="1:24" s="210" customFormat="1" ht="31.5" customHeight="1" x14ac:dyDescent="0.2">
      <c r="A47" s="196"/>
      <c r="B47" s="196"/>
      <c r="C47" s="196"/>
      <c r="D47" s="197"/>
      <c r="E47" s="197"/>
      <c r="F47" s="198"/>
      <c r="G47" s="199"/>
      <c r="H47" s="221" t="s">
        <v>156</v>
      </c>
      <c r="I47" s="222"/>
      <c r="J47" s="250"/>
      <c r="K47" s="204"/>
      <c r="L47" s="266"/>
      <c r="M47" s="223"/>
      <c r="N47" s="204"/>
      <c r="O47" s="204"/>
      <c r="P47" s="204"/>
      <c r="Q47" s="224"/>
      <c r="R47" s="224"/>
      <c r="S47" s="224"/>
      <c r="T47" s="205"/>
      <c r="U47" s="224"/>
      <c r="V47" s="207"/>
      <c r="W47" s="224"/>
      <c r="X47" s="207"/>
    </row>
    <row r="48" spans="1:24" s="210" customFormat="1" ht="31.5" customHeight="1" x14ac:dyDescent="0.2">
      <c r="A48" s="212"/>
      <c r="B48" s="212"/>
      <c r="C48" s="212"/>
      <c r="D48" s="213"/>
      <c r="E48" s="213"/>
      <c r="F48" s="213"/>
      <c r="G48" s="213"/>
      <c r="H48" s="214" t="s">
        <v>162</v>
      </c>
      <c r="I48" s="215">
        <f>SUM(I15:I43)</f>
        <v>10</v>
      </c>
      <c r="J48" s="248"/>
      <c r="K48" s="216"/>
      <c r="L48" s="264"/>
      <c r="M48" s="216"/>
      <c r="N48" s="217"/>
      <c r="O48" s="217"/>
      <c r="P48" s="217"/>
      <c r="Q48" s="213"/>
      <c r="R48" s="213"/>
      <c r="S48" s="213"/>
      <c r="T48" s="218">
        <f>SUM(T15:T45)</f>
        <v>13369.526041666668</v>
      </c>
      <c r="U48" s="219"/>
      <c r="V48" s="220">
        <f>+V46+V47</f>
        <v>2989.0696117187499</v>
      </c>
      <c r="W48" s="219"/>
      <c r="X48" s="220"/>
    </row>
    <row r="49" spans="1:24" s="228" customFormat="1" ht="15" customHeight="1" x14ac:dyDescent="0.25">
      <c r="A49" s="225"/>
      <c r="B49" s="225"/>
      <c r="C49" s="225"/>
      <c r="D49" s="225"/>
      <c r="E49" s="225"/>
      <c r="F49" s="226"/>
      <c r="G49" s="225"/>
      <c r="H49" s="227"/>
      <c r="I49" s="227"/>
      <c r="J49" s="251"/>
      <c r="L49" s="267"/>
      <c r="V49" s="229"/>
      <c r="X49" s="230"/>
    </row>
    <row r="50" spans="1:24" s="228" customFormat="1" ht="15" customHeight="1" x14ac:dyDescent="0.25">
      <c r="A50" s="225" t="s">
        <v>218</v>
      </c>
      <c r="B50" s="225"/>
      <c r="C50" s="225"/>
      <c r="D50" s="225"/>
      <c r="E50" s="225"/>
      <c r="F50" s="226"/>
      <c r="G50" s="225"/>
      <c r="H50" s="227"/>
      <c r="I50" s="227"/>
      <c r="J50" s="251"/>
      <c r="L50" s="267"/>
      <c r="V50" s="229"/>
      <c r="X50" s="230"/>
    </row>
    <row r="51" spans="1:24" s="228" customFormat="1" ht="15" customHeight="1" x14ac:dyDescent="0.25">
      <c r="A51" s="225"/>
      <c r="B51" s="225"/>
      <c r="C51" s="225"/>
      <c r="D51" s="225"/>
      <c r="E51" s="225"/>
      <c r="F51" s="226"/>
      <c r="G51" s="225"/>
      <c r="H51" s="227"/>
      <c r="I51" s="227"/>
      <c r="J51" s="251"/>
      <c r="L51" s="267"/>
      <c r="V51" s="229"/>
      <c r="X51" s="230"/>
    </row>
    <row r="52" spans="1:24" s="228" customFormat="1" ht="15" customHeight="1" x14ac:dyDescent="0.25">
      <c r="A52" s="225" t="s">
        <v>219</v>
      </c>
      <c r="B52" s="225"/>
      <c r="C52" s="225"/>
      <c r="D52" s="225"/>
      <c r="E52" s="225"/>
      <c r="F52" s="226"/>
      <c r="G52" s="225"/>
      <c r="H52" s="227"/>
      <c r="I52" s="227"/>
      <c r="J52" s="251"/>
      <c r="L52" s="267"/>
      <c r="V52" s="229"/>
      <c r="X52" s="230"/>
    </row>
    <row r="53" spans="1:24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252"/>
      <c r="K53" s="35"/>
      <c r="L53" s="268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4" ht="15" customHeight="1" x14ac:dyDescent="0.25">
      <c r="A54" s="48"/>
      <c r="B54" s="48"/>
      <c r="C54" s="48"/>
      <c r="D54" s="48"/>
      <c r="E54" s="48"/>
      <c r="F54" s="84"/>
      <c r="G54" s="48"/>
      <c r="H54" s="85"/>
      <c r="I54" s="85"/>
      <c r="J54" s="252"/>
      <c r="K54" s="35"/>
      <c r="L54" s="268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4" ht="15" customHeight="1" x14ac:dyDescent="0.25">
      <c r="A55" s="86"/>
      <c r="B55" s="318"/>
      <c r="C55" s="318"/>
      <c r="D55" s="318"/>
      <c r="E55" s="318"/>
      <c r="F55" s="318"/>
      <c r="G55" s="318"/>
      <c r="H55" s="318"/>
      <c r="I55" s="318"/>
      <c r="J55" s="318"/>
      <c r="K55" s="35"/>
      <c r="L55" s="268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4" ht="15" customHeight="1" x14ac:dyDescent="0.25">
      <c r="A56" s="86"/>
      <c r="B56" s="319"/>
      <c r="C56" s="319"/>
      <c r="D56" s="319"/>
      <c r="E56" s="319"/>
      <c r="F56" s="319"/>
      <c r="G56" s="319"/>
      <c r="H56" s="319"/>
      <c r="I56" s="319"/>
      <c r="J56" s="319"/>
      <c r="K56" s="35"/>
      <c r="L56" s="268"/>
      <c r="M56" s="35"/>
      <c r="N56" s="35"/>
      <c r="O56" s="35"/>
      <c r="P56" s="35"/>
      <c r="Q56" s="35"/>
      <c r="R56" s="35"/>
      <c r="S56" s="35"/>
      <c r="T56" s="35"/>
      <c r="U56" s="35"/>
      <c r="V56" s="89"/>
    </row>
  </sheetData>
  <autoFilter ref="A14:X36" xr:uid="{5A9B90AA-DC47-41A5-A373-D037647105BD}"/>
  <mergeCells count="5">
    <mergeCell ref="A7:E7"/>
    <mergeCell ref="F7:G7"/>
    <mergeCell ref="R9:S9"/>
    <mergeCell ref="B55:J55"/>
    <mergeCell ref="B56:J56"/>
  </mergeCells>
  <pageMargins left="0" right="0" top="1" bottom="0" header="0.511811023622047" footer="0.511811023622047"/>
  <pageSetup paperSize="9" scale="40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colBreaks count="2" manualBreakCount="2">
    <brk id="4" max="1048575" man="1"/>
    <brk id="6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F3F644FB-B825-47ED-B485-D9297ECC9BBF}">
          <x14:formula1>
            <xm:f>'SIZE GUIDE'!$A$3:$A$38</xm:f>
          </x14:formula1>
          <xm:sqref>E15:E48</xm:sqref>
        </x14:dataValidation>
        <x14:dataValidation type="list" allowBlank="1" xr:uid="{ABF1EDE8-403C-4BE0-AD4E-E67B07EA0C7C}">
          <x14:formula1>
            <xm:f>LISTS!$B$2:$B$8</xm:f>
          </x14:formula1>
          <x14:formula2>
            <xm:f>0</xm:f>
          </x14:formula2>
          <xm:sqref>H15:H48</xm:sqref>
        </x14:dataValidation>
        <x14:dataValidation type="list" errorStyle="information" allowBlank="1" showInputMessage="1" xr:uid="{922E78A2-77A8-405E-B6C6-4ACC1BE807F6}">
          <x14:formula1>
            <xm:f>CODE_MASTER_AS!$A$3:$A$14</xm:f>
          </x14:formula1>
          <xm:sqref>C47:C48 F46:G46 C15:C45</xm:sqref>
        </x14:dataValidation>
        <x14:dataValidation type="list" allowBlank="1" showInputMessage="1" showErrorMessage="1" xr:uid="{88494756-C866-4F30-840B-FA543179B5B7}">
          <x14:formula1>
            <xm:f>'SIZE GUIDE'!$B:$B</xm:f>
          </x14:formula1>
          <xm:sqref>G46 F15:F48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1E069-BBED-4B59-8325-CE2C4AA742AA}">
  <sheetPr codeName="Sheet28">
    <pageSetUpPr fitToPage="1"/>
  </sheetPr>
  <dimension ref="A1:AC60"/>
  <sheetViews>
    <sheetView showGridLines="0" view="pageBreakPreview" topLeftCell="A17" zoomScale="89" zoomScaleNormal="68" zoomScaleSheetLayoutView="89" workbookViewId="0">
      <selection activeCell="Z21" sqref="Z21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6.5" style="16" customWidth="1"/>
    <col min="4" max="4" width="13.83203125" style="16" customWidth="1"/>
    <col min="5" max="5" width="15.1640625" style="16" customWidth="1"/>
    <col min="6" max="6" width="10.5" style="16" customWidth="1"/>
    <col min="7" max="7" width="13.6640625" style="16" hidden="1" customWidth="1"/>
    <col min="8" max="8" width="18.5" style="16" customWidth="1"/>
    <col min="9" max="10" width="8" style="16" customWidth="1"/>
    <col min="11" max="17" width="10.6640625" style="16" hidden="1" customWidth="1"/>
    <col min="18" max="20" width="8.1640625" style="16" customWidth="1"/>
    <col min="21" max="22" width="12.5" style="16" customWidth="1"/>
    <col min="23" max="23" width="13.1640625" style="98" customWidth="1"/>
    <col min="24" max="24" width="47" style="16" customWidth="1"/>
    <col min="25" max="25" width="15.33203125" style="23" hidden="1" customWidth="1"/>
    <col min="26" max="16384" width="8.6640625" style="16"/>
  </cols>
  <sheetData>
    <row r="1" spans="1:29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13"/>
      <c r="K1" s="29"/>
      <c r="L1" s="29"/>
      <c r="M1" s="29"/>
      <c r="N1" s="29"/>
      <c r="O1" s="27"/>
      <c r="P1" s="27"/>
      <c r="Q1" s="27"/>
      <c r="R1" s="13"/>
      <c r="S1" s="13"/>
      <c r="T1" s="13"/>
      <c r="U1" s="13"/>
      <c r="V1" s="13"/>
      <c r="W1" s="22"/>
      <c r="X1" s="13"/>
      <c r="Y1" s="22"/>
    </row>
    <row r="2" spans="1:29" s="14" customFormat="1" ht="33.75" customHeight="1" x14ac:dyDescent="0.2">
      <c r="A2" s="13"/>
      <c r="B2" s="13"/>
      <c r="C2" s="13"/>
      <c r="D2" s="13"/>
      <c r="E2" s="13"/>
      <c r="F2" s="13"/>
      <c r="G2" s="13"/>
      <c r="K2" s="30"/>
      <c r="L2" s="31"/>
      <c r="M2" s="29"/>
      <c r="N2" s="32" t="s">
        <v>161</v>
      </c>
      <c r="O2" s="27"/>
      <c r="P2" s="27"/>
      <c r="Q2" s="28" t="s">
        <v>160</v>
      </c>
      <c r="S2" s="20"/>
      <c r="T2" s="21"/>
      <c r="V2" s="13"/>
      <c r="X2" s="20" t="s">
        <v>151</v>
      </c>
      <c r="Y2" s="22"/>
    </row>
    <row r="3" spans="1:29" ht="15" customHeight="1" x14ac:dyDescent="0.25">
      <c r="A3" s="33" t="s">
        <v>144</v>
      </c>
      <c r="B3" s="34"/>
      <c r="C3" s="35"/>
      <c r="D3" s="35"/>
      <c r="E3" s="35"/>
      <c r="F3" s="35"/>
      <c r="G3" s="36"/>
      <c r="H3" s="35"/>
      <c r="I3" s="35"/>
      <c r="J3" s="35"/>
      <c r="K3" s="37"/>
      <c r="L3" s="37"/>
      <c r="M3" s="37"/>
      <c r="N3" s="37"/>
      <c r="O3" s="38"/>
      <c r="P3" s="38"/>
      <c r="Q3" s="38"/>
      <c r="R3" s="39"/>
      <c r="S3" s="39"/>
      <c r="T3" s="39"/>
      <c r="U3" s="35"/>
      <c r="V3" s="36"/>
      <c r="W3" s="39"/>
      <c r="X3" s="13"/>
      <c r="Y3" s="22"/>
    </row>
    <row r="4" spans="1:29" ht="21" customHeight="1" x14ac:dyDescent="0.25">
      <c r="A4" s="33" t="s">
        <v>145</v>
      </c>
      <c r="B4" s="34"/>
      <c r="C4" s="40"/>
      <c r="D4" s="40"/>
      <c r="E4" s="35"/>
      <c r="F4" s="35"/>
      <c r="G4" s="36"/>
      <c r="H4" s="35"/>
      <c r="I4" s="35"/>
      <c r="J4" s="35"/>
      <c r="K4" s="37"/>
      <c r="L4" s="37"/>
      <c r="M4" s="37"/>
      <c r="N4" s="37"/>
      <c r="O4" s="38"/>
      <c r="P4" s="38"/>
      <c r="Q4" s="38"/>
      <c r="R4" s="39"/>
      <c r="S4" s="39"/>
      <c r="T4" s="39"/>
      <c r="U4" s="35"/>
      <c r="V4" s="36"/>
      <c r="W4" s="39"/>
      <c r="X4" s="13"/>
      <c r="Y4" s="22"/>
    </row>
    <row r="5" spans="1:29" ht="21" customHeight="1" x14ac:dyDescent="0.25">
      <c r="A5" s="33" t="s">
        <v>146</v>
      </c>
      <c r="B5" s="34"/>
      <c r="C5" s="34"/>
      <c r="D5" s="34"/>
      <c r="E5" s="35"/>
      <c r="F5" s="35"/>
      <c r="G5" s="36"/>
      <c r="H5" s="35"/>
      <c r="I5" s="35"/>
      <c r="J5" s="35"/>
      <c r="K5" s="37"/>
      <c r="L5" s="37"/>
      <c r="M5" s="37"/>
      <c r="N5" s="37"/>
      <c r="O5" s="38"/>
      <c r="P5" s="38"/>
      <c r="Q5" s="38"/>
      <c r="R5" s="39"/>
      <c r="S5" s="39"/>
      <c r="T5" s="39"/>
      <c r="U5" s="35"/>
      <c r="V5" s="36"/>
      <c r="W5" s="39"/>
      <c r="X5" s="13"/>
      <c r="Y5" s="22"/>
    </row>
    <row r="6" spans="1:29" ht="21" customHeight="1" x14ac:dyDescent="0.25">
      <c r="A6" s="41"/>
      <c r="B6" s="34"/>
      <c r="C6" s="34"/>
      <c r="D6" s="34"/>
      <c r="E6" s="35"/>
      <c r="F6" s="35"/>
      <c r="G6" s="36"/>
      <c r="H6" s="35"/>
      <c r="I6" s="35"/>
      <c r="J6" s="35"/>
      <c r="K6" s="37"/>
      <c r="L6" s="37"/>
      <c r="M6" s="37"/>
      <c r="N6" s="37"/>
      <c r="O6" s="38"/>
      <c r="P6" s="38"/>
      <c r="Q6" s="38"/>
      <c r="R6" s="39"/>
      <c r="S6" s="39"/>
      <c r="T6" s="39"/>
      <c r="U6" s="35"/>
      <c r="V6" s="36"/>
      <c r="W6" s="39"/>
      <c r="X6" s="13"/>
      <c r="Y6" s="22"/>
    </row>
    <row r="7" spans="1:29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16"/>
      <c r="I7" s="35"/>
      <c r="J7" s="35"/>
      <c r="K7" s="37"/>
      <c r="L7" s="37"/>
      <c r="M7" s="37"/>
      <c r="N7" s="37"/>
      <c r="O7" s="38"/>
      <c r="P7" s="38"/>
      <c r="Q7" s="38"/>
      <c r="R7" s="43" t="s">
        <v>147</v>
      </c>
      <c r="S7" s="43"/>
      <c r="T7" s="43"/>
      <c r="U7" s="43"/>
      <c r="V7" s="43"/>
      <c r="W7" s="43" t="s">
        <v>148</v>
      </c>
      <c r="X7" s="43"/>
      <c r="Y7" s="43"/>
    </row>
    <row r="8" spans="1:29" ht="15" customHeight="1" x14ac:dyDescent="0.25">
      <c r="A8" s="44" t="s">
        <v>103</v>
      </c>
      <c r="B8" s="45"/>
      <c r="C8" s="45"/>
      <c r="D8" s="45"/>
      <c r="E8" s="46"/>
      <c r="F8" s="46"/>
      <c r="G8" s="36"/>
      <c r="H8" s="46"/>
      <c r="I8" s="35"/>
      <c r="J8" s="35"/>
      <c r="K8" s="37"/>
      <c r="L8" s="37"/>
      <c r="M8" s="37"/>
      <c r="N8" s="37"/>
      <c r="O8" s="38"/>
      <c r="P8" s="38"/>
      <c r="Q8" s="38"/>
      <c r="R8" s="105" t="s">
        <v>310</v>
      </c>
      <c r="S8" s="87"/>
      <c r="T8" s="106"/>
      <c r="U8" s="46"/>
      <c r="V8" s="107"/>
      <c r="W8" s="108">
        <v>46212</v>
      </c>
      <c r="X8" s="13"/>
      <c r="Y8" s="22"/>
    </row>
    <row r="9" spans="1:29" ht="15" customHeight="1" x14ac:dyDescent="0.25">
      <c r="A9" s="46"/>
      <c r="B9" s="45"/>
      <c r="C9" s="46"/>
      <c r="D9" s="46"/>
      <c r="E9" s="35"/>
      <c r="F9" s="46"/>
      <c r="G9" s="36"/>
      <c r="H9" s="46"/>
      <c r="I9" s="35"/>
      <c r="J9" s="35"/>
      <c r="K9" s="37"/>
      <c r="L9" s="37"/>
      <c r="M9" s="37"/>
      <c r="N9" s="37"/>
      <c r="O9" s="38"/>
      <c r="P9" s="38"/>
      <c r="Q9" s="38"/>
      <c r="R9" s="86"/>
      <c r="S9" s="320"/>
      <c r="T9" s="320"/>
      <c r="U9" s="46"/>
      <c r="V9" s="107"/>
      <c r="W9" s="33"/>
      <c r="X9" s="13"/>
      <c r="Y9" s="22"/>
    </row>
    <row r="10" spans="1:29" ht="15" customHeight="1" x14ac:dyDescent="0.25">
      <c r="A10" s="46"/>
      <c r="B10" s="45"/>
      <c r="C10" s="46"/>
      <c r="D10" s="46"/>
      <c r="E10" s="35"/>
      <c r="F10" s="46"/>
      <c r="G10" s="36"/>
      <c r="H10" s="46"/>
      <c r="I10" s="35"/>
      <c r="J10" s="35"/>
      <c r="K10" s="37"/>
      <c r="L10" s="37"/>
      <c r="M10" s="37"/>
      <c r="N10" s="37"/>
      <c r="O10" s="38"/>
      <c r="P10" s="38"/>
      <c r="Q10" s="38"/>
      <c r="R10" s="42" t="s">
        <v>149</v>
      </c>
      <c r="S10" s="43"/>
      <c r="T10" s="43"/>
      <c r="U10" s="43"/>
      <c r="V10" s="43"/>
      <c r="W10" s="43" t="s">
        <v>150</v>
      </c>
      <c r="X10" s="43"/>
      <c r="Y10" s="43"/>
    </row>
    <row r="11" spans="1:29" ht="15" customHeight="1" x14ac:dyDescent="0.25">
      <c r="A11" s="46"/>
      <c r="B11" s="34"/>
      <c r="C11" s="35"/>
      <c r="D11" s="35"/>
      <c r="E11" s="35"/>
      <c r="F11" s="46"/>
      <c r="G11" s="46"/>
      <c r="H11" s="46"/>
      <c r="I11" s="35"/>
      <c r="J11" s="35"/>
      <c r="K11" s="37"/>
      <c r="L11" s="37"/>
      <c r="M11" s="37"/>
      <c r="N11" s="37"/>
      <c r="O11" s="38"/>
      <c r="P11" s="38"/>
      <c r="Q11" s="38"/>
      <c r="R11" s="105" t="s">
        <v>309</v>
      </c>
      <c r="S11" s="86"/>
      <c r="T11" s="86"/>
      <c r="U11" s="46"/>
      <c r="V11" s="107"/>
      <c r="W11" s="86"/>
      <c r="X11" s="13"/>
      <c r="Y11" s="22"/>
    </row>
    <row r="12" spans="1:29" ht="15" customHeight="1" x14ac:dyDescent="0.25">
      <c r="A12" s="189" t="s">
        <v>231</v>
      </c>
      <c r="B12" s="34"/>
      <c r="C12" s="35"/>
      <c r="D12" s="35"/>
      <c r="E12" s="35"/>
      <c r="F12" s="46"/>
      <c r="G12" s="46"/>
      <c r="H12" s="46"/>
      <c r="I12" s="35"/>
      <c r="J12" s="35"/>
      <c r="K12" s="37"/>
      <c r="L12" s="37"/>
      <c r="M12" s="37"/>
      <c r="N12" s="37"/>
      <c r="O12" s="38"/>
      <c r="P12" s="38"/>
      <c r="Q12" s="38"/>
      <c r="R12" s="105"/>
      <c r="S12" s="48"/>
      <c r="T12" s="86"/>
      <c r="U12" s="46"/>
      <c r="V12" s="107"/>
      <c r="W12" s="86"/>
      <c r="X12" s="13"/>
      <c r="Y12" s="22"/>
    </row>
    <row r="13" spans="1:29" ht="15" customHeight="1" x14ac:dyDescent="0.25">
      <c r="A13" s="188" t="s">
        <v>246</v>
      </c>
      <c r="B13" s="34"/>
      <c r="C13" s="35"/>
      <c r="D13" s="35"/>
      <c r="E13" s="35"/>
      <c r="F13" s="46"/>
      <c r="G13" s="46"/>
      <c r="H13" s="46"/>
      <c r="I13" s="35"/>
      <c r="J13" s="35"/>
      <c r="K13" s="37"/>
      <c r="L13" s="37"/>
      <c r="M13" s="37"/>
      <c r="N13" s="37"/>
      <c r="O13" s="38"/>
      <c r="P13" s="38"/>
      <c r="Q13" s="38"/>
      <c r="R13" s="105"/>
      <c r="S13" s="35"/>
      <c r="T13" s="48"/>
      <c r="U13" s="48"/>
      <c r="V13" s="47"/>
      <c r="W13" s="49"/>
      <c r="X13" s="13"/>
      <c r="Y13" s="22"/>
    </row>
    <row r="14" spans="1:29" ht="15" customHeight="1" x14ac:dyDescent="0.25">
      <c r="A14" s="46"/>
      <c r="B14" s="34"/>
      <c r="C14" s="35"/>
      <c r="D14" s="35"/>
      <c r="E14" s="35"/>
      <c r="F14" s="46"/>
      <c r="G14" s="46"/>
      <c r="H14" s="46"/>
      <c r="I14" s="35"/>
      <c r="J14" s="35"/>
      <c r="K14" s="37"/>
      <c r="L14" s="37"/>
      <c r="M14" s="37"/>
      <c r="N14" s="37"/>
      <c r="O14" s="38"/>
      <c r="P14" s="38"/>
      <c r="Q14" s="38"/>
      <c r="R14" s="48"/>
      <c r="S14" s="48"/>
      <c r="T14" s="48"/>
      <c r="U14" s="48"/>
      <c r="V14" s="47"/>
      <c r="W14" s="49"/>
      <c r="X14" s="13"/>
      <c r="Y14" s="22"/>
    </row>
    <row r="15" spans="1:29" ht="15" hidden="1" customHeight="1" x14ac:dyDescent="0.25">
      <c r="A15" s="35"/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50"/>
      <c r="M15" s="50" t="s">
        <v>137</v>
      </c>
      <c r="N15" s="50"/>
      <c r="O15" s="51"/>
      <c r="P15" s="51" t="s">
        <v>138</v>
      </c>
      <c r="Q15" s="51"/>
      <c r="R15" s="52"/>
      <c r="S15" s="52" t="s">
        <v>134</v>
      </c>
      <c r="T15" s="52"/>
      <c r="U15" s="35"/>
      <c r="V15" s="35"/>
      <c r="W15" s="89"/>
      <c r="X15" s="16" t="s">
        <v>142</v>
      </c>
    </row>
    <row r="16" spans="1:29" s="17" customFormat="1" ht="41.25" customHeight="1" x14ac:dyDescent="0.2">
      <c r="A16" s="53" t="s">
        <v>158</v>
      </c>
      <c r="B16" s="53" t="s">
        <v>0</v>
      </c>
      <c r="C16" s="53" t="s">
        <v>1</v>
      </c>
      <c r="D16" s="54" t="s">
        <v>217</v>
      </c>
      <c r="E16" s="54" t="s">
        <v>135</v>
      </c>
      <c r="F16" s="54" t="s">
        <v>157</v>
      </c>
      <c r="G16" s="54" t="s">
        <v>3</v>
      </c>
      <c r="H16" s="54" t="s">
        <v>152</v>
      </c>
      <c r="I16" s="54" t="s">
        <v>105</v>
      </c>
      <c r="J16" s="54" t="s">
        <v>5</v>
      </c>
      <c r="K16" s="55" t="s">
        <v>64</v>
      </c>
      <c r="L16" s="55" t="s">
        <v>136</v>
      </c>
      <c r="M16" s="55" t="s">
        <v>24</v>
      </c>
      <c r="N16" s="55" t="s">
        <v>108</v>
      </c>
      <c r="O16" s="56" t="s">
        <v>136</v>
      </c>
      <c r="P16" s="56" t="s">
        <v>24</v>
      </c>
      <c r="Q16" s="56" t="s">
        <v>108</v>
      </c>
      <c r="R16" s="54" t="s">
        <v>136</v>
      </c>
      <c r="S16" s="54" t="s">
        <v>24</v>
      </c>
      <c r="T16" s="54" t="s">
        <v>108</v>
      </c>
      <c r="U16" s="131" t="s">
        <v>159</v>
      </c>
      <c r="V16" s="91" t="s">
        <v>6</v>
      </c>
      <c r="W16" s="92" t="s">
        <v>7</v>
      </c>
      <c r="X16" s="53" t="s">
        <v>214</v>
      </c>
      <c r="Y16" s="53" t="s">
        <v>141</v>
      </c>
      <c r="AC16" s="16"/>
    </row>
    <row r="17" spans="1:25" s="17" customFormat="1" ht="36" customHeight="1" x14ac:dyDescent="0.2">
      <c r="A17" s="57">
        <v>1</v>
      </c>
      <c r="B17" s="57" t="str" cm="1">
        <f t="array" ref="B17">_xlfn.LET(_xlpm.r,_xlfn.XLOOKUP(1,
(TRIM(CODE_PRICE!$A$4:$A$2003)=TRIM($C$4))*
(TRIM(CODE_PRICE!$B$4:$B$2003)=TRIM(C17)),
CODE_PRICE!$C$4:$C$2003,
""),
IF(OR(_xlpm.r="",_xlpm.r=0),"",_xlpm.r))</f>
        <v/>
      </c>
      <c r="C17" s="57" t="s">
        <v>97</v>
      </c>
      <c r="D17" s="57" t="str" cm="1">
        <f t="array" ref="D17">IFERROR(
_xlfn.XLOOKUP(1,
(CODE_PRICE!$A$3:$A$1003=$A$8)*
(CODE_PRICE!$B$3:$B$1003=C17),
CODE_PRICE!$C$3:$C$1003
),
"")</f>
        <v>FM1836</v>
      </c>
      <c r="E17" s="57" t="s">
        <v>309</v>
      </c>
      <c r="F17" s="58" t="s">
        <v>11</v>
      </c>
      <c r="G17" s="59" t="s">
        <v>123</v>
      </c>
      <c r="H17" s="60" t="str">
        <f>IF(COUNTIFS($C$17:C17,C17,$I$17:I17,I17)=1,
SUMIFS($J$17:$J$49,$C$17:$C$49,C17,$I$17:$I$49,I17)&amp;I17&amp;" "&amp;C17,
"")</f>
        <v>9S CFN39180W</v>
      </c>
      <c r="I17" s="58" t="s">
        <v>22</v>
      </c>
      <c r="J17" s="61">
        <v>1</v>
      </c>
      <c r="K17" s="62"/>
      <c r="L17" s="63">
        <v>108</v>
      </c>
      <c r="M17" s="257">
        <v>81</v>
      </c>
      <c r="N17" s="64">
        <v>37</v>
      </c>
      <c r="O17" s="65"/>
      <c r="P17" s="65" t="str" cm="1">
        <f t="array" ref="P17">IF(F17="trim",IFERROR(INDEX('SIZE GUIDE'!$E:$E,MATCH(1,('SIZE GUIDE'!$A:$A=$F17)*('SIZE GUIDE'!$B:$B=$G17)*('SIZE GUIDE'!$C:$C=$I17),0)),""),"")</f>
        <v/>
      </c>
      <c r="Q17" s="65"/>
      <c r="R17" s="59">
        <v>107</v>
      </c>
      <c r="S17" s="59">
        <f t="shared" ref="S17:S26" si="0">M17</f>
        <v>81</v>
      </c>
      <c r="T17" s="258">
        <f t="shared" ref="T17:T26" si="1">IF(F17="untrim",N17-0.5,Q17-0.5)</f>
        <v>36.5</v>
      </c>
      <c r="U17" s="93">
        <f t="shared" ref="U17:U26" si="2">IFERROR(R17*S17*T17/144*J17,"")</f>
        <v>2196.84375</v>
      </c>
      <c r="V17" s="99">
        <f>SUMIFS(CODE_PRICE!F:F,CODE_PRICE!B:B,'DICKSON-W28_01'!C17,CODE_PRICE!A:A,'DICKSON-W28_01'!$A$8)</f>
        <v>0.32900000000000001</v>
      </c>
      <c r="W17" s="95">
        <f>U17*V17</f>
        <v>722.76159375000009</v>
      </c>
      <c r="X17" s="244" t="str">
        <f>IF(OR(E17="",C17=""),"",IF(COUNTIFS($E$17:E17,E17,$C$17:C17,C17)=1,E17&amp;" - "&amp;C17&amp;" - "&amp;SUMIFS($J$17:$J$5002,$E$17:$E$5002,E17,$C$17:$C$5002,C17)&amp;I17&amp;" - "&amp;TEXT(SUMIFS($U$17:$U$5002,$E$17:$E$5002,E17,$C$17:$C$5002,C17),"0.00")&amp;" Bf",""))</f>
        <v>11-73002 - CFN39180W - 9S - 20313.28 Bf</v>
      </c>
      <c r="Y17" s="103">
        <f>IF(COUNTIF($C$17:C17,C17)=1,ROUND(SUMIF($C:$C,C17,$W:$W),2), "")</f>
        <v>6683.07</v>
      </c>
    </row>
    <row r="18" spans="1:25" s="17" customFormat="1" ht="36" customHeight="1" x14ac:dyDescent="0.2">
      <c r="A18" s="57">
        <f>A17+1</f>
        <v>2</v>
      </c>
      <c r="B18" s="57" t="str" cm="1">
        <f t="array" ref="B18">_xlfn.LET(_xlpm.r,_xlfn.XLOOKUP(1,
(TRIM(CODE_PRICE!$A$4:$A$2003)=TRIM($C$4))*
(TRIM(CODE_PRICE!$B$4:$B$2003)=TRIM(C18)),
CODE_PRICE!$C$4:$C$2003,
""),
IF(OR(_xlpm.r="",_xlpm.r=0),"",_xlpm.r))</f>
        <v/>
      </c>
      <c r="C18" s="57" t="s">
        <v>97</v>
      </c>
      <c r="D18" s="57" t="str" cm="1">
        <f t="array" ref="D18">IFERROR(
_xlfn.XLOOKUP(1,
(CODE_PRICE!$A$3:$A$1003=$A$8)*
(CODE_PRICE!$B$3:$B$1003=C18),
CODE_PRICE!$C$3:$C$1003
),
"")</f>
        <v>FM1836</v>
      </c>
      <c r="E18" s="57" t="s">
        <v>309</v>
      </c>
      <c r="F18" s="58" t="s">
        <v>11</v>
      </c>
      <c r="G18" s="59" t="s">
        <v>123</v>
      </c>
      <c r="H18" s="60" t="str">
        <f>IF(COUNTIFS($C$17:C18,C18,$I$17:I18,I18)=1,
SUMIFS($J$17:$J$49,$C$17:$C$49,C18,$I$17:$I$49,I18)&amp;I18&amp;" "&amp;C18,
"")</f>
        <v/>
      </c>
      <c r="I18" s="58" t="s">
        <v>22</v>
      </c>
      <c r="J18" s="61">
        <v>1</v>
      </c>
      <c r="K18" s="62"/>
      <c r="L18" s="63">
        <v>108</v>
      </c>
      <c r="M18" s="257">
        <v>81</v>
      </c>
      <c r="N18" s="64">
        <v>37.5</v>
      </c>
      <c r="O18" s="65"/>
      <c r="P18" s="65" t="str" cm="1">
        <f t="array" ref="P18">IF(F18="trim",IFERROR(INDEX('SIZE GUIDE'!$E:$E,MATCH(1,('SIZE GUIDE'!$A:$A=$F18)*('SIZE GUIDE'!$B:$B=$G18)*('SIZE GUIDE'!$C:$C=$I18),0)),""),"")</f>
        <v/>
      </c>
      <c r="Q18" s="65"/>
      <c r="R18" s="59">
        <v>107</v>
      </c>
      <c r="S18" s="59">
        <f t="shared" si="0"/>
        <v>81</v>
      </c>
      <c r="T18" s="258">
        <f t="shared" si="1"/>
        <v>37</v>
      </c>
      <c r="U18" s="93">
        <f t="shared" si="2"/>
        <v>2226.9375</v>
      </c>
      <c r="V18" s="99">
        <f>SUMIFS(CODE_PRICE!F:F,CODE_PRICE!B:B,'DICKSON-W28_01'!C18,CODE_PRICE!A:A,'DICKSON-W28_01'!$A$8)</f>
        <v>0.32900000000000001</v>
      </c>
      <c r="W18" s="95">
        <f t="shared" ref="W18:W26" si="3">U18*V18</f>
        <v>732.66243750000001</v>
      </c>
      <c r="X18" s="244" t="str">
        <f>IF(OR(E18="",C18=""),"",IF(COUNTIFS($E$17:E18,E18,$C$17:C18,C18)=1,E18&amp;" - "&amp;C18&amp;" - "&amp;SUMIFS($J$17:$J$5002,$E$17:$E$5002,E18,$C$17:$C$5002,C18)&amp;I18&amp;" - "&amp;TEXT(SUMIFS($U$17:$U$5002,$E$17:$E$5002,E18,$C$17:$C$5002,C18),"0.00")&amp;" Bf",""))</f>
        <v/>
      </c>
      <c r="Y18" s="24" t="str">
        <f>IF(COUNTIF($C$17:C18,C18)=1,ROUND(SUMIF($C:$C,C18,$W:$W),2), "")</f>
        <v/>
      </c>
    </row>
    <row r="19" spans="1:25" s="17" customFormat="1" ht="36" customHeight="1" x14ac:dyDescent="0.2">
      <c r="A19" s="57">
        <f t="shared" ref="A19:A26" si="4">A18+1</f>
        <v>3</v>
      </c>
      <c r="B19" s="57" t="str" cm="1">
        <f t="array" ref="B19">_xlfn.LET(_xlpm.r,_xlfn.XLOOKUP(1,
(TRIM(CODE_PRICE!$A$4:$A$2003)=TRIM($C$4))*
(TRIM(CODE_PRICE!$B$4:$B$2003)=TRIM(C19)),
CODE_PRICE!$C$4:$C$2003,
""),
IF(OR(_xlpm.r="",_xlpm.r=0),"",_xlpm.r))</f>
        <v/>
      </c>
      <c r="C19" s="57" t="s">
        <v>97</v>
      </c>
      <c r="D19" s="57" t="str" cm="1">
        <f t="array" ref="D19">IFERROR(
_xlfn.XLOOKUP(1,
(CODE_PRICE!$A$3:$A$1003=$A$8)*
(CODE_PRICE!$B$3:$B$1003=C19),
CODE_PRICE!$C$3:$C$1003
),
"")</f>
        <v>FM1836</v>
      </c>
      <c r="E19" s="57" t="s">
        <v>309</v>
      </c>
      <c r="F19" s="58" t="s">
        <v>11</v>
      </c>
      <c r="G19" s="59" t="s">
        <v>123</v>
      </c>
      <c r="H19" s="60" t="str">
        <f>IF(COUNTIFS($C$17:C19,C19,$I$17:I19,I19)=1,
SUMIFS($J$17:$J$49,$C$17:$C$49,C19,$I$17:$I$49,I19)&amp;I19&amp;" "&amp;C19,
"")</f>
        <v/>
      </c>
      <c r="I19" s="58" t="s">
        <v>22</v>
      </c>
      <c r="J19" s="61">
        <v>1</v>
      </c>
      <c r="K19" s="62"/>
      <c r="L19" s="63">
        <v>108</v>
      </c>
      <c r="M19" s="257">
        <v>81</v>
      </c>
      <c r="N19" s="64">
        <v>39.5</v>
      </c>
      <c r="O19" s="65"/>
      <c r="P19" s="65" t="str" cm="1">
        <f t="array" ref="P19">IF(F19="trim",IFERROR(INDEX('SIZE GUIDE'!$E:$E,MATCH(1,('SIZE GUIDE'!$A:$A=$F19)*('SIZE GUIDE'!$B:$B=$G19)*('SIZE GUIDE'!$C:$C=$I19),0)),""),"")</f>
        <v/>
      </c>
      <c r="Q19" s="65"/>
      <c r="R19" s="59">
        <v>107</v>
      </c>
      <c r="S19" s="59">
        <f t="shared" si="0"/>
        <v>81</v>
      </c>
      <c r="T19" s="258">
        <f t="shared" si="1"/>
        <v>39</v>
      </c>
      <c r="U19" s="93">
        <f t="shared" si="2"/>
        <v>2347.3125</v>
      </c>
      <c r="V19" s="99">
        <f>SUMIFS(CODE_PRICE!F:F,CODE_PRICE!B:B,'DICKSON-W28_01'!C19,CODE_PRICE!A:A,'DICKSON-W28_01'!$A$8)</f>
        <v>0.32900000000000001</v>
      </c>
      <c r="W19" s="95">
        <f t="shared" si="3"/>
        <v>772.26581250000004</v>
      </c>
      <c r="X19" s="244" t="str">
        <f>IF(OR(E19="",C19=""),"",IF(COUNTIFS($E$17:E19,E19,$C$17:C19,C19)=1,E19&amp;" - "&amp;C19&amp;" - "&amp;SUMIFS($J$17:$J$5002,$E$17:$E$5002,E19,$C$17:$C$5002,C19)&amp;I19&amp;" - "&amp;TEXT(SUMIFS($U$17:$U$5002,$E$17:$E$5002,E19,$C$17:$C$5002,C19),"0.00")&amp;" Bf",""))</f>
        <v/>
      </c>
      <c r="Y19" s="24" t="str">
        <f>IF(COUNTIF($C$17:C19,C19)=1,ROUND(SUMIF($C:$C,C19,$W:$W),2), "")</f>
        <v/>
      </c>
    </row>
    <row r="20" spans="1:25" s="17" customFormat="1" ht="36" customHeight="1" x14ac:dyDescent="0.2">
      <c r="A20" s="57">
        <f t="shared" si="4"/>
        <v>4</v>
      </c>
      <c r="B20" s="57" t="str" cm="1">
        <f t="array" ref="B20">_xlfn.LET(_xlpm.r,_xlfn.XLOOKUP(1,
(TRIM(CODE_PRICE!$A$4:$A$2003)=TRIM($C$4))*
(TRIM(CODE_PRICE!$B$4:$B$2003)=TRIM(C20)),
CODE_PRICE!$C$4:$C$2003,
""),
IF(OR(_xlpm.r="",_xlpm.r=0),"",_xlpm.r))</f>
        <v/>
      </c>
      <c r="C20" s="57" t="s">
        <v>97</v>
      </c>
      <c r="D20" s="57" t="str" cm="1">
        <f t="array" ref="D20">IFERROR(
_xlfn.XLOOKUP(1,
(CODE_PRICE!$A$3:$A$1003=$A$8)*
(CODE_PRICE!$B$3:$B$1003=C20),
CODE_PRICE!$C$3:$C$1003
),
"")</f>
        <v>FM1836</v>
      </c>
      <c r="E20" s="57" t="s">
        <v>309</v>
      </c>
      <c r="F20" s="58" t="s">
        <v>11</v>
      </c>
      <c r="G20" s="59" t="s">
        <v>123</v>
      </c>
      <c r="H20" s="60" t="str">
        <f>IF(COUNTIFS($C$17:C20,C20,$I$17:I20,I20)=1,
SUMIFS($J$17:$J$49,$C$17:$C$49,C20,$I$17:$I$49,I20)&amp;I20&amp;" "&amp;C20,
"")</f>
        <v/>
      </c>
      <c r="I20" s="58" t="s">
        <v>22</v>
      </c>
      <c r="J20" s="61">
        <v>1</v>
      </c>
      <c r="K20" s="62"/>
      <c r="L20" s="63">
        <v>108</v>
      </c>
      <c r="M20" s="257">
        <v>81</v>
      </c>
      <c r="N20" s="64">
        <v>39.5</v>
      </c>
      <c r="O20" s="65"/>
      <c r="P20" s="65" t="str" cm="1">
        <f t="array" ref="P20">IF(F20="trim",IFERROR(INDEX('SIZE GUIDE'!$E:$E,MATCH(1,('SIZE GUIDE'!$A:$A=$F20)*('SIZE GUIDE'!$B:$B=$G20)*('SIZE GUIDE'!$C:$C=$I20),0)),""),"")</f>
        <v/>
      </c>
      <c r="Q20" s="65"/>
      <c r="R20" s="59">
        <v>107</v>
      </c>
      <c r="S20" s="59">
        <f t="shared" si="0"/>
        <v>81</v>
      </c>
      <c r="T20" s="258">
        <f t="shared" si="1"/>
        <v>39</v>
      </c>
      <c r="U20" s="154">
        <f t="shared" si="2"/>
        <v>2347.3125</v>
      </c>
      <c r="V20" s="99">
        <f>SUMIFS(CODE_PRICE!F:F,CODE_PRICE!B:B,'DICKSON-W28_01'!C20,CODE_PRICE!A:A,'DICKSON-W28_01'!$A$8)</f>
        <v>0.32900000000000001</v>
      </c>
      <c r="W20" s="155">
        <f t="shared" si="3"/>
        <v>772.26581250000004</v>
      </c>
      <c r="X20" s="244" t="str">
        <f>IF(OR(E20="",C20=""),"",IF(COUNTIFS($E$17:E20,E20,$C$17:C20,C20)=1,E20&amp;" - "&amp;C20&amp;" - "&amp;SUMIFS($J$17:$J$5002,$E$17:$E$5002,E20,$C$17:$C$5002,C20)&amp;I20&amp;" - "&amp;TEXT(SUMIFS($U$17:$U$5002,$E$17:$E$5002,E20,$C$17:$C$5002,C20),"0.00")&amp;" Bf",""))</f>
        <v/>
      </c>
      <c r="Y20" s="157" t="str">
        <f>IF(COUNTIF($C$17:C20,C20)=1,ROUND(SUMIF($C:$C,C20,$W:$W),2), "")</f>
        <v/>
      </c>
    </row>
    <row r="21" spans="1:25" s="17" customFormat="1" ht="36" customHeight="1" x14ac:dyDescent="0.2">
      <c r="A21" s="57">
        <f t="shared" si="4"/>
        <v>5</v>
      </c>
      <c r="B21" s="57" t="str" cm="1">
        <f t="array" ref="B21">_xlfn.LET(_xlpm.r,_xlfn.XLOOKUP(1,
(TRIM(CODE_PRICE!$A$4:$A$2003)=TRIM($C$4))*
(TRIM(CODE_PRICE!$B$4:$B$2003)=TRIM(C21)),
CODE_PRICE!$C$4:$C$2003,
""),
IF(OR(_xlpm.r="",_xlpm.r=0),"",_xlpm.r))</f>
        <v/>
      </c>
      <c r="C21" s="57" t="s">
        <v>97</v>
      </c>
      <c r="D21" s="57" t="str" cm="1">
        <f t="array" ref="D21">IFERROR(
_xlfn.XLOOKUP(1,
(CODE_PRICE!$A$3:$A$1003=$A$8)*
(CODE_PRICE!$B$3:$B$1003=C21),
CODE_PRICE!$C$3:$C$1003
),
"")</f>
        <v>FM1836</v>
      </c>
      <c r="E21" s="57" t="s">
        <v>309</v>
      </c>
      <c r="F21" s="58" t="s">
        <v>11</v>
      </c>
      <c r="G21" s="59" t="s">
        <v>123</v>
      </c>
      <c r="H21" s="60" t="str">
        <f>IF(COUNTIFS($C$17:C21,C21,$I$17:I21,I21)=1,
SUMIFS($J$17:$J$49,$C$17:$C$49,C21,$I$17:$I$49,I21)&amp;I21&amp;" "&amp;C21,
"")</f>
        <v/>
      </c>
      <c r="I21" s="58" t="s">
        <v>22</v>
      </c>
      <c r="J21" s="61">
        <v>1</v>
      </c>
      <c r="K21" s="62"/>
      <c r="L21" s="63">
        <v>108</v>
      </c>
      <c r="M21" s="257">
        <v>81</v>
      </c>
      <c r="N21" s="64">
        <v>39.5</v>
      </c>
      <c r="O21" s="65"/>
      <c r="P21" s="65" t="str" cm="1">
        <f t="array" ref="P21">IF(F21="trim",IFERROR(INDEX('SIZE GUIDE'!$E:$E,MATCH(1,('SIZE GUIDE'!$A:$A=$F21)*('SIZE GUIDE'!$B:$B=$G21)*('SIZE GUIDE'!$C:$C=$I21),0)),""),"")</f>
        <v/>
      </c>
      <c r="Q21" s="65"/>
      <c r="R21" s="59">
        <v>107</v>
      </c>
      <c r="S21" s="59">
        <f t="shared" si="0"/>
        <v>81</v>
      </c>
      <c r="T21" s="258">
        <f t="shared" si="1"/>
        <v>39</v>
      </c>
      <c r="U21" s="154">
        <f t="shared" si="2"/>
        <v>2347.3125</v>
      </c>
      <c r="V21" s="99">
        <f>SUMIFS(CODE_PRICE!F:F,CODE_PRICE!B:B,'DICKSON-W28_01'!C21,CODE_PRICE!A:A,'DICKSON-W28_01'!$A$8)</f>
        <v>0.32900000000000001</v>
      </c>
      <c r="W21" s="155">
        <f t="shared" si="3"/>
        <v>772.26581250000004</v>
      </c>
      <c r="X21" s="244" t="str">
        <f>IF(OR(E21="",C21=""),"",IF(COUNTIFS($E$17:E21,E21,$C$17:C21,C21)=1,E21&amp;" - "&amp;C21&amp;" - "&amp;SUMIFS($J$17:$J$5002,$E$17:$E$5002,E21,$C$17:$C$5002,C21)&amp;I21&amp;" - "&amp;TEXT(SUMIFS($U$17:$U$5002,$E$17:$E$5002,E21,$C$17:$C$5002,C21),"0.00")&amp;" Bf",""))</f>
        <v/>
      </c>
      <c r="Y21" s="157" t="str">
        <f>IF(COUNTIF($C$17:C21,C21)=1,ROUND(SUMIF($C:$C,C21,$W:$W),2), "")</f>
        <v/>
      </c>
    </row>
    <row r="22" spans="1:25" s="17" customFormat="1" ht="36" customHeight="1" x14ac:dyDescent="0.2">
      <c r="A22" s="57">
        <f t="shared" si="4"/>
        <v>6</v>
      </c>
      <c r="B22" s="57" t="str" cm="1">
        <f t="array" ref="B22">_xlfn.LET(_xlpm.r,_xlfn.XLOOKUP(1,
(TRIM(CODE_PRICE!$A$4:$A$2003)=TRIM($C$4))*
(TRIM(CODE_PRICE!$B$4:$B$2003)=TRIM(C22)),
CODE_PRICE!$C$4:$C$2003,
""),
IF(OR(_xlpm.r="",_xlpm.r=0),"",_xlpm.r))</f>
        <v/>
      </c>
      <c r="C22" s="57" t="s">
        <v>97</v>
      </c>
      <c r="D22" s="57" t="str" cm="1">
        <f t="array" ref="D22">IFERROR(
_xlfn.XLOOKUP(1,
(CODE_PRICE!$A$3:$A$1003=$A$8)*
(CODE_PRICE!$B$3:$B$1003=C22),
CODE_PRICE!$C$3:$C$1003
),
"")</f>
        <v>FM1836</v>
      </c>
      <c r="E22" s="57" t="s">
        <v>309</v>
      </c>
      <c r="F22" s="58" t="s">
        <v>11</v>
      </c>
      <c r="G22" s="59" t="s">
        <v>123</v>
      </c>
      <c r="H22" s="60" t="str">
        <f>IF(COUNTIFS($C$17:C22,C22,$I$17:I22,I22)=1,
SUMIFS($J$17:$J$49,$C$17:$C$49,C22,$I$17:$I$49,I22)&amp;I22&amp;" "&amp;C22,
"")</f>
        <v/>
      </c>
      <c r="I22" s="58" t="s">
        <v>22</v>
      </c>
      <c r="J22" s="61">
        <v>1</v>
      </c>
      <c r="K22" s="62"/>
      <c r="L22" s="63">
        <v>108</v>
      </c>
      <c r="M22" s="257">
        <v>81</v>
      </c>
      <c r="N22" s="64">
        <v>36.5</v>
      </c>
      <c r="O22" s="65"/>
      <c r="P22" s="65" t="str" cm="1">
        <f t="array" ref="P22">IF(F22="trim",IFERROR(INDEX('SIZE GUIDE'!$E:$E,MATCH(1,('SIZE GUIDE'!$A:$A=$F22)*('SIZE GUIDE'!$B:$B=$G22)*('SIZE GUIDE'!$C:$C=$I22),0)),""),"")</f>
        <v/>
      </c>
      <c r="Q22" s="65"/>
      <c r="R22" s="59">
        <v>107</v>
      </c>
      <c r="S22" s="59">
        <f t="shared" si="0"/>
        <v>81</v>
      </c>
      <c r="T22" s="258">
        <f t="shared" si="1"/>
        <v>36</v>
      </c>
      <c r="U22" s="154">
        <f t="shared" si="2"/>
        <v>2166.75</v>
      </c>
      <c r="V22" s="99">
        <f>SUMIFS(CODE_PRICE!F:F,CODE_PRICE!B:B,'DICKSON-W28_01'!C22,CODE_PRICE!A:A,'DICKSON-W28_01'!$A$8)</f>
        <v>0.32900000000000001</v>
      </c>
      <c r="W22" s="155">
        <f t="shared" si="3"/>
        <v>712.86075000000005</v>
      </c>
      <c r="X22" s="244" t="str">
        <f>IF(OR(E22="",C22=""),"",IF(COUNTIFS($E$17:E22,E22,$C$17:C22,C22)=1,E22&amp;" - "&amp;C22&amp;" - "&amp;SUMIFS($J$17:$J$5002,$E$17:$E$5002,E22,$C$17:$C$5002,C22)&amp;I22&amp;" - "&amp;TEXT(SUMIFS($U$17:$U$5002,$E$17:$E$5002,E22,$C$17:$C$5002,C22),"0.00")&amp;" Bf",""))</f>
        <v/>
      </c>
      <c r="Y22" s="157" t="str">
        <f>IF(COUNTIF($C$17:C22,C22)=1,ROUND(SUMIF($C:$C,C22,$W:$W),2), "")</f>
        <v/>
      </c>
    </row>
    <row r="23" spans="1:25" s="17" customFormat="1" ht="36" customHeight="1" x14ac:dyDescent="0.2">
      <c r="A23" s="57">
        <f t="shared" si="4"/>
        <v>7</v>
      </c>
      <c r="B23" s="57" t="str" cm="1">
        <f t="array" ref="B23">_xlfn.LET(_xlpm.r,_xlfn.XLOOKUP(1,
(TRIM(CODE_PRICE!$A$4:$A$2003)=TRIM($C$4))*
(TRIM(CODE_PRICE!$B$4:$B$2003)=TRIM(C23)),
CODE_PRICE!$C$4:$C$2003,
""),
IF(OR(_xlpm.r="",_xlpm.r=0),"",_xlpm.r))</f>
        <v/>
      </c>
      <c r="C23" s="57" t="s">
        <v>97</v>
      </c>
      <c r="D23" s="57" t="str" cm="1">
        <f t="array" ref="D23">IFERROR(
_xlfn.XLOOKUP(1,
(CODE_PRICE!$A$3:$A$1003=$A$8)*
(CODE_PRICE!$B$3:$B$1003=C23),
CODE_PRICE!$C$3:$C$1003
),
"")</f>
        <v>FM1836</v>
      </c>
      <c r="E23" s="57" t="s">
        <v>309</v>
      </c>
      <c r="F23" s="58" t="s">
        <v>11</v>
      </c>
      <c r="G23" s="59" t="s">
        <v>123</v>
      </c>
      <c r="H23" s="60" t="str">
        <f>IF(COUNTIFS($C$17:C23,C23,$I$17:I23,I23)=1,
SUMIFS($J$17:$J$49,$C$17:$C$49,C23,$I$17:$I$49,I23)&amp;I23&amp;" "&amp;C23,
"")</f>
        <v/>
      </c>
      <c r="I23" s="58" t="s">
        <v>22</v>
      </c>
      <c r="J23" s="61">
        <v>1</v>
      </c>
      <c r="K23" s="62"/>
      <c r="L23" s="63">
        <v>108</v>
      </c>
      <c r="M23" s="257">
        <v>81</v>
      </c>
      <c r="N23" s="64">
        <v>37.5</v>
      </c>
      <c r="O23" s="65"/>
      <c r="P23" s="65" t="str" cm="1">
        <f t="array" ref="P23">IF(F23="trim",IFERROR(INDEX('SIZE GUIDE'!$E:$E,MATCH(1,('SIZE GUIDE'!$A:$A=$F23)*('SIZE GUIDE'!$B:$B=$G23)*('SIZE GUIDE'!$C:$C=$I23),0)),""),"")</f>
        <v/>
      </c>
      <c r="Q23" s="65"/>
      <c r="R23" s="59">
        <v>107</v>
      </c>
      <c r="S23" s="59">
        <f t="shared" si="0"/>
        <v>81</v>
      </c>
      <c r="T23" s="258">
        <f t="shared" si="1"/>
        <v>37</v>
      </c>
      <c r="U23" s="154">
        <f t="shared" si="2"/>
        <v>2226.9375</v>
      </c>
      <c r="V23" s="99">
        <f>SUMIFS(CODE_PRICE!F:F,CODE_PRICE!B:B,'DICKSON-W28_01'!C23,CODE_PRICE!A:A,'DICKSON-W28_01'!$A$8)</f>
        <v>0.32900000000000001</v>
      </c>
      <c r="W23" s="155">
        <f t="shared" si="3"/>
        <v>732.66243750000001</v>
      </c>
      <c r="X23" s="244" t="str">
        <f>IF(OR(E23="",C23=""),"",IF(COUNTIFS($E$17:E23,E23,$C$17:C23,C23)=1,E23&amp;" - "&amp;C23&amp;" - "&amp;SUMIFS($J$17:$J$5002,$E$17:$E$5002,E23,$C$17:$C$5002,C23)&amp;I23&amp;" - "&amp;TEXT(SUMIFS($U$17:$U$5002,$E$17:$E$5002,E23,$C$17:$C$5002,C23),"0.00")&amp;" Bf",""))</f>
        <v/>
      </c>
      <c r="Y23" s="157" t="str">
        <f>IF(COUNTIF($C$17:C23,C23)=1,ROUND(SUMIF($C:$C,C23,$W:$W),2), "")</f>
        <v/>
      </c>
    </row>
    <row r="24" spans="1:25" s="17" customFormat="1" ht="36" customHeight="1" x14ac:dyDescent="0.2">
      <c r="A24" s="57">
        <f t="shared" si="4"/>
        <v>8</v>
      </c>
      <c r="B24" s="57" t="str" cm="1">
        <f t="array" ref="B24">_xlfn.LET(_xlpm.r,_xlfn.XLOOKUP(1,
(TRIM(CODE_PRICE!$A$4:$A$2003)=TRIM($C$4))*
(TRIM(CODE_PRICE!$B$4:$B$2003)=TRIM(C24)),
CODE_PRICE!$C$4:$C$2003,
""),
IF(OR(_xlpm.r="",_xlpm.r=0),"",_xlpm.r))</f>
        <v/>
      </c>
      <c r="C24" s="57" t="s">
        <v>97</v>
      </c>
      <c r="D24" s="57" t="str" cm="1">
        <f t="array" ref="D24">IFERROR(
_xlfn.XLOOKUP(1,
(CODE_PRICE!$A$3:$A$1003=$A$8)*
(CODE_PRICE!$B$3:$B$1003=C24),
CODE_PRICE!$C$3:$C$1003
),
"")</f>
        <v>FM1836</v>
      </c>
      <c r="E24" s="57" t="s">
        <v>309</v>
      </c>
      <c r="F24" s="58" t="s">
        <v>11</v>
      </c>
      <c r="G24" s="59" t="s">
        <v>123</v>
      </c>
      <c r="H24" s="60" t="str">
        <f>IF(COUNTIFS($C$17:C24,C24,$I$17:I24,I24)=1,
SUMIFS($J$17:$J$49,$C$17:$C$49,C24,$I$17:$I$49,I24)&amp;I24&amp;" "&amp;C24,
"")</f>
        <v/>
      </c>
      <c r="I24" s="58" t="s">
        <v>22</v>
      </c>
      <c r="J24" s="61">
        <v>1</v>
      </c>
      <c r="K24" s="62"/>
      <c r="L24" s="63">
        <v>108</v>
      </c>
      <c r="M24" s="257">
        <v>81</v>
      </c>
      <c r="N24" s="64">
        <v>37.5</v>
      </c>
      <c r="O24" s="65"/>
      <c r="P24" s="65" t="str" cm="1">
        <f t="array" ref="P24">IF(F24="trim",IFERROR(INDEX('SIZE GUIDE'!$E:$E,MATCH(1,('SIZE GUIDE'!$A:$A=$F24)*('SIZE GUIDE'!$B:$B=$G24)*('SIZE GUIDE'!$C:$C=$I24),0)),""),"")</f>
        <v/>
      </c>
      <c r="Q24" s="65"/>
      <c r="R24" s="59">
        <v>107</v>
      </c>
      <c r="S24" s="59">
        <f t="shared" si="0"/>
        <v>81</v>
      </c>
      <c r="T24" s="258">
        <f t="shared" si="1"/>
        <v>37</v>
      </c>
      <c r="U24" s="154">
        <f t="shared" si="2"/>
        <v>2226.9375</v>
      </c>
      <c r="V24" s="99">
        <f>SUMIFS(CODE_PRICE!F:F,CODE_PRICE!B:B,'DICKSON-W28_01'!C24,CODE_PRICE!A:A,'DICKSON-W28_01'!$A$8)</f>
        <v>0.32900000000000001</v>
      </c>
      <c r="W24" s="155">
        <f t="shared" si="3"/>
        <v>732.66243750000001</v>
      </c>
      <c r="X24" s="244" t="str">
        <f>IF(OR(E24="",C24=""),"",IF(COUNTIFS($E$17:E24,E24,$C$17:C24,C24)=1,E24&amp;" - "&amp;C24&amp;" - "&amp;SUMIFS($J$17:$J$5002,$E$17:$E$5002,E24,$C$17:$C$5002,C24)&amp;I24&amp;" - "&amp;TEXT(SUMIFS($U$17:$U$5002,$E$17:$E$5002,E24,$C$17:$C$5002,C24),"0.00")&amp;" Bf",""))</f>
        <v/>
      </c>
      <c r="Y24" s="243" t="str">
        <f>IF(COUNTIF($C$17:C24,C24)=1,ROUND(SUMIF($C:$C,C24,$W:$W),2), "")</f>
        <v/>
      </c>
    </row>
    <row r="25" spans="1:25" s="17" customFormat="1" ht="36" customHeight="1" x14ac:dyDescent="0.2">
      <c r="A25" s="57">
        <f t="shared" si="4"/>
        <v>9</v>
      </c>
      <c r="B25" s="57" t="str" cm="1">
        <f t="array" ref="B25">_xlfn.LET(_xlpm.r,_xlfn.XLOOKUP(1,
(TRIM(CODE_PRICE!$A$4:$A$2003)=TRIM($C$4))*
(TRIM(CODE_PRICE!$B$4:$B$2003)=TRIM(C25)),
CODE_PRICE!$C$4:$C$2003,
""),
IF(OR(_xlpm.r="",_xlpm.r=0),"",_xlpm.r))</f>
        <v/>
      </c>
      <c r="C25" s="57" t="s">
        <v>97</v>
      </c>
      <c r="D25" s="57" t="str" cm="1">
        <f t="array" ref="D25">IFERROR(
_xlfn.XLOOKUP(1,
(CODE_PRICE!$A$3:$A$1003=$A$8)*
(CODE_PRICE!$B$3:$B$1003=C25),
CODE_PRICE!$C$3:$C$1003
),
"")</f>
        <v>FM1836</v>
      </c>
      <c r="E25" s="57" t="s">
        <v>309</v>
      </c>
      <c r="F25" s="58" t="s">
        <v>11</v>
      </c>
      <c r="G25" s="59" t="s">
        <v>123</v>
      </c>
      <c r="H25" s="60" t="str">
        <f>IF(COUNTIFS($C$17:C25,C25,$I$17:I25,I25)=1,
SUMIFS($J$17:$J$49,$C$17:$C$49,C25,$I$17:$I$49,I25)&amp;I25&amp;" "&amp;C25,
"")</f>
        <v/>
      </c>
      <c r="I25" s="58" t="s">
        <v>22</v>
      </c>
      <c r="J25" s="61">
        <v>1</v>
      </c>
      <c r="K25" s="62"/>
      <c r="L25" s="63">
        <v>108</v>
      </c>
      <c r="M25" s="257">
        <v>81</v>
      </c>
      <c r="N25" s="64">
        <v>37.5</v>
      </c>
      <c r="O25" s="65"/>
      <c r="P25" s="65" t="str" cm="1">
        <f t="array" ref="P25">IF(F25="trim",IFERROR(INDEX('SIZE GUIDE'!$E:$E,MATCH(1,('SIZE GUIDE'!$A:$A=$F25)*('SIZE GUIDE'!$B:$B=$G25)*('SIZE GUIDE'!$C:$C=$I25),0)),""),"")</f>
        <v/>
      </c>
      <c r="Q25" s="65"/>
      <c r="R25" s="59">
        <v>107</v>
      </c>
      <c r="S25" s="59">
        <f t="shared" si="0"/>
        <v>81</v>
      </c>
      <c r="T25" s="258">
        <f t="shared" si="1"/>
        <v>37</v>
      </c>
      <c r="U25" s="154">
        <f t="shared" si="2"/>
        <v>2226.9375</v>
      </c>
      <c r="V25" s="99">
        <f>SUMIFS(CODE_PRICE!F:F,CODE_PRICE!B:B,'DICKSON-W28_01'!C25,CODE_PRICE!A:A,'DICKSON-W28_01'!$A$8)</f>
        <v>0.32900000000000001</v>
      </c>
      <c r="W25" s="155">
        <f t="shared" si="3"/>
        <v>732.66243750000001</v>
      </c>
      <c r="X25" s="244" t="str">
        <f>IF(OR(E25="",C25=""),"",IF(COUNTIFS($E$17:E25,E25,$C$17:C25,C25)=1,E25&amp;" - "&amp;C25&amp;" - "&amp;SUMIFS($J$17:$J$5002,$E$17:$E$5002,E25,$C$17:$C$5002,C25)&amp;I25&amp;" - "&amp;TEXT(SUMIFS($U$17:$U$5002,$E$17:$E$5002,E25,$C$17:$C$5002,C25),"0.00")&amp;" Bf",""))</f>
        <v/>
      </c>
      <c r="Y25" s="157" t="str">
        <f>IF(COUNTIF($C$17:C25,C25)=1,ROUND(SUMIF($C:$C,C25,$W:$W),2), "")</f>
        <v/>
      </c>
    </row>
    <row r="26" spans="1:25" s="17" customFormat="1" ht="36" customHeight="1" x14ac:dyDescent="0.2">
      <c r="A26" s="57">
        <f t="shared" si="4"/>
        <v>10</v>
      </c>
      <c r="B26" s="57" t="str" cm="1">
        <f t="array" ref="B26">_xlfn.LET(_xlpm.r,_xlfn.XLOOKUP(1,
(TRIM(CODE_PRICE!$A$4:$A$2003)=TRIM($C$4))*
(TRIM(CODE_PRICE!$B$4:$B$2003)=TRIM(C26)),
CODE_PRICE!$C$4:$C$2003,
""),
IF(OR(_xlpm.r="",_xlpm.r=0),"",_xlpm.r))</f>
        <v/>
      </c>
      <c r="C26" s="57" t="s">
        <v>99</v>
      </c>
      <c r="D26" s="57" t="str" cm="1">
        <f t="array" ref="D26">IFERROR(
_xlfn.XLOOKUP(1,
(CODE_PRICE!$A$3:$A$1003=$A$8)*
(CODE_PRICE!$B$3:$B$1003=C26),
CODE_PRICE!$C$3:$C$1003
),
"")</f>
        <v>FM1515</v>
      </c>
      <c r="E26" s="57" t="s">
        <v>309</v>
      </c>
      <c r="F26" s="58" t="s">
        <v>11</v>
      </c>
      <c r="G26" s="59" t="s">
        <v>123</v>
      </c>
      <c r="H26" s="60" t="str">
        <f>IF(COUNTIFS($C$17:C26,C26,$I$17:I26,I26)=1,
SUMIFS($J$17:$J$49,$C$17:$C$49,C26,$I$17:$I$49,I26)&amp;I26&amp;" "&amp;C26,
"")</f>
        <v>1S CFN17138W</v>
      </c>
      <c r="I26" s="58" t="s">
        <v>22</v>
      </c>
      <c r="J26" s="61">
        <v>1</v>
      </c>
      <c r="K26" s="62"/>
      <c r="L26" s="63">
        <v>108</v>
      </c>
      <c r="M26" s="257">
        <v>81</v>
      </c>
      <c r="N26" s="64">
        <v>37</v>
      </c>
      <c r="O26" s="65"/>
      <c r="P26" s="65" t="str" cm="1">
        <f t="array" ref="P26">IF(F26="trim",IFERROR(INDEX('SIZE GUIDE'!$E:$E,MATCH(1,('SIZE GUIDE'!$A:$A=$F26)*('SIZE GUIDE'!$B:$B=$G26)*('SIZE GUIDE'!$C:$C=$I26),0)),""),"")</f>
        <v/>
      </c>
      <c r="Q26" s="65"/>
      <c r="R26" s="59">
        <v>107</v>
      </c>
      <c r="S26" s="59">
        <f t="shared" si="0"/>
        <v>81</v>
      </c>
      <c r="T26" s="258">
        <f t="shared" si="1"/>
        <v>36.5</v>
      </c>
      <c r="U26" s="154">
        <f t="shared" si="2"/>
        <v>2196.84375</v>
      </c>
      <c r="V26" s="99">
        <f>SUMIFS(CODE_PRICE!F:F,CODE_PRICE!B:B,'DICKSON-W28_01'!C26,CODE_PRICE!A:A,'DICKSON-W28_01'!$A$8)</f>
        <v>0.28249999999999997</v>
      </c>
      <c r="W26" s="155">
        <f t="shared" si="3"/>
        <v>620.60835937499996</v>
      </c>
      <c r="X26" s="244" t="str">
        <f>IF(OR(E26="",C26=""),"",IF(COUNTIFS($E$17:E26,E26,$C$17:C26,C26)=1,E26&amp;" - "&amp;C26&amp;" - "&amp;SUMIFS($J$17:$J$5002,$E$17:$E$5002,E26,$C$17:$C$5002,C26)&amp;I26&amp;" - "&amp;TEXT(SUMIFS($U$17:$U$5002,$E$17:$E$5002,E26,$C$17:$C$5002,C26),"0.00")&amp;" Bf",""))</f>
        <v>11-73002 - CFN17138W - 1S - 2196.84 Bf</v>
      </c>
      <c r="Y26" s="157">
        <f>IF(COUNTIF($C$17:C26,C26)=1,ROUND(SUMIF($C:$C,C26,$W:$W),2), "")</f>
        <v>620.61</v>
      </c>
    </row>
    <row r="27" spans="1:25" s="17" customFormat="1" ht="36" hidden="1" customHeight="1" x14ac:dyDescent="0.2">
      <c r="A27" s="57"/>
      <c r="B27" s="57"/>
      <c r="C27" s="101"/>
      <c r="D27" s="101" t="str" cm="1">
        <f t="array" ref="D27">IFERROR(
_xlfn.XLOOKUP(1,
(CODE_PRICE!$A$3:$A$1003=$A$8)*
(CODE_PRICE!$B$3:$B$1003=C27),
CODE_PRICE!$C$3:$C$1003
),
"")</f>
        <v/>
      </c>
      <c r="E27" s="58"/>
      <c r="F27" s="58"/>
      <c r="G27" s="59"/>
      <c r="H27" s="60"/>
      <c r="I27" s="58"/>
      <c r="J27" s="61"/>
      <c r="K27" s="62"/>
      <c r="L27" s="63"/>
      <c r="M27" s="64"/>
      <c r="N27" s="63"/>
      <c r="O27" s="65"/>
      <c r="P27" s="65"/>
      <c r="Q27" s="65"/>
      <c r="R27" s="66"/>
      <c r="S27" s="59"/>
      <c r="T27" s="59"/>
      <c r="U27" s="93"/>
      <c r="V27" s="94"/>
      <c r="W27" s="95"/>
      <c r="X27" s="59" t="str">
        <f>IF(OR(E27="",C27=""),"",IF(COUNTIFS($E$17:E27,E27,$C$17:C27,C27)=1,E27&amp;" - "&amp;C27&amp;" - "&amp;SUMIFS($J$17:$J$5002,$E$17:$E$5002,E27,$C$17:$C$5002,C27)&amp;I27&amp;" - "&amp;TEXT(SUMIFS($U$17:$U$5002,$E$17:$E$5002,E27,$C$17:$C$5002,C27),"0.00")&amp;" Bf",""))</f>
        <v/>
      </c>
      <c r="Y27" s="103" t="str">
        <f>IF(COUNTIF($C$17:C27,C27)=1,ROUND(SUMIF($C:$C,C27,$W:$W),2), "")</f>
        <v/>
      </c>
    </row>
    <row r="28" spans="1:25" s="17" customFormat="1" ht="36" hidden="1" customHeight="1" x14ac:dyDescent="0.2">
      <c r="A28" s="57"/>
      <c r="B28" s="57"/>
      <c r="C28" s="57"/>
      <c r="D28" s="57" t="str" cm="1">
        <f t="array" ref="D28">IFERROR(
_xlfn.XLOOKUP(1,
(CODE_PRICE!$A$3:$A$1003=$A$8)*
(CODE_PRICE!$B$3:$B$1003=C28),
CODE_PRICE!$C$3:$C$1003
),
"")</f>
        <v/>
      </c>
      <c r="E28" s="58"/>
      <c r="F28" s="58"/>
      <c r="G28" s="59"/>
      <c r="H28" s="60"/>
      <c r="I28" s="58"/>
      <c r="J28" s="61"/>
      <c r="K28" s="62"/>
      <c r="L28" s="63"/>
      <c r="M28" s="64"/>
      <c r="N28" s="63"/>
      <c r="O28" s="65"/>
      <c r="P28" s="65"/>
      <c r="Q28" s="65"/>
      <c r="R28" s="66"/>
      <c r="S28" s="59"/>
      <c r="T28" s="59"/>
      <c r="U28" s="93"/>
      <c r="V28" s="94"/>
      <c r="W28" s="95"/>
      <c r="X28" s="59" t="str">
        <f>IF(OR(E28="",C28=""),"",IF(COUNTIFS($E$17:E28,E28,$C$17:C28,C28)=1,E28&amp;" - "&amp;C28&amp;" - "&amp;SUMIFS($J$17:$J$5002,$E$17:$E$5002,E28,$C$17:$C$5002,C28)&amp;I28&amp;" - "&amp;TEXT(SUMIFS($U$17:$U$5002,$E$17:$E$5002,E28,$C$17:$C$5002,C28),"0.00")&amp;" Bf",""))</f>
        <v/>
      </c>
      <c r="Y28" s="103" t="str">
        <f>IF(COUNTIF($C$17:C28,C28)=1,ROUND(SUMIF($C:$C,C28,$W:$W),2), "")</f>
        <v/>
      </c>
    </row>
    <row r="29" spans="1:25" s="17" customFormat="1" ht="36" hidden="1" customHeight="1" x14ac:dyDescent="0.2">
      <c r="A29" s="57"/>
      <c r="B29" s="57"/>
      <c r="C29" s="57"/>
      <c r="D29" s="57" t="str" cm="1">
        <f t="array" ref="D29">IFERROR(
_xlfn.XLOOKUP(1,
(CODE_PRICE!$A$3:$A$1003=$A$8)*
(CODE_PRICE!$B$3:$B$1003=C29),
CODE_PRICE!$C$3:$C$1003
),
"")</f>
        <v/>
      </c>
      <c r="E29" s="58"/>
      <c r="F29" s="58"/>
      <c r="G29" s="59"/>
      <c r="H29" s="60"/>
      <c r="I29" s="58"/>
      <c r="J29" s="61"/>
      <c r="K29" s="62"/>
      <c r="L29" s="63"/>
      <c r="M29" s="64"/>
      <c r="N29" s="63"/>
      <c r="O29" s="65"/>
      <c r="P29" s="65"/>
      <c r="Q29" s="65"/>
      <c r="R29" s="66"/>
      <c r="S29" s="59"/>
      <c r="T29" s="59"/>
      <c r="U29" s="93"/>
      <c r="V29" s="99"/>
      <c r="W29" s="95"/>
      <c r="X29" s="59" t="str">
        <f>IF(OR(E29="",C29=""),"",IF(COUNTIFS($E$17:E29,E29,$C$17:C29,C29)=1,E29&amp;" - "&amp;C29&amp;" - "&amp;SUMIFS($J$17:$J$5002,$E$17:$E$5002,E29,$C$17:$C$5002,C29)&amp;I29&amp;" - "&amp;TEXT(SUMIFS($U$17:$U$5002,$E$17:$E$5002,E29,$C$17:$C$5002,C29),"0.00")&amp;" Bf",""))</f>
        <v/>
      </c>
      <c r="Y29" s="103" t="str">
        <f>IF(COUNTIF($C$17:C29,C29)=1,ROUND(SUMIF($C:$C,C29,$W:$W),2), "")</f>
        <v/>
      </c>
    </row>
    <row r="30" spans="1:25" s="17" customFormat="1" ht="36" hidden="1" customHeight="1" x14ac:dyDescent="0.2">
      <c r="A30" s="57"/>
      <c r="B30" s="57"/>
      <c r="C30" s="57"/>
      <c r="D30" s="57" t="str" cm="1">
        <f t="array" ref="D30">IFERROR(
_xlfn.XLOOKUP(1,
(CODE_PRICE!$A$3:$A$1003=$A$8)*
(CODE_PRICE!$B$3:$B$1003=C30),
CODE_PRICE!$C$3:$C$1003
),
"")</f>
        <v/>
      </c>
      <c r="E30" s="58"/>
      <c r="F30" s="58"/>
      <c r="G30" s="59"/>
      <c r="H30" s="60"/>
      <c r="I30" s="58"/>
      <c r="J30" s="61"/>
      <c r="K30" s="62"/>
      <c r="L30" s="63"/>
      <c r="M30" s="64"/>
      <c r="N30" s="63"/>
      <c r="O30" s="65"/>
      <c r="P30" s="65"/>
      <c r="Q30" s="65"/>
      <c r="R30" s="66"/>
      <c r="S30" s="59"/>
      <c r="T30" s="59"/>
      <c r="U30" s="93"/>
      <c r="V30" s="99"/>
      <c r="W30" s="95"/>
      <c r="X30" s="59" t="str">
        <f>IF(OR(E30="",C30=""),"",IF(COUNTIFS($E$17:E30,E30,$C$17:C30,C30)=1,E30&amp;" - "&amp;C30&amp;" - "&amp;SUMIFS($J$17:$J$5002,$E$17:$E$5002,E30,$C$17:$C$5002,C30)&amp;I30&amp;" - "&amp;TEXT(SUMIFS($U$17:$U$5002,$E$17:$E$5002,E30,$C$17:$C$5002,C30),"0.00")&amp;" Bf",""))</f>
        <v/>
      </c>
      <c r="Y30" s="103" t="str">
        <f>IF(COUNTIF($C$17:C30,C30)=1,ROUND(SUMIF($C:$C,C30,$W:$W),2), "")</f>
        <v/>
      </c>
    </row>
    <row r="31" spans="1:25" s="17" customFormat="1" ht="36" hidden="1" customHeight="1" x14ac:dyDescent="0.2">
      <c r="A31" s="57"/>
      <c r="B31" s="57"/>
      <c r="C31" s="57"/>
      <c r="D31" s="57" t="str" cm="1">
        <f t="array" ref="D31">IFERROR(
_xlfn.XLOOKUP(1,
(CODE_PRICE!$A$3:$A$1003=$A$8)*
(CODE_PRICE!$B$3:$B$1003=C31),
CODE_PRICE!$C$3:$C$1003
),
"")</f>
        <v/>
      </c>
      <c r="E31" s="58"/>
      <c r="F31" s="58"/>
      <c r="G31" s="59"/>
      <c r="H31" s="60"/>
      <c r="I31" s="58"/>
      <c r="J31" s="61"/>
      <c r="K31" s="62"/>
      <c r="L31" s="63"/>
      <c r="M31" s="64"/>
      <c r="N31" s="63"/>
      <c r="O31" s="65"/>
      <c r="P31" s="65"/>
      <c r="Q31" s="65"/>
      <c r="R31" s="66"/>
      <c r="S31" s="59"/>
      <c r="T31" s="59"/>
      <c r="U31" s="93"/>
      <c r="V31" s="99"/>
      <c r="W31" s="95"/>
      <c r="X31" s="59" t="str">
        <f>IF(OR(E31="",C31=""),"",IF(COUNTIFS($E$17:E31,E31,$C$17:C31,C31)=1,E31&amp;" - "&amp;C31&amp;" - "&amp;SUMIFS($J$17:$J$5002,$E$17:$E$5002,E31,$C$17:$C$5002,C31)&amp;I31&amp;" - "&amp;TEXT(SUMIFS($U$17:$U$5002,$E$17:$E$5002,E31,$C$17:$C$5002,C31),"0.00")&amp;" Bf",""))</f>
        <v/>
      </c>
      <c r="Y31" s="103" t="str">
        <f>IF(COUNTIF($C$17:C31,C31)=1,ROUND(SUMIF($C:$C,C31,$W:$W),2), "")</f>
        <v/>
      </c>
    </row>
    <row r="32" spans="1:25" s="17" customFormat="1" ht="36" hidden="1" customHeight="1" x14ac:dyDescent="0.2">
      <c r="A32" s="57"/>
      <c r="B32" s="57"/>
      <c r="C32" s="57"/>
      <c r="D32" s="57" t="str" cm="1">
        <f t="array" ref="D32">IFERROR(
_xlfn.XLOOKUP(1,
(CODE_PRICE!$A$3:$A$1003=$A$8)*
(CODE_PRICE!$B$3:$B$1003=C32),
CODE_PRICE!$C$3:$C$1003
),
"")</f>
        <v/>
      </c>
      <c r="E32" s="58"/>
      <c r="F32" s="58"/>
      <c r="G32" s="59"/>
      <c r="H32" s="60"/>
      <c r="I32" s="58"/>
      <c r="J32" s="61"/>
      <c r="K32" s="62"/>
      <c r="L32" s="63"/>
      <c r="M32" s="64"/>
      <c r="N32" s="63"/>
      <c r="O32" s="65"/>
      <c r="P32" s="65"/>
      <c r="Q32" s="65"/>
      <c r="R32" s="66"/>
      <c r="S32" s="59"/>
      <c r="T32" s="59"/>
      <c r="U32" s="93"/>
      <c r="V32" s="99"/>
      <c r="W32" s="95"/>
      <c r="X32" s="59" t="str">
        <f>IF(OR(E32="",C32=""),"",IF(COUNTIFS($E$17:E32,E32,$C$17:C32,C32)=1,E32&amp;" - "&amp;C32&amp;" - "&amp;SUMIFS($J$17:$J$5002,$E$17:$E$5002,E32,$C$17:$C$5002,C32)&amp;I32&amp;" - "&amp;TEXT(SUMIFS($U$17:$U$5002,$E$17:$E$5002,E32,$C$17:$C$5002,C32),"0.00")&amp;" Bf",""))</f>
        <v/>
      </c>
      <c r="Y32" s="103" t="str">
        <f>IF(COUNTIF($C$17:C32,C32)=1,ROUND(SUMIF($C:$C,C32,$W:$W),2), "")</f>
        <v/>
      </c>
    </row>
    <row r="33" spans="1:25" s="17" customFormat="1" ht="36" hidden="1" customHeight="1" x14ac:dyDescent="0.2">
      <c r="A33" s="57"/>
      <c r="B33" s="57"/>
      <c r="C33" s="57"/>
      <c r="D33" s="57" t="str" cm="1">
        <f t="array" ref="D33">IFERROR(
_xlfn.XLOOKUP(1,
(CODE_PRICE!$A$3:$A$1003=$A$8)*
(CODE_PRICE!$B$3:$B$1003=C33),
CODE_PRICE!$C$3:$C$1003
),
"")</f>
        <v/>
      </c>
      <c r="E33" s="58"/>
      <c r="F33" s="58"/>
      <c r="G33" s="59"/>
      <c r="H33" s="60"/>
      <c r="I33" s="58"/>
      <c r="J33" s="61"/>
      <c r="K33" s="62"/>
      <c r="L33" s="63"/>
      <c r="M33" s="64"/>
      <c r="N33" s="63"/>
      <c r="O33" s="65"/>
      <c r="P33" s="65"/>
      <c r="Q33" s="65"/>
      <c r="R33" s="66"/>
      <c r="S33" s="59"/>
      <c r="T33" s="59"/>
      <c r="U33" s="93"/>
      <c r="V33" s="99"/>
      <c r="W33" s="95"/>
      <c r="X33" s="59" t="str">
        <f>IF(OR(E33="",C33=""),"",IF(COUNTIFS($E$17:E33,E33,$C$17:C33,C33)=1,E33&amp;" - "&amp;C33&amp;" - "&amp;SUMIFS($J$17:$J$5002,$E$17:$E$5002,E33,$C$17:$C$5002,C33)&amp;I33&amp;" - "&amp;TEXT(SUMIFS($U$17:$U$5002,$E$17:$E$5002,E33,$C$17:$C$5002,C33),"0.00")&amp;" Bf",""))</f>
        <v/>
      </c>
      <c r="Y33" s="103" t="str">
        <f>IF(COUNTIF($C$17:C33,C33)=1,ROUND(SUMIF($C:$C,C33,$W:$W),2), "")</f>
        <v/>
      </c>
    </row>
    <row r="34" spans="1:25" s="17" customFormat="1" ht="36" hidden="1" customHeight="1" x14ac:dyDescent="0.2">
      <c r="A34" s="57"/>
      <c r="B34" s="57"/>
      <c r="C34" s="57"/>
      <c r="D34" s="57" t="str" cm="1">
        <f t="array" ref="D34">IFERROR(
_xlfn.XLOOKUP(1,
(CODE_PRICE!$A$3:$A$1003=$A$8)*
(CODE_PRICE!$B$3:$B$1003=C34),
CODE_PRICE!$C$3:$C$1003
),
"")</f>
        <v/>
      </c>
      <c r="E34" s="58"/>
      <c r="F34" s="58"/>
      <c r="G34" s="59"/>
      <c r="H34" s="60"/>
      <c r="I34" s="58"/>
      <c r="J34" s="61"/>
      <c r="K34" s="62"/>
      <c r="L34" s="63"/>
      <c r="M34" s="64"/>
      <c r="N34" s="63"/>
      <c r="O34" s="65"/>
      <c r="P34" s="65"/>
      <c r="Q34" s="65"/>
      <c r="R34" s="66"/>
      <c r="S34" s="59"/>
      <c r="T34" s="59"/>
      <c r="U34" s="93"/>
      <c r="V34" s="99"/>
      <c r="W34" s="95"/>
      <c r="X34" s="59" t="str">
        <f>IF(OR(E34="",C34=""),"",IF(COUNTIFS($E$17:E34,E34,$C$17:C34,C34)=1,E34&amp;" - "&amp;C34&amp;" - "&amp;SUMIFS($J$17:$J$5002,$E$17:$E$5002,E34,$C$17:$C$5002,C34)&amp;I34&amp;" - "&amp;TEXT(SUMIFS($U$17:$U$5002,$E$17:$E$5002,E34,$C$17:$C$5002,C34),"0.00")&amp;" Bf",""))</f>
        <v/>
      </c>
      <c r="Y34" s="103" t="str">
        <f>IF(COUNTIF($C$17:C34,C34)=1,ROUND(SUMIF($C:$C,C34,$W:$W),2), "")</f>
        <v/>
      </c>
    </row>
    <row r="35" spans="1:25" s="17" customFormat="1" ht="36" hidden="1" customHeight="1" x14ac:dyDescent="0.2">
      <c r="A35" s="57"/>
      <c r="B35" s="57"/>
      <c r="C35" s="57"/>
      <c r="D35" s="57" t="str" cm="1">
        <f t="array" ref="D35">IFERROR(
_xlfn.XLOOKUP(1,
(CODE_PRICE!$A$3:$A$1003=$A$8)*
(CODE_PRICE!$B$3:$B$1003=C35),
CODE_PRICE!$C$3:$C$1003
),
"")</f>
        <v/>
      </c>
      <c r="E35" s="58"/>
      <c r="F35" s="58"/>
      <c r="G35" s="59"/>
      <c r="H35" s="60"/>
      <c r="I35" s="58"/>
      <c r="J35" s="61"/>
      <c r="K35" s="62"/>
      <c r="L35" s="63"/>
      <c r="M35" s="64"/>
      <c r="N35" s="63"/>
      <c r="O35" s="65"/>
      <c r="P35" s="65"/>
      <c r="Q35" s="65"/>
      <c r="R35" s="66"/>
      <c r="S35" s="59"/>
      <c r="T35" s="59"/>
      <c r="U35" s="93"/>
      <c r="V35" s="99"/>
      <c r="W35" s="95"/>
      <c r="X35" s="59" t="str">
        <f>IF(OR(E35="",C35=""),"",IF(COUNTIFS($E$17:E35,E35,$C$17:C35,C35)=1,E35&amp;" - "&amp;C35&amp;" - "&amp;SUMIFS($J$17:$J$5002,$E$17:$E$5002,E35,$C$17:$C$5002,C35)&amp;I35&amp;" - "&amp;TEXT(SUMIFS($U$17:$U$5002,$E$17:$E$5002,E35,$C$17:$C$5002,C35),"0.00")&amp;" Bf",""))</f>
        <v/>
      </c>
      <c r="Y35" s="103" t="str">
        <f>IF(COUNTIF($C$17:C35,C35)=1,ROUND(SUMIF($C:$C,C35,$W:$W),2), "")</f>
        <v/>
      </c>
    </row>
    <row r="36" spans="1:25" s="17" customFormat="1" ht="36" hidden="1" customHeight="1" x14ac:dyDescent="0.2">
      <c r="A36" s="57"/>
      <c r="B36" s="57"/>
      <c r="C36" s="57"/>
      <c r="D36" s="57" t="str" cm="1">
        <f t="array" ref="D36">IFERROR(
_xlfn.XLOOKUP(1,
(CODE_PRICE!$A$3:$A$1003=$A$8)*
(CODE_PRICE!$B$3:$B$1003=C36),
CODE_PRICE!$C$3:$C$1003
),
"")</f>
        <v/>
      </c>
      <c r="E36" s="58"/>
      <c r="F36" s="58"/>
      <c r="G36" s="59"/>
      <c r="H36" s="60"/>
      <c r="I36" s="58"/>
      <c r="J36" s="61"/>
      <c r="K36" s="62"/>
      <c r="L36" s="63"/>
      <c r="M36" s="64"/>
      <c r="N36" s="63"/>
      <c r="O36" s="65"/>
      <c r="P36" s="65"/>
      <c r="Q36" s="65"/>
      <c r="R36" s="66"/>
      <c r="S36" s="59"/>
      <c r="T36" s="59"/>
      <c r="U36" s="93"/>
      <c r="V36" s="99"/>
      <c r="W36" s="95"/>
      <c r="X36" s="59" t="str">
        <f>IF(OR(E36="",C36=""),"",IF(COUNTIFS($E$17:E36,E36,$C$17:C36,C36)=1,E36&amp;" - "&amp;C36&amp;" - "&amp;SUMIFS($J$17:$J$5002,$E$17:$E$5002,E36,$C$17:$C$5002,C36)&amp;I36&amp;" - "&amp;TEXT(SUMIFS($U$17:$U$5002,$E$17:$E$5002,E36,$C$17:$C$5002,C36),"0.00")&amp;" Bf",""))</f>
        <v/>
      </c>
      <c r="Y36" s="103" t="str">
        <f>IF(COUNTIF($C$17:C36,C36)=1,ROUND(SUMIF($C:$C,C36,$W:$W),2), "")</f>
        <v/>
      </c>
    </row>
    <row r="37" spans="1:25" s="17" customFormat="1" ht="41.25" hidden="1" customHeight="1" x14ac:dyDescent="0.2">
      <c r="A37" s="57"/>
      <c r="B37" s="57"/>
      <c r="C37" s="57"/>
      <c r="D37" s="57" t="str" cm="1">
        <f t="array" ref="D37">IFERROR(
_xlfn.XLOOKUP(1,
(CODE_PRICE!$A$3:$A$1003=$A$8)*
(CODE_PRICE!$B$3:$B$1003=C37),
CODE_PRICE!$C$3:$C$1003
),
"")</f>
        <v/>
      </c>
      <c r="E37" s="58"/>
      <c r="F37" s="58"/>
      <c r="G37" s="59"/>
      <c r="H37" s="60"/>
      <c r="I37" s="58"/>
      <c r="J37" s="61"/>
      <c r="K37" s="62"/>
      <c r="L37" s="63"/>
      <c r="M37" s="64"/>
      <c r="N37" s="63"/>
      <c r="O37" s="65"/>
      <c r="P37" s="65"/>
      <c r="Q37" s="65"/>
      <c r="R37" s="66"/>
      <c r="S37" s="59"/>
      <c r="T37" s="59"/>
      <c r="U37" s="93"/>
      <c r="V37" s="94"/>
      <c r="W37" s="95"/>
      <c r="X37" s="59" t="str">
        <f>IF(OR(E37="",C37=""),"",IF(COUNTIFS($E$17:E37,E37,$C$17:C37,C37)=1,E37&amp;" - "&amp;C37&amp;" - "&amp;SUMIFS($J$17:$J$5002,$E$17:$E$5002,E37,$C$17:$C$5002,C37)&amp;I37&amp;" - "&amp;TEXT(SUMIFS($U$17:$U$5002,$E$17:$E$5002,E37,$C$17:$C$5002,C37),"0.00")&amp;" Bf",""))</f>
        <v/>
      </c>
      <c r="Y37" s="24" t="str">
        <f>IF(COUNTIF($C$17:C37,C37)=1,ROUND(SUMIF($C:$C,C37,$W:$W),2), "")</f>
        <v/>
      </c>
    </row>
    <row r="38" spans="1:25" s="17" customFormat="1" ht="41.25" hidden="1" customHeight="1" x14ac:dyDescent="0.2">
      <c r="A38" s="57"/>
      <c r="B38" s="57"/>
      <c r="C38" s="57"/>
      <c r="D38" s="57" t="str" cm="1">
        <f t="array" ref="D38">IFERROR(
_xlfn.XLOOKUP(1,
(CODE_PRICE!$A$3:$A$1003=$A$8)*
(CODE_PRICE!$B$3:$B$1003=C38),
CODE_PRICE!$C$3:$C$1003
),
"")</f>
        <v/>
      </c>
      <c r="E38" s="58"/>
      <c r="F38" s="58"/>
      <c r="G38" s="59"/>
      <c r="H38" s="60"/>
      <c r="I38" s="58"/>
      <c r="J38" s="61"/>
      <c r="K38" s="62"/>
      <c r="L38" s="63"/>
      <c r="M38" s="64"/>
      <c r="N38" s="63"/>
      <c r="O38" s="65"/>
      <c r="P38" s="65"/>
      <c r="Q38" s="65"/>
      <c r="R38" s="66"/>
      <c r="S38" s="59"/>
      <c r="T38" s="59"/>
      <c r="U38" s="93"/>
      <c r="V38" s="94"/>
      <c r="W38" s="95"/>
      <c r="X38" s="59" t="str">
        <f>IF(OR(E38="",C38=""),"",IF(COUNTIFS($E$17:E38,E38,$C$17:C38,C38)=1,E38&amp;" - "&amp;C38&amp;" - "&amp;SUMIFS($J$17:$J$5002,$E$17:$E$5002,E38,$C$17:$C$5002,C38)&amp;I38&amp;" - "&amp;TEXT(SUMIFS($U$17:$U$5002,$E$17:$E$5002,E38,$C$17:$C$5002,C38),"0.00")&amp;" Bf",""))</f>
        <v/>
      </c>
      <c r="Y38" s="24" t="str">
        <f>IF(COUNTIF($C$17:C38,C38)=1,ROUND(SUMIF($C:$C,C38,$W:$W),2), "")</f>
        <v/>
      </c>
    </row>
    <row r="39" spans="1:25" s="17" customFormat="1" ht="41.25" hidden="1" customHeight="1" x14ac:dyDescent="0.2">
      <c r="A39" s="57"/>
      <c r="B39" s="57"/>
      <c r="C39" s="57"/>
      <c r="D39" s="57" t="str" cm="1">
        <f t="array" ref="D39">IFERROR(
_xlfn.XLOOKUP(1,
(CODE_PRICE!$A$3:$A$1003=$A$8)*
(CODE_PRICE!$B$3:$B$1003=C39),
CODE_PRICE!$C$3:$C$1003
),
"")</f>
        <v/>
      </c>
      <c r="E39" s="58"/>
      <c r="F39" s="58"/>
      <c r="G39" s="59"/>
      <c r="H39" s="60"/>
      <c r="I39" s="58"/>
      <c r="J39" s="61"/>
      <c r="K39" s="62"/>
      <c r="L39" s="63"/>
      <c r="M39" s="64"/>
      <c r="N39" s="63"/>
      <c r="O39" s="65"/>
      <c r="P39" s="65"/>
      <c r="Q39" s="65"/>
      <c r="R39" s="66"/>
      <c r="S39" s="59"/>
      <c r="T39" s="59"/>
      <c r="U39" s="93"/>
      <c r="V39" s="94"/>
      <c r="W39" s="95"/>
      <c r="X39" s="59" t="str">
        <f>IF(OR(E39="",C39=""),"",IF(COUNTIFS($E$17:E39,E39,$C$17:C39,C39)=1,E39&amp;" - "&amp;C39&amp;" - "&amp;SUMIFS($J$17:$J$5002,$E$17:$E$5002,E39,$C$17:$C$5002,C39)&amp;I39&amp;" - "&amp;TEXT(SUMIFS($U$17:$U$5002,$E$17:$E$5002,E39,$C$17:$C$5002,C39),"0.00")&amp;" Bf",""))</f>
        <v/>
      </c>
      <c r="Y39" s="24" t="str">
        <f>IF(COUNTIF($C$17:C39,C39)=1,ROUND(SUMIF($C:$C,C39,$W:$W),2), "")</f>
        <v/>
      </c>
    </row>
    <row r="40" spans="1:25" s="17" customFormat="1" ht="41.25" hidden="1" customHeight="1" x14ac:dyDescent="0.2">
      <c r="A40" s="57"/>
      <c r="B40" s="57"/>
      <c r="C40" s="57"/>
      <c r="D40" s="57" t="str" cm="1">
        <f t="array" ref="D40">IFERROR(
_xlfn.XLOOKUP(1,
(CODE_PRICE!$A$3:$A$1003=$A$8)*
(CODE_PRICE!$B$3:$B$1003=C40),
CODE_PRICE!$C$3:$C$1003
),
"")</f>
        <v/>
      </c>
      <c r="E40" s="58"/>
      <c r="F40" s="58"/>
      <c r="G40" s="59"/>
      <c r="H40" s="60"/>
      <c r="I40" s="58"/>
      <c r="J40" s="61"/>
      <c r="K40" s="62"/>
      <c r="L40" s="63"/>
      <c r="M40" s="64"/>
      <c r="N40" s="63"/>
      <c r="O40" s="65"/>
      <c r="P40" s="65"/>
      <c r="Q40" s="65"/>
      <c r="R40" s="66"/>
      <c r="S40" s="59"/>
      <c r="T40" s="59"/>
      <c r="U40" s="93"/>
      <c r="V40" s="94"/>
      <c r="W40" s="95"/>
      <c r="X40" s="59" t="str">
        <f>IF(OR(E40="",C40=""),"",IF(COUNTIFS($E$17:E40,E40,$C$17:C40,C40)=1,E40&amp;" - "&amp;C40&amp;" - "&amp;SUMIFS($J$17:$J$5002,$E$17:$E$5002,E40,$C$17:$C$5002,C40)&amp;I40&amp;" - "&amp;TEXT(SUMIFS($U$17:$U$5002,$E$17:$E$5002,E40,$C$17:$C$5002,C40),"0.00")&amp;" Bf",""))</f>
        <v/>
      </c>
      <c r="Y40" s="24" t="str">
        <f>IF(COUNTIF($C$17:C40,C40)=1,ROUND(SUMIF($C:$C,C40,$W:$W),2), "")</f>
        <v/>
      </c>
    </row>
    <row r="41" spans="1:25" s="17" customFormat="1" ht="41.25" hidden="1" customHeight="1" x14ac:dyDescent="0.2">
      <c r="A41" s="57"/>
      <c r="B41" s="57"/>
      <c r="C41" s="57"/>
      <c r="D41" s="57" t="str" cm="1">
        <f t="array" ref="D41">IFERROR(
_xlfn.XLOOKUP(1,
(CODE_PRICE!$A$3:$A$1003=$A$8)*
(CODE_PRICE!$B$3:$B$1003=C41),
CODE_PRICE!$C$3:$C$1003
),
"")</f>
        <v/>
      </c>
      <c r="E41" s="58"/>
      <c r="F41" s="58"/>
      <c r="G41" s="59"/>
      <c r="H41" s="60"/>
      <c r="I41" s="58"/>
      <c r="J41" s="61"/>
      <c r="K41" s="62"/>
      <c r="L41" s="63"/>
      <c r="M41" s="64"/>
      <c r="N41" s="63"/>
      <c r="O41" s="65"/>
      <c r="P41" s="65"/>
      <c r="Q41" s="65"/>
      <c r="R41" s="66"/>
      <c r="S41" s="59"/>
      <c r="T41" s="59"/>
      <c r="U41" s="93"/>
      <c r="V41" s="94"/>
      <c r="W41" s="95"/>
      <c r="X41" s="59" t="str">
        <f>IF(OR(E41="",C41=""),"",IF(COUNTIFS($E$17:E41,E41,$C$17:C41,C41)=1,E41&amp;" - "&amp;C41&amp;" - "&amp;SUMIFS($J$17:$J$5002,$E$17:$E$5002,E41,$C$17:$C$5002,C41)&amp;I41&amp;" - "&amp;TEXT(SUMIFS($U$17:$U$5002,$E$17:$E$5002,E41,$C$17:$C$5002,C41),"0.00")&amp;" Bf",""))</f>
        <v/>
      </c>
      <c r="Y41" s="24" t="str">
        <f>IF(COUNTIF($C$17:C41,C41)=1,ROUND(SUMIF($C:$C,C41,$W:$W),2), "")</f>
        <v/>
      </c>
    </row>
    <row r="42" spans="1:25" s="17" customFormat="1" ht="41.25" hidden="1" customHeight="1" x14ac:dyDescent="0.2">
      <c r="A42" s="57"/>
      <c r="B42" s="57"/>
      <c r="C42" s="57"/>
      <c r="D42" s="57" t="str" cm="1">
        <f t="array" ref="D42">IFERROR(
_xlfn.XLOOKUP(1,
(CODE_PRICE!$A$3:$A$1003=$A$8)*
(CODE_PRICE!$B$3:$B$1003=C42),
CODE_PRICE!$C$3:$C$1003
),
"")</f>
        <v/>
      </c>
      <c r="E42" s="58"/>
      <c r="F42" s="58"/>
      <c r="G42" s="59"/>
      <c r="H42" s="60"/>
      <c r="I42" s="58"/>
      <c r="J42" s="61"/>
      <c r="K42" s="62"/>
      <c r="L42" s="63" t="str" cm="1">
        <f t="array" ref="L42">IF(F42="untrim",_xlfn.XLOOKUP(1,(TRIM('SIZE GUIDE'!$A$3:$A$2015)=TRIM(F42))*(TRIM('SIZE GUIDE'!$B$3:$B$2015)=TRIM(G42))*(TRIM('SIZE GUIDE'!$C$3:$C$2015)=TRIM(I42)),'SIZE GUIDE'!$D$3:$D$2015),"")</f>
        <v/>
      </c>
      <c r="M42" s="64"/>
      <c r="N42" s="63"/>
      <c r="O42" s="65"/>
      <c r="P42" s="65" t="str" cm="1">
        <f t="array" ref="P42">IF(F42="trim",IFERROR(INDEX('SIZE GUIDE'!$E:$E,MATCH(1,('SIZE GUIDE'!$A:$A=$F42)*('SIZE GUIDE'!$B:$B=$G42)*('SIZE GUIDE'!$C:$C=$I42),0)),""),"")</f>
        <v/>
      </c>
      <c r="Q42" s="65"/>
      <c r="R42" s="66">
        <f t="shared" ref="R42:R49" si="5">IF(F42="untrim",L42-1.5,O42)</f>
        <v>0</v>
      </c>
      <c r="S42" s="59"/>
      <c r="T42" s="59"/>
      <c r="U42" s="93"/>
      <c r="V42" s="94"/>
      <c r="W42" s="95"/>
      <c r="X42" s="59" t="str">
        <f>IF(OR(E42="",C42=""),"",IF(COUNTIFS($E$17:E42,E42,$C$17:C42,C42)=1,E42&amp;" - "&amp;C42&amp;" - "&amp;SUMIFS($J$17:$J$5002,$E$17:$E$5002,E42,$C$17:$C$5002,C42)&amp;I42&amp;" - "&amp;TEXT(SUMIFS($U$17:$U$5002,$E$17:$E$5002,E42,$C$17:$C$5002,C42),"0.00")&amp;" Bf",""))</f>
        <v/>
      </c>
      <c r="Y42" s="24" t="str">
        <f>IF(COUNTIF($C$17:C42,C42)=1,ROUND(SUMIF($C:$C,C42,$W:$W),2), "")</f>
        <v/>
      </c>
    </row>
    <row r="43" spans="1:25" s="17" customFormat="1" ht="41.25" hidden="1" customHeight="1" x14ac:dyDescent="0.2">
      <c r="A43" s="57"/>
      <c r="B43" s="57"/>
      <c r="C43" s="57"/>
      <c r="D43" s="57" t="str" cm="1">
        <f t="array" ref="D43">IFERROR(
_xlfn.XLOOKUP(1,
(CODE_PRICE!$A$3:$A$1003=$A$8)*
(CODE_PRICE!$B$3:$B$1003=C43),
CODE_PRICE!$C$3:$C$1003
),
"")</f>
        <v/>
      </c>
      <c r="E43" s="58"/>
      <c r="F43" s="58"/>
      <c r="G43" s="59"/>
      <c r="H43" s="60"/>
      <c r="I43" s="58"/>
      <c r="J43" s="61"/>
      <c r="K43" s="62"/>
      <c r="L43" s="63" t="str" cm="1">
        <f t="array" ref="L43">IF(F43="untrim",_xlfn.XLOOKUP(1,(TRIM('SIZE GUIDE'!$A$3:$A$2015)=TRIM(F43))*(TRIM('SIZE GUIDE'!$B$3:$B$2015)=TRIM(G43))*(TRIM('SIZE GUIDE'!$C$3:$C$2015)=TRIM(I43)),'SIZE GUIDE'!$D$3:$D$2015),"")</f>
        <v/>
      </c>
      <c r="M43" s="64"/>
      <c r="N43" s="63"/>
      <c r="O43" s="65"/>
      <c r="P43" s="65" t="str" cm="1">
        <f t="array" ref="P43">IF(F43="trim",IFERROR(INDEX('SIZE GUIDE'!$E:$E,MATCH(1,('SIZE GUIDE'!$A:$A=$F43)*('SIZE GUIDE'!$B:$B=$G43)*('SIZE GUIDE'!$C:$C=$I43),0)),""),"")</f>
        <v/>
      </c>
      <c r="Q43" s="65"/>
      <c r="R43" s="66">
        <f t="shared" si="5"/>
        <v>0</v>
      </c>
      <c r="S43" s="59"/>
      <c r="T43" s="59"/>
      <c r="U43" s="93"/>
      <c r="V43" s="94"/>
      <c r="W43" s="95"/>
      <c r="X43" s="59" t="str">
        <f>IF(OR(E43="",C43=""),"",IF(COUNTIFS($E$17:E43,E43,$C$17:C43,C43)=1,E43&amp;" - "&amp;C43&amp;" - "&amp;SUMIFS($J$17:$J$5002,$E$17:$E$5002,E43,$C$17:$C$5002,C43)&amp;I43&amp;" - "&amp;TEXT(SUMIFS($U$17:$U$5002,$E$17:$E$5002,E43,$C$17:$C$5002,C43),"0.00")&amp;" Bf",""))</f>
        <v/>
      </c>
      <c r="Y43" s="24" t="str">
        <f>IF(COUNTIF($C$17:C43,C43)=1,ROUND(SUMIF($C:$C,C43,$W:$W),2), "")</f>
        <v/>
      </c>
    </row>
    <row r="44" spans="1:25" s="17" customFormat="1" ht="41.25" hidden="1" customHeight="1" x14ac:dyDescent="0.2">
      <c r="A44" s="57"/>
      <c r="B44" s="57"/>
      <c r="C44" s="57"/>
      <c r="D44" s="57" t="str" cm="1">
        <f t="array" ref="D44">IFERROR(
_xlfn.XLOOKUP(1,
(CODE_PRICE!$A$3:$A$1003=$A$8)*
(CODE_PRICE!$B$3:$B$1003=C44),
CODE_PRICE!$C$3:$C$1003
),
"")</f>
        <v/>
      </c>
      <c r="E44" s="58"/>
      <c r="F44" s="58"/>
      <c r="G44" s="59"/>
      <c r="H44" s="60"/>
      <c r="I44" s="58"/>
      <c r="J44" s="61"/>
      <c r="K44" s="62"/>
      <c r="L44" s="63" t="str" cm="1">
        <f t="array" ref="L44">IF(F44="untrim",_xlfn.XLOOKUP(1,(TRIM('SIZE GUIDE'!$A$3:$A$2015)=TRIM(F44))*(TRIM('SIZE GUIDE'!$B$3:$B$2015)=TRIM(G44))*(TRIM('SIZE GUIDE'!$C$3:$C$2015)=TRIM(I44)),'SIZE GUIDE'!$D$3:$D$2015),"")</f>
        <v/>
      </c>
      <c r="M44" s="64"/>
      <c r="N44" s="63"/>
      <c r="O44" s="65"/>
      <c r="P44" s="65" t="str" cm="1">
        <f t="array" ref="P44">IF(F44="trim",IFERROR(INDEX('SIZE GUIDE'!$E:$E,MATCH(1,('SIZE GUIDE'!$A:$A=$F44)*('SIZE GUIDE'!$B:$B=$G44)*('SIZE GUIDE'!$C:$C=$I44),0)),""),"")</f>
        <v/>
      </c>
      <c r="Q44" s="65"/>
      <c r="R44" s="66">
        <f t="shared" si="5"/>
        <v>0</v>
      </c>
      <c r="S44" s="59"/>
      <c r="T44" s="59"/>
      <c r="U44" s="93"/>
      <c r="V44" s="94"/>
      <c r="W44" s="95"/>
      <c r="X44" s="59" t="str">
        <f>IF(OR(E44="",C44=""),"",IF(COUNTIFS($E$17:E44,E44,$C$17:C44,C44)=1,E44&amp;" - "&amp;C44&amp;" - "&amp;SUMIFS($J$17:$J$5002,$E$17:$E$5002,E44,$C$17:$C$5002,C44)&amp;I44&amp;" - "&amp;TEXT(SUMIFS($U$17:$U$5002,$E$17:$E$5002,E44,$C$17:$C$5002,C44),"0.00")&amp;" Bf",""))</f>
        <v/>
      </c>
      <c r="Y44" s="24" t="str">
        <f>IF(COUNTIF($C$17:C44,C44)=1,ROUND(SUMIF($C:$C,C44,$W:$W),2), "")</f>
        <v/>
      </c>
    </row>
    <row r="45" spans="1:25" s="17" customFormat="1" ht="41.25" hidden="1" customHeight="1" x14ac:dyDescent="0.2">
      <c r="A45" s="57"/>
      <c r="B45" s="57"/>
      <c r="C45" s="57"/>
      <c r="D45" s="57" t="str" cm="1">
        <f t="array" ref="D45">IFERROR(
_xlfn.XLOOKUP(1,
(CODE_PRICE!$A$3:$A$1003=$A$8)*
(CODE_PRICE!$B$3:$B$1003=C45),
CODE_PRICE!$C$3:$C$1003
),
"")</f>
        <v/>
      </c>
      <c r="E45" s="58"/>
      <c r="F45" s="58"/>
      <c r="G45" s="59"/>
      <c r="H45" s="60"/>
      <c r="I45" s="58"/>
      <c r="J45" s="61"/>
      <c r="K45" s="62"/>
      <c r="L45" s="63" t="str" cm="1">
        <f t="array" ref="L45">IF(F45="untrim",_xlfn.XLOOKUP(1,(TRIM('SIZE GUIDE'!$A$3:$A$2015)=TRIM(F45))*(TRIM('SIZE GUIDE'!$B$3:$B$2015)=TRIM(G45))*(TRIM('SIZE GUIDE'!$C$3:$C$2015)=TRIM(I45)),'SIZE GUIDE'!$D$3:$D$2015),"")</f>
        <v/>
      </c>
      <c r="M45" s="64"/>
      <c r="N45" s="63"/>
      <c r="O45" s="65"/>
      <c r="P45" s="65" t="str" cm="1">
        <f t="array" ref="P45">IF(F45="trim",IFERROR(INDEX('SIZE GUIDE'!$E:$E,MATCH(1,('SIZE GUIDE'!$A:$A=$F45)*('SIZE GUIDE'!$B:$B=$G45)*('SIZE GUIDE'!$C:$C=$I45),0)),""),"")</f>
        <v/>
      </c>
      <c r="Q45" s="65"/>
      <c r="R45" s="66">
        <f t="shared" si="5"/>
        <v>0</v>
      </c>
      <c r="S45" s="59"/>
      <c r="T45" s="59"/>
      <c r="U45" s="93"/>
      <c r="V45" s="94"/>
      <c r="W45" s="95"/>
      <c r="X45" s="59" t="str">
        <f>IF(OR(E45="",C45=""),"",IF(COUNTIFS($E$17:E45,E45,$C$17:C45,C45)=1,E45&amp;" - "&amp;C45&amp;" - "&amp;SUMIFS($J$17:$J$5002,$E$17:$E$5002,E45,$C$17:$C$5002,C45)&amp;I45&amp;" - "&amp;TEXT(SUMIFS($U$17:$U$5002,$E$17:$E$5002,E45,$C$17:$C$5002,C45),"0.00")&amp;" Bf",""))</f>
        <v/>
      </c>
      <c r="Y45" s="24" t="str">
        <f>IF(COUNTIF($C$17:C45,C45)=1,ROUND(SUMIF($C:$C,C45,$W:$W),2), "")</f>
        <v/>
      </c>
    </row>
    <row r="46" spans="1:25" s="17" customFormat="1" ht="41.25" hidden="1" customHeight="1" x14ac:dyDescent="0.2">
      <c r="A46" s="57"/>
      <c r="B46" s="57"/>
      <c r="C46" s="57"/>
      <c r="D46" s="57" t="str" cm="1">
        <f t="array" ref="D46">IFERROR(
_xlfn.XLOOKUP(1,
(CODE_PRICE!$A$3:$A$1003=$A$8)*
(CODE_PRICE!$B$3:$B$1003=C46),
CODE_PRICE!$C$3:$C$1003
),
"")</f>
        <v/>
      </c>
      <c r="E46" s="58"/>
      <c r="F46" s="58"/>
      <c r="G46" s="59"/>
      <c r="H46" s="60"/>
      <c r="I46" s="58"/>
      <c r="J46" s="61"/>
      <c r="K46" s="62"/>
      <c r="L46" s="63" t="str" cm="1">
        <f t="array" ref="L46">IF(F46="untrim",_xlfn.XLOOKUP(1,(TRIM('SIZE GUIDE'!$A$3:$A$2015)=TRIM(F46))*(TRIM('SIZE GUIDE'!$B$3:$B$2015)=TRIM(G46))*(TRIM('SIZE GUIDE'!$C$3:$C$2015)=TRIM(I46)),'SIZE GUIDE'!$D$3:$D$2015),"")</f>
        <v/>
      </c>
      <c r="M46" s="64"/>
      <c r="N46" s="63"/>
      <c r="O46" s="65"/>
      <c r="P46" s="65" t="str" cm="1">
        <f t="array" ref="P46">IF(F46="trim",IFERROR(INDEX('SIZE GUIDE'!$E:$E,MATCH(1,('SIZE GUIDE'!$A:$A=$F46)*('SIZE GUIDE'!$B:$B=$G46)*('SIZE GUIDE'!$C:$C=$I46),0)),""),"")</f>
        <v/>
      </c>
      <c r="Q46" s="65"/>
      <c r="R46" s="66">
        <f t="shared" si="5"/>
        <v>0</v>
      </c>
      <c r="S46" s="59"/>
      <c r="T46" s="59"/>
      <c r="U46" s="93"/>
      <c r="V46" s="94"/>
      <c r="W46" s="95"/>
      <c r="X46" s="59" t="str">
        <f>IF(OR(E46="",C46=""),"",IF(COUNTIFS($E$17:E46,E46,$C$17:C46,C46)=1,E46&amp;" - "&amp;C46&amp;" - "&amp;SUMIFS($J$17:$J$5002,$E$17:$E$5002,E46,$C$17:$C$5002,C46)&amp;I46&amp;" - "&amp;TEXT(SUMIFS($U$17:$U$5002,$E$17:$E$5002,E46,$C$17:$C$5002,C46),"0.00")&amp;" Bf",""))</f>
        <v/>
      </c>
      <c r="Y46" s="24" t="str">
        <f>IF(COUNTIF($C$17:C46,C46)=1,ROUND(SUMIF($C:$C,C46,$W:$W),2), "")</f>
        <v/>
      </c>
    </row>
    <row r="47" spans="1:25" s="17" customFormat="1" ht="41.25" hidden="1" customHeight="1" x14ac:dyDescent="0.2">
      <c r="A47" s="57"/>
      <c r="B47" s="57"/>
      <c r="C47" s="57"/>
      <c r="D47" s="57" t="str" cm="1">
        <f t="array" ref="D47">IFERROR(
_xlfn.XLOOKUP(1,
(CODE_PRICE!$A$3:$A$1003=$A$8)*
(CODE_PRICE!$B$3:$B$1003=C47),
CODE_PRICE!$C$3:$C$1003
),
"")</f>
        <v/>
      </c>
      <c r="E47" s="58"/>
      <c r="F47" s="58"/>
      <c r="G47" s="59"/>
      <c r="H47" s="60"/>
      <c r="I47" s="58"/>
      <c r="J47" s="61"/>
      <c r="K47" s="62"/>
      <c r="L47" s="63" t="str" cm="1">
        <f t="array" ref="L47">IF(F47="untrim",_xlfn.XLOOKUP(1,(TRIM('SIZE GUIDE'!$A$3:$A$2015)=TRIM(F47))*(TRIM('SIZE GUIDE'!$B$3:$B$2015)=TRIM(G47))*(TRIM('SIZE GUIDE'!$C$3:$C$2015)=TRIM(I47)),'SIZE GUIDE'!$D$3:$D$2015),"")</f>
        <v/>
      </c>
      <c r="M47" s="64"/>
      <c r="N47" s="63"/>
      <c r="O47" s="65"/>
      <c r="P47" s="65" t="str" cm="1">
        <f t="array" ref="P47">IF(F47="trim",IFERROR(INDEX('SIZE GUIDE'!$E:$E,MATCH(1,('SIZE GUIDE'!$A:$A=$F47)*('SIZE GUIDE'!$B:$B=$G47)*('SIZE GUIDE'!$C:$C=$I47),0)),""),"")</f>
        <v/>
      </c>
      <c r="Q47" s="65"/>
      <c r="R47" s="66">
        <f t="shared" si="5"/>
        <v>0</v>
      </c>
      <c r="S47" s="59"/>
      <c r="T47" s="59"/>
      <c r="U47" s="93"/>
      <c r="V47" s="94"/>
      <c r="W47" s="95"/>
      <c r="X47" s="59" t="str">
        <f>IF(OR(E47="",C47=""),"",IF(COUNTIFS($E$17:E47,E47,$C$17:C47,C47)=1,E47&amp;" - "&amp;C47&amp;" - "&amp;SUMIFS($J$17:$J$5002,$E$17:$E$5002,E47,$C$17:$C$5002,C47)&amp;I47&amp;" - "&amp;TEXT(SUMIFS($U$17:$U$5002,$E$17:$E$5002,E47,$C$17:$C$5002,C47),"0.00")&amp;" Bf",""))</f>
        <v/>
      </c>
      <c r="Y47" s="24" t="str">
        <f>IF(COUNTIF($C$17:C47,C47)=1,ROUND(SUMIF($C:$C,C47,$W:$W),2), "")</f>
        <v/>
      </c>
    </row>
    <row r="48" spans="1:25" s="17" customFormat="1" ht="41.25" hidden="1" customHeight="1" x14ac:dyDescent="0.2">
      <c r="A48" s="57"/>
      <c r="B48" s="57"/>
      <c r="C48" s="57"/>
      <c r="D48" s="57" t="str" cm="1">
        <f t="array" ref="D48">IFERROR(
_xlfn.XLOOKUP(1,
(CODE_PRICE!$A$3:$A$1003=$A$8)*
(CODE_PRICE!$B$3:$B$1003=C48),
CODE_PRICE!$C$3:$C$1003
),
"")</f>
        <v/>
      </c>
      <c r="E48" s="58"/>
      <c r="F48" s="58"/>
      <c r="G48" s="59"/>
      <c r="H48" s="60"/>
      <c r="I48" s="58"/>
      <c r="J48" s="61"/>
      <c r="K48" s="62"/>
      <c r="L48" s="63" t="str" cm="1">
        <f t="array" ref="L48">IF(F48="untrim",_xlfn.XLOOKUP(1,(TRIM('SIZE GUIDE'!$A$3:$A$2015)=TRIM(F48))*(TRIM('SIZE GUIDE'!$B$3:$B$2015)=TRIM(G48))*(TRIM('SIZE GUIDE'!$C$3:$C$2015)=TRIM(I48)),'SIZE GUIDE'!$D$3:$D$2015),"")</f>
        <v/>
      </c>
      <c r="M48" s="64"/>
      <c r="N48" s="63"/>
      <c r="O48" s="65"/>
      <c r="P48" s="65" t="str" cm="1">
        <f t="array" ref="P48">IF(F48="trim",IFERROR(INDEX('SIZE GUIDE'!$E:$E,MATCH(1,('SIZE GUIDE'!$A:$A=$F48)*('SIZE GUIDE'!$B:$B=$G48)*('SIZE GUIDE'!$C:$C=$I48),0)),""),"")</f>
        <v/>
      </c>
      <c r="Q48" s="65"/>
      <c r="R48" s="66">
        <f t="shared" si="5"/>
        <v>0</v>
      </c>
      <c r="S48" s="59"/>
      <c r="T48" s="59"/>
      <c r="U48" s="93"/>
      <c r="V48" s="94"/>
      <c r="W48" s="95"/>
      <c r="X48" s="59" t="str">
        <f>IF(OR(E48="",C48=""),"",IF(COUNTIFS($E$17:E48,E48,$C$17:C48,C48)=1,E48&amp;" - "&amp;C48&amp;" - "&amp;SUMIFS($J$17:$J$5002,$E$17:$E$5002,E48,$C$17:$C$5002,C48)&amp;I48&amp;" - "&amp;TEXT(SUMIFS($U$17:$U$5002,$E$17:$E$5002,E48,$C$17:$C$5002,C48),"0.00")&amp;" Bf",""))</f>
        <v/>
      </c>
      <c r="Y48" s="24" t="str">
        <f>IF(COUNTIF($C$17:C48,C48)=1,ROUND(SUMIF($C:$C,C48,$W:$W),2), "")</f>
        <v/>
      </c>
    </row>
    <row r="49" spans="1:25" s="17" customFormat="1" ht="41.25" hidden="1" customHeight="1" x14ac:dyDescent="0.2">
      <c r="A49" s="57"/>
      <c r="B49" s="57"/>
      <c r="C49" s="57"/>
      <c r="D49" s="57" t="str" cm="1">
        <f t="array" ref="D49">IFERROR(
_xlfn.XLOOKUP(1,
(CODE_PRICE!$A$3:$A$1003=$A$8)*
(CODE_PRICE!$B$3:$B$1003=C49),
CODE_PRICE!$C$3:$C$1003
),
"")</f>
        <v/>
      </c>
      <c r="E49" s="58"/>
      <c r="F49" s="58"/>
      <c r="G49" s="59"/>
      <c r="H49" s="60"/>
      <c r="I49" s="58"/>
      <c r="J49" s="61"/>
      <c r="K49" s="62"/>
      <c r="L49" s="63" t="str" cm="1">
        <f t="array" ref="L49">IF(F49="untrim",_xlfn.XLOOKUP(1,(TRIM('SIZE GUIDE'!$A$3:$A$2015)=TRIM(F49))*(TRIM('SIZE GUIDE'!$B$3:$B$2015)=TRIM(G49))*(TRIM('SIZE GUIDE'!$C$3:$C$2015)=TRIM(I49)),'SIZE GUIDE'!$D$3:$D$2015),"")</f>
        <v/>
      </c>
      <c r="M49" s="64"/>
      <c r="N49" s="63"/>
      <c r="O49" s="65"/>
      <c r="P49" s="65" t="str" cm="1">
        <f t="array" ref="P49">IF(F49="trim",IFERROR(INDEX('SIZE GUIDE'!$E:$E,MATCH(1,('SIZE GUIDE'!$A:$A=$F49)*('SIZE GUIDE'!$B:$B=$G49)*('SIZE GUIDE'!$C:$C=$I49),0)),""),"")</f>
        <v/>
      </c>
      <c r="Q49" s="65"/>
      <c r="R49" s="66">
        <f t="shared" si="5"/>
        <v>0</v>
      </c>
      <c r="S49" s="59"/>
      <c r="T49" s="59"/>
      <c r="U49" s="93"/>
      <c r="V49" s="94"/>
      <c r="W49" s="95"/>
      <c r="X49" s="59" t="str">
        <f>IF(OR(E49="",C49=""),"",IF(COUNTIFS($E$17:E49,E49,$C$17:C49,C49)=1,E49&amp;" - "&amp;C49&amp;" - "&amp;SUMIFS($J$17:$J$5002,$E$17:$E$5002,E49,$C$17:$C$5002,C49)&amp;I49&amp;" - "&amp;TEXT(SUMIFS($U$17:$U$5002,$E$17:$E$5002,E49,$C$17:$C$5002,C49),"0.00")&amp;" Bf",""))</f>
        <v/>
      </c>
      <c r="Y49" s="24" t="str">
        <f>IF(COUNTIF($C$17:C49,C49)=1,ROUND(SUMIF($C:$C,C49,$W:$W),2), "")</f>
        <v/>
      </c>
    </row>
    <row r="50" spans="1:25" s="17" customFormat="1" ht="41.25" customHeight="1" thickBot="1" x14ac:dyDescent="0.25">
      <c r="A50" s="53"/>
      <c r="B50" s="53"/>
      <c r="C50" s="53"/>
      <c r="D50" s="53" t="str" cm="1">
        <f t="array" ref="D50">IFERROR(
_xlfn.XLOOKUP(1,
(CODE_PRICE!$A$3:$A$1003=$A$8)*
(CODE_PRICE!$B$3:$B$1003=C50),
CODE_PRICE!$C$3:$C$1003
),
"")</f>
        <v/>
      </c>
      <c r="E50" s="53"/>
      <c r="F50" s="67"/>
      <c r="G50" s="68"/>
      <c r="H50" s="68"/>
      <c r="I50" s="69" t="s">
        <v>155</v>
      </c>
      <c r="J50" s="70">
        <f>SUM(J17:J49)</f>
        <v>10</v>
      </c>
      <c r="K50" s="55"/>
      <c r="L50" s="55"/>
      <c r="M50" s="55"/>
      <c r="N50" s="55"/>
      <c r="O50" s="56"/>
      <c r="P50" s="56"/>
      <c r="Q50" s="56"/>
      <c r="R50" s="67"/>
      <c r="S50" s="67"/>
      <c r="T50" s="67"/>
      <c r="U50" s="96">
        <f>SUM(U17:U49)</f>
        <v>22510.125</v>
      </c>
      <c r="V50" s="97"/>
      <c r="W50" s="92">
        <f>SUM(W17:W49)</f>
        <v>7303.6778906250001</v>
      </c>
      <c r="X50" s="109"/>
      <c r="Y50" s="109"/>
    </row>
    <row r="51" spans="1:25" s="17" customFormat="1" ht="41.25" customHeight="1" x14ac:dyDescent="0.2">
      <c r="A51" s="57"/>
      <c r="B51" s="71"/>
      <c r="C51" s="71"/>
      <c r="D51" s="156" t="str" cm="1">
        <f t="array" ref="D51">IFERROR(
_xlfn.XLOOKUP(1,
(CODE_PRICE!$A$3:$A$1003=$A$8)*
(CODE_PRICE!$B$3:$B$1003=C51),
CODE_PRICE!$C$3:$C$1003
),
"")</f>
        <v/>
      </c>
      <c r="E51" s="72"/>
      <c r="F51" s="72"/>
      <c r="G51" s="73"/>
      <c r="H51" s="74"/>
      <c r="I51" s="75" t="s">
        <v>156</v>
      </c>
      <c r="J51" s="76"/>
      <c r="K51" s="77"/>
      <c r="L51" s="78"/>
      <c r="M51" s="79"/>
      <c r="N51" s="78"/>
      <c r="O51" s="78"/>
      <c r="P51" s="78"/>
      <c r="Q51" s="78"/>
      <c r="R51" s="80"/>
      <c r="S51" s="80"/>
      <c r="T51" s="80"/>
      <c r="U51" s="81"/>
      <c r="V51" s="82"/>
      <c r="W51" s="83">
        <v>900</v>
      </c>
      <c r="X51" s="19"/>
      <c r="Y51" s="25"/>
    </row>
    <row r="52" spans="1:25" s="17" customFormat="1" ht="41.25" customHeight="1" thickBot="1" x14ac:dyDescent="0.25">
      <c r="A52" s="53"/>
      <c r="B52" s="53"/>
      <c r="C52" s="68"/>
      <c r="D52" s="68" t="str" cm="1">
        <f t="array" ref="D52">IFERROR(
_xlfn.XLOOKUP(1,
(CODE_PRICE!$A$3:$A$1003=$A$8)*
(CODE_PRICE!$B$3:$B$1003=C52),
CODE_PRICE!$C$3:$C$1003
),
"")</f>
        <v/>
      </c>
      <c r="E52" s="67"/>
      <c r="F52" s="67"/>
      <c r="G52" s="67"/>
      <c r="H52" s="67"/>
      <c r="I52" s="69" t="s">
        <v>162</v>
      </c>
      <c r="J52" s="70">
        <f>J50</f>
        <v>10</v>
      </c>
      <c r="K52" s="55"/>
      <c r="L52" s="55"/>
      <c r="M52" s="55"/>
      <c r="N52" s="55"/>
      <c r="O52" s="56"/>
      <c r="P52" s="56"/>
      <c r="Q52" s="56"/>
      <c r="R52" s="67"/>
      <c r="S52" s="67"/>
      <c r="T52" s="67"/>
      <c r="U52" s="96">
        <f>U50</f>
        <v>22510.125</v>
      </c>
      <c r="V52" s="97"/>
      <c r="W52" s="92">
        <f>+W50+W51</f>
        <v>8203.6778906250001</v>
      </c>
      <c r="X52" s="109"/>
      <c r="Y52" s="109"/>
    </row>
    <row r="53" spans="1:25" ht="15" customHeight="1" x14ac:dyDescent="0.25">
      <c r="A53" s="48"/>
      <c r="B53" s="48"/>
      <c r="C53" s="48"/>
      <c r="D53" s="48"/>
      <c r="E53" s="48"/>
      <c r="F53" s="48"/>
      <c r="G53" s="84"/>
      <c r="H53" s="48"/>
      <c r="I53" s="85"/>
      <c r="J53" s="85"/>
      <c r="K53" s="8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89"/>
    </row>
    <row r="54" spans="1:25" ht="15" customHeight="1" x14ac:dyDescent="0.25">
      <c r="A54" s="48" t="s">
        <v>153</v>
      </c>
      <c r="B54" s="48"/>
      <c r="C54" s="48"/>
      <c r="D54" s="48"/>
      <c r="E54" s="48"/>
      <c r="F54" s="48"/>
      <c r="G54" s="84"/>
      <c r="H54" s="48"/>
      <c r="I54" s="85"/>
      <c r="J54" s="85"/>
      <c r="K54" s="8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89"/>
    </row>
    <row r="55" spans="1:25" ht="15" customHeight="1" x14ac:dyDescent="0.25">
      <c r="A55" s="48"/>
      <c r="B55" s="48"/>
      <c r="C55" s="48"/>
      <c r="D55" s="48"/>
      <c r="E55" s="48"/>
      <c r="F55" s="48"/>
      <c r="G55" s="84"/>
      <c r="H55" s="48"/>
      <c r="I55" s="85"/>
      <c r="J55" s="85"/>
      <c r="K55" s="85"/>
      <c r="L55" s="35"/>
      <c r="M55" s="35"/>
      <c r="O55" s="35"/>
      <c r="P55" s="35"/>
      <c r="Q55" s="35"/>
      <c r="R55" s="35"/>
      <c r="S55" s="35"/>
      <c r="T55" s="35"/>
      <c r="U55" s="35"/>
      <c r="V55" s="35"/>
      <c r="W55" s="89"/>
    </row>
    <row r="56" spans="1:25" ht="15" customHeight="1" x14ac:dyDescent="0.25">
      <c r="A56" s="48" t="s">
        <v>154</v>
      </c>
      <c r="B56" s="48"/>
      <c r="C56" s="48"/>
      <c r="D56" s="48"/>
      <c r="E56" s="48"/>
      <c r="F56" s="48"/>
      <c r="G56" s="84"/>
      <c r="H56" s="48"/>
      <c r="I56" s="85"/>
      <c r="J56" s="85"/>
      <c r="K56" s="85"/>
      <c r="L56" s="35"/>
      <c r="M56" s="35"/>
      <c r="O56" s="35"/>
      <c r="P56" s="35"/>
      <c r="Q56" s="35"/>
      <c r="R56" s="35"/>
      <c r="S56" s="35"/>
      <c r="T56" s="35"/>
      <c r="U56" s="35"/>
      <c r="V56" s="35"/>
      <c r="W56" s="89"/>
    </row>
    <row r="57" spans="1:25" ht="15" customHeight="1" x14ac:dyDescent="0.25">
      <c r="A57" s="48"/>
      <c r="B57" s="48"/>
      <c r="C57" s="48"/>
      <c r="D57" s="48"/>
      <c r="E57" s="48"/>
      <c r="F57" s="48"/>
      <c r="G57" s="84"/>
      <c r="H57" s="48"/>
      <c r="I57" s="85"/>
      <c r="J57" s="85"/>
      <c r="K57" s="85"/>
      <c r="L57" s="35"/>
      <c r="M57" s="35"/>
      <c r="O57" s="35"/>
      <c r="P57" s="35"/>
      <c r="Q57" s="35"/>
      <c r="R57" s="35"/>
      <c r="S57" s="35"/>
      <c r="T57" s="35"/>
      <c r="U57" s="35"/>
      <c r="V57" s="35"/>
      <c r="W57" s="89"/>
    </row>
    <row r="58" spans="1:25" ht="15" customHeight="1" x14ac:dyDescent="0.25">
      <c r="A58" s="48"/>
      <c r="B58" s="48"/>
      <c r="C58" s="48"/>
      <c r="D58" s="48"/>
      <c r="E58" s="48"/>
      <c r="F58" s="48"/>
      <c r="G58" s="84"/>
      <c r="H58" s="48"/>
      <c r="I58" s="85"/>
      <c r="J58" s="85"/>
      <c r="K58" s="85"/>
      <c r="L58" s="35"/>
      <c r="M58" s="35"/>
      <c r="O58" s="35"/>
      <c r="P58" s="35"/>
      <c r="Q58" s="35"/>
      <c r="R58" s="35"/>
      <c r="S58" s="35"/>
      <c r="T58" s="35"/>
      <c r="U58" s="35"/>
      <c r="V58" s="35"/>
      <c r="W58" s="89"/>
    </row>
    <row r="59" spans="1:25" ht="15" customHeight="1" x14ac:dyDescent="0.25">
      <c r="A59" s="86"/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5"/>
      <c r="M59" s="35"/>
      <c r="O59" s="35"/>
      <c r="P59" s="35"/>
      <c r="Q59" s="35"/>
      <c r="R59" s="35"/>
      <c r="S59" s="35"/>
      <c r="T59" s="35"/>
      <c r="U59" s="35"/>
      <c r="V59" s="35"/>
      <c r="W59" s="89"/>
    </row>
    <row r="60" spans="1:25" ht="15" customHeight="1" x14ac:dyDescent="0.25">
      <c r="A60" s="86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5"/>
      <c r="M60" s="35"/>
      <c r="O60" s="35"/>
      <c r="P60" s="35"/>
      <c r="Q60" s="35"/>
      <c r="R60" s="35"/>
      <c r="S60" s="35"/>
      <c r="T60" s="35"/>
      <c r="U60" s="35"/>
      <c r="V60" s="35"/>
      <c r="W60" s="89"/>
    </row>
  </sheetData>
  <mergeCells count="5">
    <mergeCell ref="A7:F7"/>
    <mergeCell ref="G7:H7"/>
    <mergeCell ref="S9:T9"/>
    <mergeCell ref="B59:K59"/>
    <mergeCell ref="B60:K60"/>
  </mergeCells>
  <conditionalFormatting sqref="C27:D27">
    <cfRule type="containsText" dxfId="11" priority="1" operator="containsText" text="CFN50180W">
      <formula>NOT(ISERROR(SEARCH(("CFN50180W"),(C27))))</formula>
    </cfRule>
    <cfRule type="containsText" dxfId="10" priority="2" operator="containsText" text="CFN17138W">
      <formula>NOT(ISERROR(SEARCH(("CFN17138W"),(C27))))</formula>
    </cfRule>
    <cfRule type="containsText" dxfId="9" priority="3" operator="containsText" text="CFN39180W">
      <formula>NOT(ISERROR(SEARCH(("CFN39180W"),(C27))))</formula>
    </cfRule>
    <cfRule type="containsText" dxfId="8" priority="4" operator="containsText" text="CFN34150">
      <formula>NOT(ISERROR(SEARCH(("CFN34150"),(C27))))</formula>
    </cfRule>
    <cfRule type="containsText" dxfId="7" priority="5" operator="containsText" text="CFN50131">
      <formula>NOT(ISERROR(SEARCH(("CFN50131"),(C27))))</formula>
    </cfRule>
    <cfRule type="containsText" dxfId="6" priority="6" operator="containsText" text="CFN30100W">
      <formula>NOT(ISERROR(SEARCH(("CFN30100W"),(C27))))</formula>
    </cfRule>
  </conditionalFormatting>
  <pageMargins left="0" right="0" top="1" bottom="1" header="0.511811023622047" footer="0.511811023622047"/>
  <pageSetup scale="46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xr:uid="{BA6DA114-1B98-41F6-9173-16CD1C666350}">
          <x14:formula1>
            <xm:f>CODE_MASTER_AS!$A$3:$A$14</xm:f>
          </x14:formula1>
          <xm:sqref>G50:H50 C28:C49 C51:C52 D17:D52 C17:C26</xm:sqref>
        </x14:dataValidation>
        <x14:dataValidation type="list" allowBlank="1" showInputMessage="1" showErrorMessage="1" xr:uid="{33A6BB12-3039-48AE-BEDA-1B6141D461F7}">
          <x14:formula1>
            <xm:f>'SIZE GUIDE'!$B:$B</xm:f>
          </x14:formula1>
          <xm:sqref>H50 G17:G52</xm:sqref>
        </x14:dataValidation>
        <x14:dataValidation type="list" allowBlank="1" xr:uid="{697F8207-9EB9-4A5B-ACD7-1677FDB63594}">
          <x14:formula1>
            <xm:f>LISTS!$B$2:$B$8</xm:f>
          </x14:formula1>
          <x14:formula2>
            <xm:f>0</xm:f>
          </x14:formula2>
          <xm:sqref>I17:I52</xm:sqref>
        </x14:dataValidation>
        <x14:dataValidation type="list" allowBlank="1" xr:uid="{80E3455F-871A-4726-919C-1936933F87F9}">
          <x14:formula1>
            <xm:f>'SIZE GUIDE'!$A$3:$A$38</xm:f>
          </x14:formula1>
          <xm:sqref>F17:F52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5DF12-996F-41AC-B297-FC668205959F}">
  <sheetPr codeName="Sheet26">
    <pageSetUpPr fitToPage="1"/>
  </sheetPr>
  <dimension ref="A1:AH56"/>
  <sheetViews>
    <sheetView showGridLines="0" view="pageBreakPreview" topLeftCell="A16" zoomScale="80" zoomScaleNormal="68" zoomScaleSheetLayoutView="80" workbookViewId="0">
      <selection activeCell="S29" sqref="S29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25" style="16" hidden="1" customWidth="1"/>
    <col min="5" max="5" width="16.83203125" style="16" customWidth="1"/>
    <col min="6" max="6" width="15.33203125" style="16" hidden="1" customWidth="1"/>
    <col min="7" max="7" width="23.5" style="16" bestFit="1" customWidth="1"/>
    <col min="8" max="9" width="10.6640625" style="16" customWidth="1"/>
    <col min="10" max="10" width="10.6640625" style="15" hidden="1" customWidth="1"/>
    <col min="11" max="11" width="10.6640625" style="16" hidden="1" customWidth="1"/>
    <col min="12" max="12" width="10.6640625" style="269" hidden="1" customWidth="1"/>
    <col min="13" max="16" width="10.6640625" style="16" hidden="1" customWidth="1"/>
    <col min="17" max="19" width="10.6640625" style="16" customWidth="1"/>
    <col min="20" max="20" width="14.6640625" style="16" customWidth="1"/>
    <col min="21" max="21" width="14.1640625" style="16" customWidth="1"/>
    <col min="22" max="22" width="14.5" style="98" customWidth="1"/>
    <col min="23" max="23" width="28.1640625" style="16" customWidth="1"/>
    <col min="24" max="24" width="20.33203125" style="23" customWidth="1"/>
    <col min="25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45"/>
      <c r="K1" s="29"/>
      <c r="L1" s="261"/>
      <c r="M1" s="29" t="s">
        <v>204</v>
      </c>
      <c r="N1" s="27"/>
      <c r="O1" s="27"/>
      <c r="P1" s="27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246"/>
      <c r="K2" s="31"/>
      <c r="L2" s="261"/>
      <c r="M2" s="32" t="s">
        <v>161</v>
      </c>
      <c r="N2" s="27"/>
      <c r="O2" s="27"/>
      <c r="P2" s="28" t="s">
        <v>160</v>
      </c>
      <c r="R2" s="20"/>
      <c r="S2" s="21"/>
      <c r="U2" s="13"/>
      <c r="V2" s="20"/>
      <c r="W2" s="20"/>
      <c r="X2" s="20" t="s">
        <v>151</v>
      </c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247"/>
      <c r="K3" s="37"/>
      <c r="L3" s="262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247"/>
      <c r="K4" s="37"/>
      <c r="L4" s="262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247"/>
      <c r="K5" s="37"/>
      <c r="L5" s="262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247"/>
      <c r="K6" s="37"/>
      <c r="L6" s="262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5" t="s">
        <v>143</v>
      </c>
      <c r="B7" s="315"/>
      <c r="C7" s="315"/>
      <c r="D7" s="315"/>
      <c r="E7" s="315"/>
      <c r="F7" s="316"/>
      <c r="G7" s="316"/>
      <c r="H7" s="35"/>
      <c r="I7" s="35"/>
      <c r="J7" s="247"/>
      <c r="K7" s="37"/>
      <c r="L7" s="262"/>
      <c r="M7" s="37"/>
      <c r="N7" s="38"/>
      <c r="O7" s="38"/>
      <c r="P7" s="38"/>
      <c r="Q7" s="231" t="s">
        <v>147</v>
      </c>
      <c r="R7" s="231"/>
      <c r="S7" s="231"/>
      <c r="T7" s="231"/>
      <c r="U7" s="231"/>
      <c r="V7" s="231" t="s">
        <v>148</v>
      </c>
      <c r="W7" s="231"/>
      <c r="X7" s="231"/>
    </row>
    <row r="8" spans="1:24" ht="15" customHeight="1" x14ac:dyDescent="0.25">
      <c r="A8" s="44" t="s">
        <v>212</v>
      </c>
      <c r="B8" s="45"/>
      <c r="C8" s="45"/>
      <c r="D8" s="46"/>
      <c r="E8" s="46"/>
      <c r="F8" s="36"/>
      <c r="G8" s="46"/>
      <c r="H8" s="35"/>
      <c r="I8" s="35"/>
      <c r="J8" s="247"/>
      <c r="K8" s="37"/>
      <c r="L8" s="262"/>
      <c r="M8" s="37"/>
      <c r="N8" s="38"/>
      <c r="O8" s="38"/>
      <c r="P8" s="38"/>
      <c r="Q8" s="190" t="s">
        <v>312</v>
      </c>
      <c r="R8" s="191"/>
      <c r="S8" s="192"/>
      <c r="T8" s="193"/>
      <c r="U8" s="194"/>
      <c r="V8" s="195">
        <v>46213</v>
      </c>
      <c r="W8" s="232"/>
      <c r="X8" s="233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247"/>
      <c r="K9" s="37"/>
      <c r="L9" s="262"/>
      <c r="M9" s="37"/>
      <c r="N9" s="38"/>
      <c r="O9" s="38"/>
      <c r="P9" s="38"/>
      <c r="Q9" s="225"/>
      <c r="R9" s="317"/>
      <c r="S9" s="317"/>
      <c r="T9" s="228"/>
      <c r="U9" s="234"/>
      <c r="V9" s="235"/>
      <c r="W9" s="232"/>
      <c r="X9" s="233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247"/>
      <c r="K10" s="37"/>
      <c r="L10" s="262"/>
      <c r="M10" s="37"/>
      <c r="N10" s="38"/>
      <c r="O10" s="38"/>
      <c r="P10" s="38"/>
      <c r="Q10" s="236" t="s">
        <v>149</v>
      </c>
      <c r="R10" s="231"/>
      <c r="S10" s="231"/>
      <c r="T10" s="231"/>
      <c r="U10" s="231"/>
      <c r="V10" s="231" t="s">
        <v>150</v>
      </c>
      <c r="W10" s="231"/>
      <c r="X10" s="231"/>
    </row>
    <row r="11" spans="1:24" ht="15" customHeight="1" x14ac:dyDescent="0.25">
      <c r="A11" s="188" t="s">
        <v>288</v>
      </c>
      <c r="B11" s="34"/>
      <c r="C11" s="35"/>
      <c r="D11" s="35"/>
      <c r="E11" s="46"/>
      <c r="F11" s="46"/>
      <c r="G11" s="46"/>
      <c r="H11" s="35"/>
      <c r="I11" s="35"/>
      <c r="J11" s="247"/>
      <c r="K11" s="37"/>
      <c r="L11" s="262"/>
      <c r="M11" s="37"/>
      <c r="N11" s="38"/>
      <c r="O11" s="38"/>
      <c r="P11" s="38"/>
      <c r="Q11" s="190" t="s">
        <v>305</v>
      </c>
      <c r="R11" s="190"/>
      <c r="S11" s="190"/>
      <c r="T11" s="193"/>
      <c r="U11" s="194"/>
      <c r="V11" s="190"/>
      <c r="W11" s="232"/>
      <c r="X11" s="233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247"/>
      <c r="K12" s="37"/>
      <c r="L12" s="262"/>
      <c r="M12" s="37"/>
      <c r="N12" s="38"/>
      <c r="O12" s="38"/>
      <c r="P12" s="38"/>
      <c r="Q12" s="190"/>
      <c r="R12" s="190"/>
      <c r="S12" s="190"/>
      <c r="T12" s="190"/>
      <c r="U12" s="194"/>
      <c r="V12" s="237"/>
      <c r="W12" s="232"/>
      <c r="X12" s="233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4"/>
      <c r="K13" s="50"/>
      <c r="L13" s="263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210" customFormat="1" ht="39.75" customHeight="1" x14ac:dyDescent="0.2">
      <c r="A14" s="212" t="s">
        <v>158</v>
      </c>
      <c r="B14" s="212" t="s">
        <v>0</v>
      </c>
      <c r="C14" s="212" t="s">
        <v>1</v>
      </c>
      <c r="D14" s="213" t="s">
        <v>135</v>
      </c>
      <c r="E14" s="213" t="s">
        <v>157</v>
      </c>
      <c r="F14" s="213" t="s">
        <v>3</v>
      </c>
      <c r="G14" s="213" t="s">
        <v>152</v>
      </c>
      <c r="H14" s="213" t="s">
        <v>105</v>
      </c>
      <c r="I14" s="213" t="s">
        <v>5</v>
      </c>
      <c r="J14" s="248" t="s">
        <v>64</v>
      </c>
      <c r="K14" s="216" t="s">
        <v>136</v>
      </c>
      <c r="L14" s="264" t="s">
        <v>24</v>
      </c>
      <c r="M14" s="216" t="s">
        <v>108</v>
      </c>
      <c r="N14" s="217" t="s">
        <v>136</v>
      </c>
      <c r="O14" s="217" t="s">
        <v>24</v>
      </c>
      <c r="P14" s="259" t="s">
        <v>108</v>
      </c>
      <c r="Q14" s="213" t="s">
        <v>136</v>
      </c>
      <c r="R14" s="213" t="s">
        <v>24</v>
      </c>
      <c r="S14" s="213" t="s">
        <v>108</v>
      </c>
      <c r="T14" s="218" t="s">
        <v>159</v>
      </c>
      <c r="U14" s="219" t="s">
        <v>6</v>
      </c>
      <c r="V14" s="220" t="s">
        <v>7</v>
      </c>
      <c r="W14" s="220" t="s">
        <v>140</v>
      </c>
      <c r="X14" s="220" t="s">
        <v>141</v>
      </c>
    </row>
    <row r="15" spans="1:24" s="210" customFormat="1" ht="31.5" customHeight="1" x14ac:dyDescent="0.2">
      <c r="A15" s="196">
        <v>1</v>
      </c>
      <c r="B15" s="196"/>
      <c r="C15" s="196" t="s">
        <v>89</v>
      </c>
      <c r="D15" s="197"/>
      <c r="E15" s="197" t="s">
        <v>11</v>
      </c>
      <c r="F15" s="198" t="s">
        <v>123</v>
      </c>
      <c r="G15" s="199" t="str">
        <f>IF(COUNTIFS($C$15:C15,C15,$H$15:H15,H15)=1,
SUMIFS($I$15:$I$43,$C$15:$C$43,C15,$H$15:$H$43,H15)&amp;H15&amp;" "&amp;C15,
"")</f>
        <v>4F CFN30100W</v>
      </c>
      <c r="H15" s="197" t="s">
        <v>14</v>
      </c>
      <c r="I15" s="200">
        <v>1</v>
      </c>
      <c r="J15" s="249"/>
      <c r="K15" s="201" cm="1">
        <f t="array" ref="K15">IF(E15="untrim",_xlfn.XLOOKUP(1,(TRIM('SIZE GUIDE'!$A$3:$A$2015)=TRIM(E15))*(TRIM('SIZE GUIDE'!$B$3:$B$2015)=TRIM(F15))*(TRIM('SIZE GUIDE'!$C$3:$C$2015)=TRIM(H15)),'SIZE GUIDE'!$D$3:$D$2015),"")</f>
        <v>76</v>
      </c>
      <c r="L15" s="265" cm="1">
        <f t="array" ref="L15">IF(E15="untrim",IFERROR(INDEX('SIZE GUIDE'!$E:$E,MATCH(1,('SIZE GUIDE'!$A:$A=$E15)*('SIZE GUIDE'!$B:$B=$F15)*('SIZE GUIDE'!$C:$C=$H15),0)),""),"")</f>
        <v>55</v>
      </c>
      <c r="M15" s="202">
        <v>41</v>
      </c>
      <c r="N15" s="203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203" t="str" cm="1">
        <f t="array" ref="O15">IF(E15="trim",IFERROR(INDEX('SIZE GUIDE'!$E:$E,MATCH(1,('SIZE GUIDE'!$A:$A=$E15)*('SIZE GUIDE'!$B:$B=$F15)*('SIZE GUIDE'!$C:$C=$H15),0)),""),"")</f>
        <v/>
      </c>
      <c r="P15" s="203"/>
      <c r="Q15" s="204">
        <f>IF(E15="untrim",K15-1.5,N15)</f>
        <v>74.5</v>
      </c>
      <c r="R15" s="198">
        <f>IF(E15="untrim",L15-1.5,O15)</f>
        <v>53.5</v>
      </c>
      <c r="S15" s="198">
        <f>IF(E15="untrim",M15-0.5,P15-0.5)</f>
        <v>40.5</v>
      </c>
      <c r="T15" s="205">
        <f>IFERROR(Q15*R15*S15/144*I15,"")</f>
        <v>1120.9921875</v>
      </c>
      <c r="U15" s="206">
        <f>SUMIFS(CODE_PRICE!F:F,CODE_PRICE!B:B,C15,CODE_PRICE!A:A,$A$8)</f>
        <v>0.1895</v>
      </c>
      <c r="V15" s="207">
        <f t="shared" ref="V15:V34" si="0">T15*U15</f>
        <v>212.42801953125002</v>
      </c>
      <c r="W15" s="208" t="str">
        <f>IF(COUNTIF($C$15:C15,C15)=1,C15 &amp; " - " &amp; TEXT(SUMIF($C:$C,C15,$T:$T),"0.00"),"")</f>
        <v>CFN30100W - 18218.65</v>
      </c>
      <c r="X15" s="209">
        <f>IF(COUNTIF($C$15:C15,C15)=1,ROUND(SUMIF($C:$C,C15,$V:$V),2), "")</f>
        <v>3452.44</v>
      </c>
    </row>
    <row r="16" spans="1:24" s="210" customFormat="1" ht="31.5" customHeight="1" x14ac:dyDescent="0.2">
      <c r="A16" s="196">
        <f>A15+1</f>
        <v>2</v>
      </c>
      <c r="B16" s="196"/>
      <c r="C16" s="196" t="s">
        <v>89</v>
      </c>
      <c r="D16" s="197"/>
      <c r="E16" s="197" t="s">
        <v>11</v>
      </c>
      <c r="F16" s="198" t="s">
        <v>123</v>
      </c>
      <c r="G16" s="199" t="str">
        <f>IF(COUNTIFS($C$15:C16,C16,$H$15:H16,H16)=1,
SUMIFS($I$15:$I$43,$C$15:$C$43,C16,$H$15:$H$43,H16)&amp;H16&amp;" "&amp;C16,
"")</f>
        <v/>
      </c>
      <c r="H16" s="197" t="s">
        <v>14</v>
      </c>
      <c r="I16" s="200">
        <v>1</v>
      </c>
      <c r="J16" s="249"/>
      <c r="K16" s="201" cm="1">
        <f t="array" ref="K16">IF(E16="untrim",_xlfn.XLOOKUP(1,(TRIM('SIZE GUIDE'!$A$3:$A$2015)=TRIM(E16))*(TRIM('SIZE GUIDE'!$B$3:$B$2015)=TRIM(F16))*(TRIM('SIZE GUIDE'!$C$3:$C$2015)=TRIM(H16)),'SIZE GUIDE'!$D$3:$D$2015),"")</f>
        <v>76</v>
      </c>
      <c r="L16" s="265" cm="1">
        <f t="array" ref="L16">IF(E16="untrim",IFERROR(INDEX('SIZE GUIDE'!$E:$E,MATCH(1,('SIZE GUIDE'!$A:$A=$E16)*('SIZE GUIDE'!$B:$B=$F16)*('SIZE GUIDE'!$C:$C=$H16),0)),""),"")</f>
        <v>55</v>
      </c>
      <c r="M16" s="202">
        <v>40</v>
      </c>
      <c r="N16" s="203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203" t="str" cm="1">
        <f t="array" ref="O16">IF(E16="trim",IFERROR(INDEX('SIZE GUIDE'!$E:$E,MATCH(1,('SIZE GUIDE'!$A:$A=$E16)*('SIZE GUIDE'!$B:$B=$F16)*('SIZE GUIDE'!$C:$C=$H16),0)),""),"")</f>
        <v/>
      </c>
      <c r="P16" s="203"/>
      <c r="Q16" s="204">
        <f t="shared" ref="Q16:Q34" si="1">IF(E16="untrim",K16-1.5,N16)</f>
        <v>74.5</v>
      </c>
      <c r="R16" s="198">
        <f t="shared" ref="R16:R34" si="2">IF(E16="untrim",L16-1.5,O16)</f>
        <v>53.5</v>
      </c>
      <c r="S16" s="198">
        <f t="shared" ref="S16:S34" si="3">IF(E16="untrim",M16-0.5,P16-0.5)</f>
        <v>39.5</v>
      </c>
      <c r="T16" s="205">
        <f t="shared" ref="T16:T34" si="4">IFERROR(Q16*R16*S16/144*I16,"")</f>
        <v>1093.3133680555557</v>
      </c>
      <c r="U16" s="206">
        <f>SUMIFS(CODE_PRICE!F:F,CODE_PRICE!B:B,C16,CODE_PRICE!A:A,$A$8)</f>
        <v>0.1895</v>
      </c>
      <c r="V16" s="207">
        <f t="shared" si="0"/>
        <v>207.18288324652781</v>
      </c>
      <c r="W16" s="208" t="str">
        <f>IF(COUNTIF($C$15:C16,C16)=1,C16 &amp; " - " &amp; TEXT(SUMIF($C:$C,C16,$T:$T),"0.00"),"")</f>
        <v/>
      </c>
      <c r="X16" s="209" t="str">
        <f>IF(COUNTIF($C$15:C16,C16)=1,ROUND(SUMIF($C:$C,C16,$V:$V),2), "")</f>
        <v/>
      </c>
    </row>
    <row r="17" spans="1:34" s="210" customFormat="1" ht="31.5" customHeight="1" x14ac:dyDescent="0.2">
      <c r="A17" s="196">
        <f t="shared" ref="A17:A34" si="5">A16+1</f>
        <v>3</v>
      </c>
      <c r="B17" s="196"/>
      <c r="C17" s="196" t="s">
        <v>89</v>
      </c>
      <c r="D17" s="197"/>
      <c r="E17" s="197" t="s">
        <v>11</v>
      </c>
      <c r="F17" s="198" t="s">
        <v>123</v>
      </c>
      <c r="G17" s="199" t="str">
        <f>IF(COUNTIFS($C$15:C17,C17,$H$15:H17,H17)=1,
SUMIFS($I$15:$I$43,$C$15:$C$43,C17,$H$15:$H$43,H17)&amp;H17&amp;" "&amp;C17,
"")</f>
        <v/>
      </c>
      <c r="H17" s="197" t="s">
        <v>14</v>
      </c>
      <c r="I17" s="200">
        <v>1</v>
      </c>
      <c r="J17" s="249"/>
      <c r="K17" s="201" cm="1">
        <f t="array" ref="K17">IF(E17="untrim",_xlfn.XLOOKUP(1,(TRIM('SIZE GUIDE'!$A$3:$A$2015)=TRIM(E17))*(TRIM('SIZE GUIDE'!$B$3:$B$2015)=TRIM(F17))*(TRIM('SIZE GUIDE'!$C$3:$C$2015)=TRIM(H17)),'SIZE GUIDE'!$D$3:$D$2015),"")</f>
        <v>76</v>
      </c>
      <c r="L17" s="265" cm="1">
        <f t="array" ref="L17">IF(E17="untrim",IFERROR(INDEX('SIZE GUIDE'!$E:$E,MATCH(1,('SIZE GUIDE'!$A:$A=$E17)*('SIZE GUIDE'!$B:$B=$F17)*('SIZE GUIDE'!$C:$C=$H17),0)),""),"")</f>
        <v>55</v>
      </c>
      <c r="M17" s="202">
        <v>41</v>
      </c>
      <c r="N17" s="203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203" t="str" cm="1">
        <f t="array" ref="O17">IF(E17="trim",IFERROR(INDEX('SIZE GUIDE'!$E:$E,MATCH(1,('SIZE GUIDE'!$A:$A=$E17)*('SIZE GUIDE'!$B:$B=$F17)*('SIZE GUIDE'!$C:$C=$H17),0)),""),"")</f>
        <v/>
      </c>
      <c r="P17" s="203"/>
      <c r="Q17" s="204">
        <f t="shared" si="1"/>
        <v>74.5</v>
      </c>
      <c r="R17" s="198">
        <f t="shared" si="2"/>
        <v>53.5</v>
      </c>
      <c r="S17" s="198">
        <f t="shared" si="3"/>
        <v>40.5</v>
      </c>
      <c r="T17" s="205">
        <f t="shared" si="4"/>
        <v>1120.9921875</v>
      </c>
      <c r="U17" s="206">
        <f>SUMIFS(CODE_PRICE!F:F,CODE_PRICE!B:B,C17,CODE_PRICE!A:A,$A$8)</f>
        <v>0.1895</v>
      </c>
      <c r="V17" s="207">
        <f t="shared" si="0"/>
        <v>212.42801953125002</v>
      </c>
      <c r="W17" s="208" t="str">
        <f>IF(COUNTIF($C$15:C17,C17)=1,C17 &amp; " - " &amp; TEXT(SUMIF($C:$C,C17,$T:$T),"0.00"),"")</f>
        <v/>
      </c>
      <c r="X17" s="209" t="str">
        <f>IF(COUNTIF($C$15:C17,C17)=1,ROUND(SUMIF($C:$C,C17,$V:$V),2), "")</f>
        <v/>
      </c>
    </row>
    <row r="18" spans="1:34" s="210" customFormat="1" ht="31.5" customHeight="1" x14ac:dyDescent="0.2">
      <c r="A18" s="196">
        <f t="shared" si="5"/>
        <v>4</v>
      </c>
      <c r="B18" s="196"/>
      <c r="C18" s="196" t="s">
        <v>89</v>
      </c>
      <c r="D18" s="197"/>
      <c r="E18" s="197" t="s">
        <v>11</v>
      </c>
      <c r="F18" s="198" t="s">
        <v>123</v>
      </c>
      <c r="G18" s="199" t="str">
        <f>IF(COUNTIFS($C$15:C18,C18,$H$15:H18,H18)=1,
SUMIFS($I$15:$I$43,$C$15:$C$43,C18,$H$15:$H$43,H18)&amp;H18&amp;" "&amp;C18,
"")</f>
        <v/>
      </c>
      <c r="H18" s="197" t="s">
        <v>14</v>
      </c>
      <c r="I18" s="200">
        <v>1</v>
      </c>
      <c r="J18" s="249"/>
      <c r="K18" s="201" cm="1">
        <f t="array" ref="K18">IF(E18="untrim",_xlfn.XLOOKUP(1,(TRIM('SIZE GUIDE'!$A$3:$A$2015)=TRIM(E18))*(TRIM('SIZE GUIDE'!$B$3:$B$2015)=TRIM(F18))*(TRIM('SIZE GUIDE'!$C$3:$C$2015)=TRIM(H18)),'SIZE GUIDE'!$D$3:$D$2015),"")</f>
        <v>76</v>
      </c>
      <c r="L18" s="265" cm="1">
        <f t="array" ref="L18">IF(E18="untrim",IFERROR(INDEX('SIZE GUIDE'!$E:$E,MATCH(1,('SIZE GUIDE'!$A:$A=$E18)*('SIZE GUIDE'!$B:$B=$F18)*('SIZE GUIDE'!$C:$C=$H18),0)),""),"")</f>
        <v>55</v>
      </c>
      <c r="M18" s="202">
        <v>38</v>
      </c>
      <c r="N18" s="203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203" t="str" cm="1">
        <f t="array" ref="O18">IF(E18="trim",IFERROR(INDEX('SIZE GUIDE'!$E:$E,MATCH(1,('SIZE GUIDE'!$A:$A=$E18)*('SIZE GUIDE'!$B:$B=$F18)*('SIZE GUIDE'!$C:$C=$H18),0)),""),"")</f>
        <v/>
      </c>
      <c r="P18" s="203"/>
      <c r="Q18" s="204">
        <f t="shared" si="1"/>
        <v>74.5</v>
      </c>
      <c r="R18" s="198">
        <f t="shared" si="2"/>
        <v>53.5</v>
      </c>
      <c r="S18" s="198">
        <f t="shared" si="3"/>
        <v>37.5</v>
      </c>
      <c r="T18" s="205">
        <f t="shared" si="4"/>
        <v>1037.9557291666667</v>
      </c>
      <c r="U18" s="206">
        <f>SUMIFS(CODE_PRICE!F:F,CODE_PRICE!B:B,C18,CODE_PRICE!A:A,$A$8)</f>
        <v>0.1895</v>
      </c>
      <c r="V18" s="207">
        <f t="shared" si="0"/>
        <v>196.69261067708334</v>
      </c>
      <c r="W18" s="208" t="str">
        <f>IF(COUNTIF($C$15:C18,C18)=1,C18 &amp; " - " &amp; TEXT(SUMIF($C:$C,C18,$T:$T),"0.00"),"")</f>
        <v/>
      </c>
      <c r="X18" s="209" t="str">
        <f>IF(COUNTIF($C$15:C18,C18)=1,ROUND(SUMIF($C:$C,C18,$V:$V),2), "")</f>
        <v/>
      </c>
      <c r="AH18" s="211"/>
    </row>
    <row r="19" spans="1:34" s="210" customFormat="1" ht="31.5" customHeight="1" x14ac:dyDescent="0.2">
      <c r="A19" s="196">
        <f t="shared" si="5"/>
        <v>5</v>
      </c>
      <c r="B19" s="196"/>
      <c r="C19" s="196" t="s">
        <v>89</v>
      </c>
      <c r="D19" s="197"/>
      <c r="E19" s="197" t="s">
        <v>11</v>
      </c>
      <c r="F19" s="198" t="s">
        <v>123</v>
      </c>
      <c r="G19" s="199" t="str">
        <f>IF(COUNTIFS($C$15:C19,C19,$H$15:H19,H19)=1,
SUMIFS($I$15:$I$43,$C$15:$C$43,C19,$H$15:$H$43,H19)&amp;H19&amp;" "&amp;C19,
"")</f>
        <v>2T CFN30100W</v>
      </c>
      <c r="H19" s="197" t="s">
        <v>12</v>
      </c>
      <c r="I19" s="200">
        <v>1</v>
      </c>
      <c r="J19" s="249"/>
      <c r="K19" s="201" cm="1">
        <f t="array" ref="K19">IF(E19="untrim",_xlfn.XLOOKUP(1,(TRIM('SIZE GUIDE'!$A$3:$A$2015)=TRIM(E19))*(TRIM('SIZE GUIDE'!$B$3:$B$2015)=TRIM(F19))*(TRIM('SIZE GUIDE'!$C$3:$C$2015)=TRIM(H19)),'SIZE GUIDE'!$D$3:$D$2015),"")</f>
        <v>76</v>
      </c>
      <c r="L19" s="265" cm="1">
        <f t="array" ref="L19">IF(E19="untrim",IFERROR(INDEX('SIZE GUIDE'!$E:$E,MATCH(1,('SIZE GUIDE'!$A:$A=$E19)*('SIZE GUIDE'!$B:$B=$F19)*('SIZE GUIDE'!$C:$C=$H19),0)),""),"")</f>
        <v>39</v>
      </c>
      <c r="M19" s="202">
        <v>41</v>
      </c>
      <c r="N19" s="203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203" t="str" cm="1">
        <f t="array" ref="O19">IF(E19="trim",IFERROR(INDEX('SIZE GUIDE'!$E:$E,MATCH(1,('SIZE GUIDE'!$A:$A=$E19)*('SIZE GUIDE'!$B:$B=$F19)*('SIZE GUIDE'!$C:$C=$H19),0)),""),"")</f>
        <v/>
      </c>
      <c r="P19" s="203"/>
      <c r="Q19" s="204">
        <f t="shared" si="1"/>
        <v>74.5</v>
      </c>
      <c r="R19" s="198">
        <f t="shared" si="2"/>
        <v>37.5</v>
      </c>
      <c r="S19" s="198">
        <f t="shared" si="3"/>
        <v>40.5</v>
      </c>
      <c r="T19" s="205">
        <f t="shared" si="4"/>
        <v>785.7421875</v>
      </c>
      <c r="U19" s="206">
        <f>SUMIFS(CODE_PRICE!F:F,CODE_PRICE!B:B,C19,CODE_PRICE!A:A,$A$8)</f>
        <v>0.1895</v>
      </c>
      <c r="V19" s="207">
        <f t="shared" si="0"/>
        <v>148.89814453125001</v>
      </c>
      <c r="W19" s="208" t="str">
        <f>IF(COUNTIF($C$15:C19,C19)=1,C19 &amp; " - " &amp; TEXT(SUMIF($C:$C,C19,$T:$T),"0.00"),"")</f>
        <v/>
      </c>
      <c r="X19" s="209" t="str">
        <f>IF(COUNTIF($C$15:C19,C19)=1,ROUND(SUMIF($C:$C,C19,$V:$V),2), "")</f>
        <v/>
      </c>
    </row>
    <row r="20" spans="1:34" s="210" customFormat="1" ht="31.5" customHeight="1" x14ac:dyDescent="0.2">
      <c r="A20" s="196">
        <f t="shared" si="5"/>
        <v>6</v>
      </c>
      <c r="B20" s="196"/>
      <c r="C20" s="196" t="s">
        <v>89</v>
      </c>
      <c r="D20" s="197"/>
      <c r="E20" s="197" t="s">
        <v>11</v>
      </c>
      <c r="F20" s="198" t="s">
        <v>123</v>
      </c>
      <c r="G20" s="199" t="str">
        <f>IF(COUNTIFS($C$15:C20,C20,$H$15:H20,H20)=1,
SUMIFS($I$15:$I$43,$C$15:$C$43,C20,$H$15:$H$43,H20)&amp;H20&amp;" "&amp;C20,
"")</f>
        <v/>
      </c>
      <c r="H20" s="197" t="s">
        <v>12</v>
      </c>
      <c r="I20" s="200">
        <v>1</v>
      </c>
      <c r="J20" s="249"/>
      <c r="K20" s="201" cm="1">
        <f t="array" ref="K20">IF(E20="untrim",_xlfn.XLOOKUP(1,(TRIM('SIZE GUIDE'!$A$3:$A$2015)=TRIM(E20))*(TRIM('SIZE GUIDE'!$B$3:$B$2015)=TRIM(F20))*(TRIM('SIZE GUIDE'!$C$3:$C$2015)=TRIM(H20)),'SIZE GUIDE'!$D$3:$D$2015),"")</f>
        <v>76</v>
      </c>
      <c r="L20" s="265" cm="1">
        <f t="array" ref="L20">IF(E20="untrim",IFERROR(INDEX('SIZE GUIDE'!$E:$E,MATCH(1,('SIZE GUIDE'!$A:$A=$E20)*('SIZE GUIDE'!$B:$B=$F20)*('SIZE GUIDE'!$C:$C=$H20),0)),""),"")</f>
        <v>39</v>
      </c>
      <c r="M20" s="202">
        <v>41</v>
      </c>
      <c r="N20" s="203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203" t="str" cm="1">
        <f t="array" ref="O20">IF(E20="trim",IFERROR(INDEX('SIZE GUIDE'!$E:$E,MATCH(1,('SIZE GUIDE'!$A:$A=$E20)*('SIZE GUIDE'!$B:$B=$F20)*('SIZE GUIDE'!$C:$C=$H20),0)),""),"")</f>
        <v/>
      </c>
      <c r="P20" s="203"/>
      <c r="Q20" s="204">
        <f t="shared" si="1"/>
        <v>74.5</v>
      </c>
      <c r="R20" s="198">
        <f t="shared" si="2"/>
        <v>37.5</v>
      </c>
      <c r="S20" s="198">
        <f t="shared" si="3"/>
        <v>40.5</v>
      </c>
      <c r="T20" s="205">
        <f t="shared" si="4"/>
        <v>785.7421875</v>
      </c>
      <c r="U20" s="206">
        <f>SUMIFS(CODE_PRICE!F:F,CODE_PRICE!B:B,C20,CODE_PRICE!A:A,$A$8)</f>
        <v>0.1895</v>
      </c>
      <c r="V20" s="207">
        <f t="shared" si="0"/>
        <v>148.89814453125001</v>
      </c>
      <c r="W20" s="208" t="str">
        <f>IF(COUNTIF($C$15:C20,C20)=1,C20 &amp; " - " &amp; TEXT(SUMIF($C:$C,C20,$T:$T),"0.00"),"")</f>
        <v/>
      </c>
      <c r="X20" s="209" t="str">
        <f>IF(COUNTIF($C$15:C20,C20)=1,ROUND(SUMIF($C:$C,C20,$V:$V),2), "")</f>
        <v/>
      </c>
    </row>
    <row r="21" spans="1:34" s="210" customFormat="1" ht="31.5" customHeight="1" x14ac:dyDescent="0.2">
      <c r="A21" s="196">
        <f t="shared" si="5"/>
        <v>7</v>
      </c>
      <c r="B21" s="196"/>
      <c r="C21" s="196" t="s">
        <v>89</v>
      </c>
      <c r="D21" s="197"/>
      <c r="E21" s="197" t="s">
        <v>11</v>
      </c>
      <c r="F21" s="198" t="s">
        <v>123</v>
      </c>
      <c r="G21" s="199" t="str">
        <f>IF(COUNTIFS($C$15:C21,C21,$H$15:H21,H21)=1,
SUMIFS($I$15:$I$43,$C$15:$C$43,C21,$H$15:$H$43,H21)&amp;H21&amp;" "&amp;C21,
"")</f>
        <v>6Q CFN30100W</v>
      </c>
      <c r="H21" s="197" t="s">
        <v>16</v>
      </c>
      <c r="I21" s="200">
        <v>1</v>
      </c>
      <c r="J21" s="249"/>
      <c r="K21" s="201" cm="1">
        <f t="array" ref="K21">IF(E21="untrim",_xlfn.XLOOKUP(1,(TRIM('SIZE GUIDE'!$A$3:$A$2015)=TRIM(E21))*(TRIM('SIZE GUIDE'!$B$3:$B$2015)=TRIM(F21))*(TRIM('SIZE GUIDE'!$C$3:$C$2015)=TRIM(H21)),'SIZE GUIDE'!$D$3:$D$2015),"")</f>
        <v>81</v>
      </c>
      <c r="L21" s="265" cm="1">
        <f t="array" ref="L21">IF(E21="untrim",IFERROR(INDEX('SIZE GUIDE'!$E:$E,MATCH(1,('SIZE GUIDE'!$A:$A=$E21)*('SIZE GUIDE'!$B:$B=$F21)*('SIZE GUIDE'!$C:$C=$H21),0)),""),"")</f>
        <v>61</v>
      </c>
      <c r="M21" s="202">
        <v>45</v>
      </c>
      <c r="N21" s="203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203" t="str" cm="1">
        <f t="array" ref="O21">IF(E21="trim",IFERROR(INDEX('SIZE GUIDE'!$E:$E,MATCH(1,('SIZE GUIDE'!$A:$A=$E21)*('SIZE GUIDE'!$B:$B=$F21)*('SIZE GUIDE'!$C:$C=$H21),0)),""),"")</f>
        <v/>
      </c>
      <c r="P21" s="203"/>
      <c r="Q21" s="204">
        <f t="shared" si="1"/>
        <v>79.5</v>
      </c>
      <c r="R21" s="198">
        <f t="shared" si="2"/>
        <v>59.5</v>
      </c>
      <c r="S21" s="198">
        <f t="shared" si="3"/>
        <v>44.5</v>
      </c>
      <c r="T21" s="205">
        <f t="shared" si="4"/>
        <v>1461.7786458333333</v>
      </c>
      <c r="U21" s="206">
        <f>SUMIFS(CODE_PRICE!F:F,CODE_PRICE!B:B,C21,CODE_PRICE!A:A,$A$8)</f>
        <v>0.1895</v>
      </c>
      <c r="V21" s="207">
        <f t="shared" si="0"/>
        <v>277.00705338541667</v>
      </c>
      <c r="W21" s="208" t="str">
        <f>IF(COUNTIF($C$15:C21,C21)=1,C21 &amp; " - " &amp; TEXT(SUMIF($C:$C,C21,$T:$T),"0.00"),"")</f>
        <v/>
      </c>
      <c r="X21" s="209" t="str">
        <f>IF(COUNTIF($C$15:C21,C21)=1,ROUND(SUMIF($C:$C,C21,$V:$V),2), "")</f>
        <v/>
      </c>
    </row>
    <row r="22" spans="1:34" s="210" customFormat="1" ht="31.5" customHeight="1" x14ac:dyDescent="0.2">
      <c r="A22" s="196">
        <f t="shared" si="5"/>
        <v>8</v>
      </c>
      <c r="B22" s="196"/>
      <c r="C22" s="196" t="s">
        <v>89</v>
      </c>
      <c r="D22" s="197"/>
      <c r="E22" s="197" t="s">
        <v>11</v>
      </c>
      <c r="F22" s="198" t="s">
        <v>123</v>
      </c>
      <c r="G22" s="199" t="str">
        <f>IF(COUNTIFS($C$15:C22,C22,$H$15:H22,H22)=1,
SUMIFS($I$15:$I$43,$C$15:$C$43,C22,$H$15:$H$43,H22)&amp;H22&amp;" "&amp;C22,
"")</f>
        <v/>
      </c>
      <c r="H22" s="197" t="s">
        <v>16</v>
      </c>
      <c r="I22" s="200">
        <v>1</v>
      </c>
      <c r="J22" s="249"/>
      <c r="K22" s="201" cm="1">
        <f t="array" ref="K22">IF(E22="untrim",_xlfn.XLOOKUP(1,(TRIM('SIZE GUIDE'!$A$3:$A$2015)=TRIM(E22))*(TRIM('SIZE GUIDE'!$B$3:$B$2015)=TRIM(F22))*(TRIM('SIZE GUIDE'!$C$3:$C$2015)=TRIM(H22)),'SIZE GUIDE'!$D$3:$D$2015),"")</f>
        <v>81</v>
      </c>
      <c r="L22" s="265" cm="1">
        <f t="array" ref="L22">IF(E22="untrim",IFERROR(INDEX('SIZE GUIDE'!$E:$E,MATCH(1,('SIZE GUIDE'!$A:$A=$E22)*('SIZE GUIDE'!$B:$B=$F22)*('SIZE GUIDE'!$C:$C=$H22),0)),""),"")</f>
        <v>61</v>
      </c>
      <c r="M22" s="202">
        <v>45</v>
      </c>
      <c r="N22" s="203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203" t="str" cm="1">
        <f t="array" ref="O22">IF(E22="trim",IFERROR(INDEX('SIZE GUIDE'!$E:$E,MATCH(1,('SIZE GUIDE'!$A:$A=$E22)*('SIZE GUIDE'!$B:$B=$F22)*('SIZE GUIDE'!$C:$C=$H22),0)),""),"")</f>
        <v/>
      </c>
      <c r="P22" s="203"/>
      <c r="Q22" s="204">
        <f t="shared" si="1"/>
        <v>79.5</v>
      </c>
      <c r="R22" s="198">
        <f t="shared" si="2"/>
        <v>59.5</v>
      </c>
      <c r="S22" s="198">
        <f t="shared" si="3"/>
        <v>44.5</v>
      </c>
      <c r="T22" s="205">
        <f t="shared" si="4"/>
        <v>1461.7786458333333</v>
      </c>
      <c r="U22" s="206">
        <f>SUMIFS(CODE_PRICE!F:F,CODE_PRICE!B:B,C22,CODE_PRICE!A:A,$A$8)</f>
        <v>0.1895</v>
      </c>
      <c r="V22" s="207">
        <f t="shared" si="0"/>
        <v>277.00705338541667</v>
      </c>
      <c r="W22" s="208" t="str">
        <f>IF(COUNTIF($C$15:C22,C22)=1,C22 &amp; " - " &amp; TEXT(SUMIF($C:$C,C22,$T:$T),"0.00"),"")</f>
        <v/>
      </c>
      <c r="X22" s="209" t="str">
        <f>IF(COUNTIF($C$15:C22,C22)=1,ROUND(SUMIF($C:$C,C22,$V:$V),2), "")</f>
        <v/>
      </c>
      <c r="AD22" s="210" t="s">
        <v>204</v>
      </c>
    </row>
    <row r="23" spans="1:34" s="210" customFormat="1" ht="31.5" customHeight="1" x14ac:dyDescent="0.2">
      <c r="A23" s="196">
        <f t="shared" si="5"/>
        <v>9</v>
      </c>
      <c r="B23" s="196"/>
      <c r="C23" s="196" t="s">
        <v>89</v>
      </c>
      <c r="D23" s="197"/>
      <c r="E23" s="197" t="s">
        <v>11</v>
      </c>
      <c r="F23" s="198" t="s">
        <v>123</v>
      </c>
      <c r="G23" s="199" t="str">
        <f>IF(COUNTIFS($C$15:C23,C23,$H$15:H23,H23)=1,
SUMIFS($I$15:$I$43,$C$15:$C$43,C23,$H$15:$H$43,H23)&amp;H23&amp;" "&amp;C23,
"")</f>
        <v/>
      </c>
      <c r="H23" s="197" t="s">
        <v>16</v>
      </c>
      <c r="I23" s="200">
        <v>1</v>
      </c>
      <c r="J23" s="249"/>
      <c r="K23" s="201" cm="1">
        <f t="array" ref="K23">IF(E23="untrim",_xlfn.XLOOKUP(1,(TRIM('SIZE GUIDE'!$A$3:$A$2015)=TRIM(E23))*(TRIM('SIZE GUIDE'!$B$3:$B$2015)=TRIM(F23))*(TRIM('SIZE GUIDE'!$C$3:$C$2015)=TRIM(H23)),'SIZE GUIDE'!$D$3:$D$2015),"")</f>
        <v>81</v>
      </c>
      <c r="L23" s="265" cm="1">
        <f t="array" ref="L23">IF(E23="untrim",IFERROR(INDEX('SIZE GUIDE'!$E:$E,MATCH(1,('SIZE GUIDE'!$A:$A=$E23)*('SIZE GUIDE'!$B:$B=$F23)*('SIZE GUIDE'!$C:$C=$H23),0)),""),"")</f>
        <v>61</v>
      </c>
      <c r="M23" s="202">
        <v>46.5</v>
      </c>
      <c r="N23" s="203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203" t="str" cm="1">
        <f t="array" ref="O23">IF(E23="trim",IFERROR(INDEX('SIZE GUIDE'!$E:$E,MATCH(1,('SIZE GUIDE'!$A:$A=$E23)*('SIZE GUIDE'!$B:$B=$F23)*('SIZE GUIDE'!$C:$C=$H23),0)),""),"")</f>
        <v/>
      </c>
      <c r="P23" s="203"/>
      <c r="Q23" s="204">
        <f t="shared" si="1"/>
        <v>79.5</v>
      </c>
      <c r="R23" s="198">
        <f t="shared" si="2"/>
        <v>59.5</v>
      </c>
      <c r="S23" s="198">
        <f t="shared" si="3"/>
        <v>46</v>
      </c>
      <c r="T23" s="205">
        <f t="shared" si="4"/>
        <v>1511.0520833333333</v>
      </c>
      <c r="U23" s="206">
        <f>SUMIFS(CODE_PRICE!F:F,CODE_PRICE!B:B,C23,CODE_PRICE!A:A,$A$8)</f>
        <v>0.1895</v>
      </c>
      <c r="V23" s="207">
        <f t="shared" si="0"/>
        <v>286.34436979166668</v>
      </c>
      <c r="W23" s="208" t="str">
        <f>IF(COUNTIF($C$15:C23,C23)=1,C23 &amp; " - " &amp; TEXT(SUMIF($C:$C,C23,$T:$T),"0.00"),"")</f>
        <v/>
      </c>
      <c r="X23" s="209" t="str">
        <f>IF(COUNTIF($C$15:C23,C23)=1,ROUND(SUMIF($C:$C,C23,$V:$V),2), "")</f>
        <v/>
      </c>
    </row>
    <row r="24" spans="1:34" s="210" customFormat="1" ht="31.5" customHeight="1" x14ac:dyDescent="0.2">
      <c r="A24" s="196">
        <f t="shared" si="5"/>
        <v>10</v>
      </c>
      <c r="B24" s="196"/>
      <c r="C24" s="196" t="s">
        <v>89</v>
      </c>
      <c r="D24" s="197"/>
      <c r="E24" s="197" t="s">
        <v>11</v>
      </c>
      <c r="F24" s="198" t="s">
        <v>123</v>
      </c>
      <c r="G24" s="199" t="str">
        <f>IF(COUNTIFS($C$15:C24,C24,$H$15:H24,H24)=1,
SUMIFS($I$15:$I$43,$C$15:$C$43,C24,$H$15:$H$43,H24)&amp;H24&amp;" "&amp;C24,
"")</f>
        <v/>
      </c>
      <c r="H24" s="197" t="s">
        <v>16</v>
      </c>
      <c r="I24" s="200">
        <v>1</v>
      </c>
      <c r="J24" s="249"/>
      <c r="K24" s="201" cm="1">
        <f t="array" ref="K24">IF(E24="untrim",_xlfn.XLOOKUP(1,(TRIM('SIZE GUIDE'!$A$3:$A$2015)=TRIM(E24))*(TRIM('SIZE GUIDE'!$B$3:$B$2015)=TRIM(F24))*(TRIM('SIZE GUIDE'!$C$3:$C$2015)=TRIM(H24)),'SIZE GUIDE'!$D$3:$D$2015),"")</f>
        <v>81</v>
      </c>
      <c r="L24" s="265" cm="1">
        <f t="array" ref="L24">IF(E24="untrim",IFERROR(INDEX('SIZE GUIDE'!$E:$E,MATCH(1,('SIZE GUIDE'!$A:$A=$E24)*('SIZE GUIDE'!$B:$B=$F24)*('SIZE GUIDE'!$C:$C=$H24),0)),""),"")</f>
        <v>61</v>
      </c>
      <c r="M24" s="202">
        <v>46.5</v>
      </c>
      <c r="N24" s="203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203" t="str" cm="1">
        <f t="array" ref="O24">IF(E24="trim",IFERROR(INDEX('SIZE GUIDE'!$E:$E,MATCH(1,('SIZE GUIDE'!$A:$A=$E24)*('SIZE GUIDE'!$B:$B=$F24)*('SIZE GUIDE'!$C:$C=$H24),0)),""),"")</f>
        <v/>
      </c>
      <c r="P24" s="203"/>
      <c r="Q24" s="204">
        <f t="shared" si="1"/>
        <v>79.5</v>
      </c>
      <c r="R24" s="198">
        <f t="shared" si="2"/>
        <v>59.5</v>
      </c>
      <c r="S24" s="198">
        <f t="shared" si="3"/>
        <v>46</v>
      </c>
      <c r="T24" s="205">
        <f t="shared" si="4"/>
        <v>1511.0520833333333</v>
      </c>
      <c r="U24" s="206">
        <f>SUMIFS(CODE_PRICE!F:F,CODE_PRICE!B:B,C24,CODE_PRICE!A:A,$A$8)</f>
        <v>0.1895</v>
      </c>
      <c r="V24" s="207">
        <f t="shared" si="0"/>
        <v>286.34436979166668</v>
      </c>
      <c r="W24" s="208" t="str">
        <f>IF(COUNTIF($C$15:C24,C24)=1,C24 &amp; " - " &amp; TEXT(SUMIF($C:$C,C24,$T:$T),"0.00"),"")</f>
        <v/>
      </c>
      <c r="X24" s="209" t="str">
        <f>IF(COUNTIF($C$15:C24,C24)=1,ROUND(SUMIF($C:$C,C24,$V:$V),2), "")</f>
        <v/>
      </c>
    </row>
    <row r="25" spans="1:34" s="210" customFormat="1" ht="31.5" customHeight="1" x14ac:dyDescent="0.2">
      <c r="A25" s="196">
        <f t="shared" si="5"/>
        <v>11</v>
      </c>
      <c r="B25" s="196"/>
      <c r="C25" s="196" t="s">
        <v>89</v>
      </c>
      <c r="D25" s="197"/>
      <c r="E25" s="197" t="s">
        <v>11</v>
      </c>
      <c r="F25" s="198" t="s">
        <v>123</v>
      </c>
      <c r="G25" s="199" t="str">
        <f>IF(COUNTIFS($C$15:C25,C25,$H$15:H25,H25)=1,
SUMIFS($I$15:$I$43,$C$15:$C$43,C25,$H$15:$H$43,H25)&amp;H25&amp;" "&amp;C25,
"")</f>
        <v/>
      </c>
      <c r="H25" s="197" t="s">
        <v>16</v>
      </c>
      <c r="I25" s="200">
        <v>1</v>
      </c>
      <c r="J25" s="249"/>
      <c r="K25" s="201" cm="1">
        <f t="array" ref="K25">IF(E25="untrim",_xlfn.XLOOKUP(1,(TRIM('SIZE GUIDE'!$A$3:$A$2015)=TRIM(E25))*(TRIM('SIZE GUIDE'!$B$3:$B$2015)=TRIM(F25))*(TRIM('SIZE GUIDE'!$C$3:$C$2015)=TRIM(H25)),'SIZE GUIDE'!$D$3:$D$2015),"")</f>
        <v>81</v>
      </c>
      <c r="L25" s="265" cm="1">
        <f t="array" ref="L25">IF(E25="untrim",IFERROR(INDEX('SIZE GUIDE'!$E:$E,MATCH(1,('SIZE GUIDE'!$A:$A=$E25)*('SIZE GUIDE'!$B:$B=$F25)*('SIZE GUIDE'!$C:$C=$H25),0)),""),"")</f>
        <v>61</v>
      </c>
      <c r="M25" s="202">
        <v>45</v>
      </c>
      <c r="N25" s="203"/>
      <c r="O25" s="203" t="str" cm="1">
        <f t="array" ref="O25">IF(E25="trim",IFERROR(INDEX('SIZE GUIDE'!$E:$E,MATCH(1,('SIZE GUIDE'!$A:$A=$E25)*('SIZE GUIDE'!$B:$B=$F25)*('SIZE GUIDE'!$C:$C=$H25),0)),""),"")</f>
        <v/>
      </c>
      <c r="P25" s="203"/>
      <c r="Q25" s="204">
        <f t="shared" si="1"/>
        <v>79.5</v>
      </c>
      <c r="R25" s="198">
        <f t="shared" si="2"/>
        <v>59.5</v>
      </c>
      <c r="S25" s="198">
        <f t="shared" si="3"/>
        <v>44.5</v>
      </c>
      <c r="T25" s="205">
        <f t="shared" si="4"/>
        <v>1461.7786458333333</v>
      </c>
      <c r="U25" s="206">
        <f>SUMIFS(CODE_PRICE!F:F,CODE_PRICE!B:B,C25,CODE_PRICE!A:A,$A$8)</f>
        <v>0.1895</v>
      </c>
      <c r="V25" s="207">
        <f t="shared" si="0"/>
        <v>277.00705338541667</v>
      </c>
      <c r="W25" s="208" t="str">
        <f>IF(COUNTIF($C$15:C25,C25)=1,C25 &amp; " - " &amp; TEXT(SUMIF($C:$C,C25,$T:$T),"0.00"),"")</f>
        <v/>
      </c>
      <c r="X25" s="209" t="str">
        <f>IF(COUNTIF($C$15:C25,C25)=1,ROUND(SUMIF($C:$C,C25,$V:$V),2), "")</f>
        <v/>
      </c>
    </row>
    <row r="26" spans="1:34" s="210" customFormat="1" ht="31.5" customHeight="1" x14ac:dyDescent="0.2">
      <c r="A26" s="196">
        <f t="shared" si="5"/>
        <v>12</v>
      </c>
      <c r="B26" s="196"/>
      <c r="C26" s="196" t="s">
        <v>89</v>
      </c>
      <c r="D26" s="197"/>
      <c r="E26" s="197" t="s">
        <v>11</v>
      </c>
      <c r="F26" s="198" t="s">
        <v>123</v>
      </c>
      <c r="G26" s="199" t="str">
        <f>IF(COUNTIFS($C$15:C26,C26,$H$15:H26,H26)=1,
SUMIFS($I$15:$I$43,$C$15:$C$43,C26,$H$15:$H$43,H26)&amp;H26&amp;" "&amp;C26,
"")</f>
        <v/>
      </c>
      <c r="H26" s="197" t="s">
        <v>16</v>
      </c>
      <c r="I26" s="200">
        <v>1</v>
      </c>
      <c r="J26" s="249"/>
      <c r="K26" s="201" cm="1">
        <f t="array" ref="K26">IF(E26="untrim",_xlfn.XLOOKUP(1,(TRIM('SIZE GUIDE'!$A$3:$A$2015)=TRIM(E26))*(TRIM('SIZE GUIDE'!$B$3:$B$2015)=TRIM(F26))*(TRIM('SIZE GUIDE'!$C$3:$C$2015)=TRIM(H26)),'SIZE GUIDE'!$D$3:$D$2015),"")</f>
        <v>81</v>
      </c>
      <c r="L26" s="265" cm="1">
        <f t="array" ref="L26">IF(E26="untrim",IFERROR(INDEX('SIZE GUIDE'!$E:$E,MATCH(1,('SIZE GUIDE'!$A:$A=$E26)*('SIZE GUIDE'!$B:$B=$F26)*('SIZE GUIDE'!$C:$C=$H26),0)),""),"")</f>
        <v>61</v>
      </c>
      <c r="M26" s="202">
        <v>46.5</v>
      </c>
      <c r="N26" s="203" t="str" cm="1">
        <f t="array" ref="N26">IF(E26="trim",_xlfn.XLOOKUP(1,(TRIM('SIZE GUIDE'!$A$3:$A$2015)=TRIM(E26))*(TRIM('SIZE GUIDE'!$B$3:$B$2015)=TRIM(F26))*(TRIM('SIZE GUIDE'!$C$3:$C$2015)=TRIM(H26)),'SIZE GUIDE'!$D$3:$D$2015),"")</f>
        <v/>
      </c>
      <c r="O26" s="203" t="str" cm="1">
        <f t="array" ref="O26">IF(E26="trim",IFERROR(INDEX('SIZE GUIDE'!$E:$E,MATCH(1,('SIZE GUIDE'!$A:$A=$E26)*('SIZE GUIDE'!$B:$B=$F26)*('SIZE GUIDE'!$C:$C=$H26),0)),""),"")</f>
        <v/>
      </c>
      <c r="P26" s="203"/>
      <c r="Q26" s="204">
        <f t="shared" si="1"/>
        <v>79.5</v>
      </c>
      <c r="R26" s="198">
        <f t="shared" si="2"/>
        <v>59.5</v>
      </c>
      <c r="S26" s="198">
        <f t="shared" si="3"/>
        <v>46</v>
      </c>
      <c r="T26" s="205">
        <f t="shared" si="4"/>
        <v>1511.0520833333333</v>
      </c>
      <c r="U26" s="206">
        <f>SUMIFS(CODE_PRICE!F:F,CODE_PRICE!B:B,C26,CODE_PRICE!A:A,$A$8)</f>
        <v>0.1895</v>
      </c>
      <c r="V26" s="207">
        <f t="shared" si="0"/>
        <v>286.34436979166668</v>
      </c>
      <c r="W26" s="208" t="str">
        <f>IF(COUNTIF($C$15:C26,C26)=1,C26 &amp; " - " &amp; TEXT(SUMIF($C:$C,C26,$T:$T),"0.00"),"")</f>
        <v/>
      </c>
      <c r="X26" s="209" t="str">
        <f>IF(COUNTIF($C$15:C26,C26)=1,ROUND(SUMIF($C:$C,C26,$V:$V),2), "")</f>
        <v/>
      </c>
    </row>
    <row r="27" spans="1:34" s="210" customFormat="1" ht="31.5" customHeight="1" x14ac:dyDescent="0.2">
      <c r="A27" s="196">
        <f t="shared" si="5"/>
        <v>13</v>
      </c>
      <c r="B27" s="196"/>
      <c r="C27" s="196" t="s">
        <v>89</v>
      </c>
      <c r="D27" s="197"/>
      <c r="E27" s="197" t="s">
        <v>11</v>
      </c>
      <c r="F27" s="198" t="s">
        <v>123</v>
      </c>
      <c r="G27" s="199" t="str">
        <f>IF(COUNTIFS($C$15:C27,C27,$H$15:H27,H27)=1,
SUMIFS($I$15:$I$43,$C$15:$C$43,C27,$H$15:$H$43,H27)&amp;H27&amp;" "&amp;C27,
"")</f>
        <v>2K CFN30100W</v>
      </c>
      <c r="H27" s="197" t="s">
        <v>18</v>
      </c>
      <c r="I27" s="200">
        <v>1</v>
      </c>
      <c r="J27" s="249"/>
      <c r="K27" s="201" cm="1">
        <f t="array" ref="K27">IF(E27="untrim",_xlfn.XLOOKUP(1,(TRIM('SIZE GUIDE'!$A$3:$A$2015)=TRIM(E27))*(TRIM('SIZE GUIDE'!$B$3:$B$2015)=TRIM(F27))*(TRIM('SIZE GUIDE'!$C$3:$C$2015)=TRIM(H27)),'SIZE GUIDE'!$D$3:$D$2015),"")</f>
        <v>81</v>
      </c>
      <c r="L27" s="265" cm="1">
        <f t="array" ref="L27">IF(E27="untrim",IFERROR(INDEX('SIZE GUIDE'!$E:$E,MATCH(1,('SIZE GUIDE'!$A:$A=$E27)*('SIZE GUIDE'!$B:$B=$F27)*('SIZE GUIDE'!$C:$C=$H27),0)),""),"")</f>
        <v>77</v>
      </c>
      <c r="M27" s="202">
        <v>36.5</v>
      </c>
      <c r="N27" s="203" t="str" cm="1">
        <f t="array" ref="N27">IF(E27="trim",_xlfn.XLOOKUP(1,(TRIM('SIZE GUIDE'!$A$3:$A$2015)=TRIM(E27))*(TRIM('SIZE GUIDE'!$B$3:$B$2015)=TRIM(F27))*(TRIM('SIZE GUIDE'!$C$3:$C$2015)=TRIM(H27)),'SIZE GUIDE'!$D$3:$D$2015),"")</f>
        <v/>
      </c>
      <c r="O27" s="203" t="str" cm="1">
        <f t="array" ref="O27">IF(E27="trim",IFERROR(INDEX('SIZE GUIDE'!$E:$E,MATCH(1,('SIZE GUIDE'!$A:$A=$E27)*('SIZE GUIDE'!$B:$B=$F27)*('SIZE GUIDE'!$C:$C=$H27),0)),""),"")</f>
        <v/>
      </c>
      <c r="P27" s="203"/>
      <c r="Q27" s="204">
        <f t="shared" si="1"/>
        <v>79.5</v>
      </c>
      <c r="R27" s="198">
        <f t="shared" si="2"/>
        <v>75.5</v>
      </c>
      <c r="S27" s="198">
        <f t="shared" si="3"/>
        <v>36</v>
      </c>
      <c r="T27" s="205">
        <f t="shared" si="4"/>
        <v>1500.5625</v>
      </c>
      <c r="U27" s="206">
        <f>SUMIFS(CODE_PRICE!F:F,CODE_PRICE!B:B,C27,CODE_PRICE!A:A,$A$8)</f>
        <v>0.1895</v>
      </c>
      <c r="V27" s="207">
        <f t="shared" si="0"/>
        <v>284.35659375</v>
      </c>
      <c r="W27" s="208" t="str">
        <f>IF(COUNTIF($C$15:C27,C27)=1,C27 &amp; " - " &amp; TEXT(SUMIF($C:$C,C27,$T:$T),"0.00"),"")</f>
        <v/>
      </c>
      <c r="X27" s="209" t="str">
        <f>IF(COUNTIF($C$15:C27,C27)=1,ROUND(SUMIF($C:$C,C27,$V:$V),2), "")</f>
        <v/>
      </c>
    </row>
    <row r="28" spans="1:34" s="210" customFormat="1" ht="31.5" customHeight="1" x14ac:dyDescent="0.2">
      <c r="A28" s="196">
        <f t="shared" si="5"/>
        <v>14</v>
      </c>
      <c r="B28" s="196"/>
      <c r="C28" s="196" t="s">
        <v>89</v>
      </c>
      <c r="D28" s="197"/>
      <c r="E28" s="197" t="s">
        <v>11</v>
      </c>
      <c r="F28" s="198" t="s">
        <v>123</v>
      </c>
      <c r="G28" s="199" t="str">
        <f>IF(COUNTIFS($C$15:C28,C28,$H$15:H28,H28)=1,
SUMIFS($I$15:$I$43,$C$15:$C$43,C28,$H$15:$H$43,H28)&amp;H28&amp;" "&amp;C28,
"")</f>
        <v/>
      </c>
      <c r="H28" s="197" t="s">
        <v>18</v>
      </c>
      <c r="I28" s="200">
        <v>1</v>
      </c>
      <c r="J28" s="249"/>
      <c r="K28" s="201" cm="1">
        <f t="array" ref="K28">IF(E28="untrim",_xlfn.XLOOKUP(1,(TRIM('SIZE GUIDE'!$A$3:$A$2015)=TRIM(E28))*(TRIM('SIZE GUIDE'!$B$3:$B$2015)=TRIM(F28))*(TRIM('SIZE GUIDE'!$C$3:$C$2015)=TRIM(H28)),'SIZE GUIDE'!$D$3:$D$2015),"")</f>
        <v>81</v>
      </c>
      <c r="L28" s="265" cm="1">
        <f t="array" ref="L28">IF(E28="untrim",IFERROR(INDEX('SIZE GUIDE'!$E:$E,MATCH(1,('SIZE GUIDE'!$A:$A=$E28)*('SIZE GUIDE'!$B:$B=$F28)*('SIZE GUIDE'!$C:$C=$H28),0)),""),"")</f>
        <v>77</v>
      </c>
      <c r="M28" s="202">
        <v>45</v>
      </c>
      <c r="N28" s="203" t="str" cm="1">
        <f t="array" ref="N28">IF(E28="trim",_xlfn.XLOOKUP(1,(TRIM('SIZE GUIDE'!$A$3:$A$2015)=TRIM(E28))*(TRIM('SIZE GUIDE'!$B$3:$B$2015)=TRIM(F28))*(TRIM('SIZE GUIDE'!$C$3:$C$2015)=TRIM(H28)),'SIZE GUIDE'!$D$3:$D$2015),"")</f>
        <v/>
      </c>
      <c r="O28" s="203" t="str" cm="1">
        <f t="array" ref="O28">IF(E28="trim",IFERROR(INDEX('SIZE GUIDE'!$E:$E,MATCH(1,('SIZE GUIDE'!$A:$A=$E28)*('SIZE GUIDE'!$B:$B=$F28)*('SIZE GUIDE'!$C:$C=$H28),0)),""),"")</f>
        <v/>
      </c>
      <c r="P28" s="203"/>
      <c r="Q28" s="204">
        <f t="shared" si="1"/>
        <v>79.5</v>
      </c>
      <c r="R28" s="198">
        <f t="shared" si="2"/>
        <v>75.5</v>
      </c>
      <c r="S28" s="198">
        <f t="shared" si="3"/>
        <v>44.5</v>
      </c>
      <c r="T28" s="205">
        <f t="shared" si="4"/>
        <v>1854.8619791666667</v>
      </c>
      <c r="U28" s="206">
        <f>SUMIFS(CODE_PRICE!F:F,CODE_PRICE!B:B,C28,CODE_PRICE!A:A,$A$8)</f>
        <v>0.1895</v>
      </c>
      <c r="V28" s="207">
        <f t="shared" si="0"/>
        <v>351.49634505208337</v>
      </c>
      <c r="W28" s="208" t="str">
        <f>IF(COUNTIF($C$15:C28,C28)=1,C28 &amp; " - " &amp; TEXT(SUMIF($C:$C,C28,$T:$T),"0.00"),"")</f>
        <v/>
      </c>
      <c r="X28" s="209" t="str">
        <f>IF(COUNTIF($C$15:C28,C28)=1,ROUND(SUMIF($C:$C,C28,$V:$V),2), "")</f>
        <v/>
      </c>
    </row>
    <row r="29" spans="1:34" s="210" customFormat="1" ht="31.5" customHeight="1" x14ac:dyDescent="0.2">
      <c r="A29" s="196">
        <f t="shared" si="5"/>
        <v>15</v>
      </c>
      <c r="B29" s="196"/>
      <c r="C29" s="196" t="s">
        <v>95</v>
      </c>
      <c r="D29" s="197"/>
      <c r="E29" s="197" t="s">
        <v>11</v>
      </c>
      <c r="F29" s="198" t="s">
        <v>123</v>
      </c>
      <c r="G29" s="199" t="str">
        <f>IF(COUNTIFS($C$15:C29,C29,$H$15:H29,H29)=1,
SUMIFS($I$15:$I$43,$C$15:$C$43,C29,$H$15:$H$43,H29)&amp;H29&amp;" "&amp;C29,
"")</f>
        <v>4K CFN50131W</v>
      </c>
      <c r="H29" s="197" t="s">
        <v>18</v>
      </c>
      <c r="I29" s="200">
        <v>1</v>
      </c>
      <c r="J29" s="249"/>
      <c r="K29" s="201" cm="1">
        <f t="array" ref="K29">IF(E29="untrim",_xlfn.XLOOKUP(1,(TRIM('SIZE GUIDE'!$A$3:$A$2015)=TRIM(E29))*(TRIM('SIZE GUIDE'!$B$3:$B$2015)=TRIM(F29))*(TRIM('SIZE GUIDE'!$C$3:$C$2015)=TRIM(H29)),'SIZE GUIDE'!$D$3:$D$2015),"")</f>
        <v>81</v>
      </c>
      <c r="L29" s="265" cm="1">
        <f t="array" ref="L29">IF(E29="untrim",IFERROR(INDEX('SIZE GUIDE'!$E:$E,MATCH(1,('SIZE GUIDE'!$A:$A=$E29)*('SIZE GUIDE'!$B:$B=$F29)*('SIZE GUIDE'!$C:$C=$H29),0)),""),"")</f>
        <v>77</v>
      </c>
      <c r="M29" s="202">
        <v>45</v>
      </c>
      <c r="N29" s="203" t="str" cm="1">
        <f t="array" ref="N29">IF(E29="trim",_xlfn.XLOOKUP(1,(TRIM('SIZE GUIDE'!$A$3:$A$2015)=TRIM(E29))*(TRIM('SIZE GUIDE'!$B$3:$B$2015)=TRIM(F29))*(TRIM('SIZE GUIDE'!$C$3:$C$2015)=TRIM(H29)),'SIZE GUIDE'!$D$3:$D$2015),"")</f>
        <v/>
      </c>
      <c r="O29" s="203" t="str" cm="1">
        <f t="array" ref="O29">IF(E29="trim",IFERROR(INDEX('SIZE GUIDE'!$E:$E,MATCH(1,('SIZE GUIDE'!$A:$A=$E29)*('SIZE GUIDE'!$B:$B=$F29)*('SIZE GUIDE'!$C:$C=$H29),0)),""),"")</f>
        <v/>
      </c>
      <c r="P29" s="203"/>
      <c r="Q29" s="204">
        <f t="shared" si="1"/>
        <v>79.5</v>
      </c>
      <c r="R29" s="198">
        <f t="shared" si="2"/>
        <v>75.5</v>
      </c>
      <c r="S29" s="198">
        <f t="shared" si="3"/>
        <v>44.5</v>
      </c>
      <c r="T29" s="205">
        <f t="shared" si="4"/>
        <v>1854.8619791666667</v>
      </c>
      <c r="U29" s="206">
        <f>SUMIFS(CODE_PRICE!F:F,CODE_PRICE!B:B,C29,CODE_PRICE!A:A,$A$8)</f>
        <v>0.2316</v>
      </c>
      <c r="V29" s="207">
        <f t="shared" si="0"/>
        <v>429.586034375</v>
      </c>
      <c r="W29" s="208" t="str">
        <f>IF(COUNTIF($C$15:C29,C29)=1,C29 &amp; " - " &amp; TEXT(SUMIF($C:$C,C29,$T:$T),"0.00"),"")</f>
        <v>CFN50131W - 9174.92</v>
      </c>
      <c r="X29" s="209">
        <f>IF(COUNTIF($C$15:C29,C29)=1,ROUND(SUMIF($C:$C,C29,$V:$V),2), "")</f>
        <v>2124.91</v>
      </c>
    </row>
    <row r="30" spans="1:34" s="210" customFormat="1" ht="31.5" customHeight="1" x14ac:dyDescent="0.2">
      <c r="A30" s="196">
        <f t="shared" si="5"/>
        <v>16</v>
      </c>
      <c r="B30" s="196"/>
      <c r="C30" s="196" t="s">
        <v>95</v>
      </c>
      <c r="D30" s="197"/>
      <c r="E30" s="197" t="s">
        <v>11</v>
      </c>
      <c r="F30" s="198" t="s">
        <v>123</v>
      </c>
      <c r="G30" s="199" t="str">
        <f>IF(COUNTIFS($C$15:C30,C30,$H$15:H30,H30)=1,
SUMIFS($I$15:$I$43,$C$15:$C$43,C30,$H$15:$H$43,H30)&amp;H30&amp;" "&amp;C30,
"")</f>
        <v/>
      </c>
      <c r="H30" s="197" t="s">
        <v>18</v>
      </c>
      <c r="I30" s="200">
        <v>1</v>
      </c>
      <c r="J30" s="285"/>
      <c r="K30" s="201" cm="1">
        <f t="array" ref="K30">IF(E30="untrim",_xlfn.XLOOKUP(1,(TRIM('SIZE GUIDE'!$A$3:$A$2015)=TRIM(E30))*(TRIM('SIZE GUIDE'!$B$3:$B$2015)=TRIM(F30))*(TRIM('SIZE GUIDE'!$C$3:$C$2015)=TRIM(H30)),'SIZE GUIDE'!$D$3:$D$2015),"")</f>
        <v>81</v>
      </c>
      <c r="L30" s="265" cm="1">
        <f t="array" ref="L30">IF(E30="untrim",IFERROR(INDEX('SIZE GUIDE'!$E:$E,MATCH(1,('SIZE GUIDE'!$A:$A=$E30)*('SIZE GUIDE'!$B:$B=$F30)*('SIZE GUIDE'!$C:$C=$H30),0)),""),"")</f>
        <v>77</v>
      </c>
      <c r="M30" s="202">
        <v>43</v>
      </c>
      <c r="N30" s="203" t="str" cm="1">
        <f t="array" ref="N30">IF(E30="trim",_xlfn.XLOOKUP(1,(TRIM('SIZE GUIDE'!$A$3:$A$2015)=TRIM(E30))*(TRIM('SIZE GUIDE'!$B$3:$B$2015)=TRIM(F30))*(TRIM('SIZE GUIDE'!$C$3:$C$2015)=TRIM(H30)),'SIZE GUIDE'!$D$3:$D$2015),"")</f>
        <v/>
      </c>
      <c r="O30" s="203" t="str" cm="1">
        <f t="array" ref="O30">IF(E30="trim",IFERROR(INDEX('SIZE GUIDE'!$E:$E,MATCH(1,('SIZE GUIDE'!$A:$A=$E30)*('SIZE GUIDE'!$B:$B=$F30)*('SIZE GUIDE'!$C:$C=$H30),0)),""),"")</f>
        <v/>
      </c>
      <c r="P30" s="203"/>
      <c r="Q30" s="204">
        <f t="shared" si="1"/>
        <v>79.5</v>
      </c>
      <c r="R30" s="198">
        <f t="shared" si="2"/>
        <v>75.5</v>
      </c>
      <c r="S30" s="198">
        <f t="shared" si="3"/>
        <v>42.5</v>
      </c>
      <c r="T30" s="205">
        <f t="shared" si="4"/>
        <v>1771.4973958333333</v>
      </c>
      <c r="U30" s="206">
        <f>SUMIFS(CODE_PRICE!F:F,CODE_PRICE!B:B,C30,CODE_PRICE!A:A,$A$8)</f>
        <v>0.2316</v>
      </c>
      <c r="V30" s="207">
        <f t="shared" si="0"/>
        <v>410.27879687499995</v>
      </c>
      <c r="W30" s="208" t="str">
        <f>IF(COUNTIF($C$15:C30,C30)=1,C30 &amp; " - " &amp; TEXT(SUMIF($C:$C,C30,$T:$T),"0.00"),"")</f>
        <v/>
      </c>
      <c r="X30" s="209" t="str">
        <f>IF(COUNTIF($C$15:C30,C30)=1,ROUND(SUMIF($C:$C,C30,$V:$V),2), "")</f>
        <v/>
      </c>
    </row>
    <row r="31" spans="1:34" s="210" customFormat="1" ht="31.5" customHeight="1" x14ac:dyDescent="0.2">
      <c r="A31" s="196">
        <f t="shared" si="5"/>
        <v>17</v>
      </c>
      <c r="B31" s="196"/>
      <c r="C31" s="196" t="s">
        <v>95</v>
      </c>
      <c r="D31" s="197"/>
      <c r="E31" s="197" t="s">
        <v>11</v>
      </c>
      <c r="F31" s="198" t="s">
        <v>123</v>
      </c>
      <c r="G31" s="199" t="str">
        <f>IF(COUNTIFS($C$15:C31,C31,$H$15:H31,H31)=1,
SUMIFS($I$15:$I$43,$C$15:$C$43,C31,$H$15:$H$43,H31)&amp;H31&amp;" "&amp;C31,
"")</f>
        <v/>
      </c>
      <c r="H31" s="197" t="s">
        <v>18</v>
      </c>
      <c r="I31" s="200">
        <v>1</v>
      </c>
      <c r="J31" s="249"/>
      <c r="K31" s="201" cm="1">
        <f t="array" ref="K31">IF(E31="untrim",_xlfn.XLOOKUP(1,(TRIM('SIZE GUIDE'!$A$3:$A$2015)=TRIM(E31))*(TRIM('SIZE GUIDE'!$B$3:$B$2015)=TRIM(F31))*(TRIM('SIZE GUIDE'!$C$3:$C$2015)=TRIM(H31)),'SIZE GUIDE'!$D$3:$D$2015),"")</f>
        <v>81</v>
      </c>
      <c r="L31" s="265" cm="1">
        <f t="array" ref="L31">IF(E31="untrim",IFERROR(INDEX('SIZE GUIDE'!$E:$E,MATCH(1,('SIZE GUIDE'!$A:$A=$E31)*('SIZE GUIDE'!$B:$B=$F31)*('SIZE GUIDE'!$C:$C=$H31),0)),""),"")</f>
        <v>77</v>
      </c>
      <c r="M31" s="202">
        <v>36.5</v>
      </c>
      <c r="N31" s="203" t="str" cm="1">
        <f t="array" ref="N31">IF(E31="trim",_xlfn.XLOOKUP(1,(TRIM('SIZE GUIDE'!$A$3:$A$2015)=TRIM(E31))*(TRIM('SIZE GUIDE'!$B$3:$B$2015)=TRIM(F31))*(TRIM('SIZE GUIDE'!$C$3:$C$2015)=TRIM(H31)),'SIZE GUIDE'!$D$3:$D$2015),"")</f>
        <v/>
      </c>
      <c r="O31" s="203" t="str" cm="1">
        <f t="array" ref="O31">IF(E31="trim",IFERROR(INDEX('SIZE GUIDE'!$E:$E,MATCH(1,('SIZE GUIDE'!$A:$A=$E31)*('SIZE GUIDE'!$B:$B=$F31)*('SIZE GUIDE'!$C:$C=$H31),0)),""),"")</f>
        <v/>
      </c>
      <c r="P31" s="203"/>
      <c r="Q31" s="204">
        <f t="shared" si="1"/>
        <v>79.5</v>
      </c>
      <c r="R31" s="198">
        <f t="shared" si="2"/>
        <v>75.5</v>
      </c>
      <c r="S31" s="198">
        <f t="shared" si="3"/>
        <v>36</v>
      </c>
      <c r="T31" s="205">
        <f t="shared" si="4"/>
        <v>1500.5625</v>
      </c>
      <c r="U31" s="206">
        <f>SUMIFS(CODE_PRICE!F:F,CODE_PRICE!B:B,C31,CODE_PRICE!A:A,$A$8)</f>
        <v>0.2316</v>
      </c>
      <c r="V31" s="207">
        <f t="shared" si="0"/>
        <v>347.53027500000002</v>
      </c>
      <c r="W31" s="208" t="str">
        <f>IF(COUNTIF($C$15:C31,C31)=1,C31 &amp; " - " &amp; TEXT(SUMIF($C:$C,C31,$T:$T),"0.00"),"")</f>
        <v/>
      </c>
      <c r="X31" s="209" t="str">
        <f>IF(COUNTIF($C$15:C31,C31)=1,ROUND(SUMIF($C:$C,C31,$V:$V),2), "")</f>
        <v/>
      </c>
    </row>
    <row r="32" spans="1:34" s="210" customFormat="1" ht="31.5" customHeight="1" x14ac:dyDescent="0.2">
      <c r="A32" s="196">
        <f t="shared" si="5"/>
        <v>18</v>
      </c>
      <c r="B32" s="196"/>
      <c r="C32" s="196" t="s">
        <v>95</v>
      </c>
      <c r="D32" s="197"/>
      <c r="E32" s="197" t="s">
        <v>11</v>
      </c>
      <c r="F32" s="198" t="s">
        <v>123</v>
      </c>
      <c r="G32" s="199" t="str">
        <f>IF(COUNTIFS($C$15:C32,C32,$H$15:H32,H32)=1,
SUMIFS($I$15:$I$43,$C$15:$C$43,C32,$H$15:$H$43,H32)&amp;H32&amp;" "&amp;C32,
"")</f>
        <v/>
      </c>
      <c r="H32" s="197" t="s">
        <v>18</v>
      </c>
      <c r="I32" s="200">
        <v>1</v>
      </c>
      <c r="J32" s="249"/>
      <c r="K32" s="201" cm="1">
        <f t="array" ref="K32">IF(E32="untrim",_xlfn.XLOOKUP(1,(TRIM('SIZE GUIDE'!$A$3:$A$2015)=TRIM(E32))*(TRIM('SIZE GUIDE'!$B$3:$B$2015)=TRIM(F32))*(TRIM('SIZE GUIDE'!$C$3:$C$2015)=TRIM(H32)),'SIZE GUIDE'!$D$3:$D$2015),"")</f>
        <v>81</v>
      </c>
      <c r="L32" s="265" cm="1">
        <f t="array" ref="L32">IF(E32="untrim",IFERROR(INDEX('SIZE GUIDE'!$E:$E,MATCH(1,('SIZE GUIDE'!$A:$A=$E32)*('SIZE GUIDE'!$B:$B=$F32)*('SIZE GUIDE'!$C:$C=$H32),0)),""),"")</f>
        <v>77</v>
      </c>
      <c r="M32" s="202">
        <v>42.5</v>
      </c>
      <c r="N32" s="203" t="str" cm="1">
        <f t="array" ref="N32">IF(E32="trim",_xlfn.XLOOKUP(1,(TRIM('SIZE GUIDE'!$A$3:$A$2015)=TRIM(E32))*(TRIM('SIZE GUIDE'!$B$3:$B$2015)=TRIM(F32))*(TRIM('SIZE GUIDE'!$C$3:$C$2015)=TRIM(H32)),'SIZE GUIDE'!$D$3:$D$2015),"")</f>
        <v/>
      </c>
      <c r="O32" s="203" t="str" cm="1">
        <f t="array" ref="O32">IF(E32="trim",IFERROR(INDEX('SIZE GUIDE'!$E:$E,MATCH(1,('SIZE GUIDE'!$A:$A=$E32)*('SIZE GUIDE'!$B:$B=$F32)*('SIZE GUIDE'!$C:$C=$H32),0)),""),"")</f>
        <v/>
      </c>
      <c r="P32" s="203"/>
      <c r="Q32" s="204">
        <f t="shared" si="1"/>
        <v>79.5</v>
      </c>
      <c r="R32" s="198">
        <f t="shared" si="2"/>
        <v>75.5</v>
      </c>
      <c r="S32" s="198">
        <f t="shared" si="3"/>
        <v>42</v>
      </c>
      <c r="T32" s="205">
        <f t="shared" si="4"/>
        <v>1750.65625</v>
      </c>
      <c r="U32" s="206">
        <f>SUMIFS(CODE_PRICE!F:F,CODE_PRICE!B:B,C32,CODE_PRICE!A:A,$A$8)</f>
        <v>0.2316</v>
      </c>
      <c r="V32" s="207">
        <f t="shared" si="0"/>
        <v>405.45198749999997</v>
      </c>
      <c r="W32" s="208" t="str">
        <f>IF(COUNTIF($C$15:C32,C32)=1,C32 &amp; " - " &amp; TEXT(SUMIF($C:$C,C32,$T:$T),"0.00"),"")</f>
        <v/>
      </c>
      <c r="X32" s="209" t="str">
        <f>IF(COUNTIF($C$15:C32,C32)=1,ROUND(SUMIF($C:$C,C32,$V:$V),2), "")</f>
        <v/>
      </c>
    </row>
    <row r="33" spans="1:24" s="210" customFormat="1" ht="31.5" customHeight="1" x14ac:dyDescent="0.2">
      <c r="A33" s="196">
        <f t="shared" si="5"/>
        <v>19</v>
      </c>
      <c r="B33" s="196"/>
      <c r="C33" s="196" t="s">
        <v>95</v>
      </c>
      <c r="D33" s="197"/>
      <c r="E33" s="197" t="s">
        <v>11</v>
      </c>
      <c r="F33" s="198" t="s">
        <v>123</v>
      </c>
      <c r="G33" s="199" t="str">
        <f>IF(COUNTIFS($C$15:C33,C33,$H$15:H33,H33)=1,
SUMIFS($I$15:$I$43,$C$15:$C$43,C33,$H$15:$H$43,H33)&amp;H33&amp;" "&amp;C33,
"")</f>
        <v>2F CFN50131W</v>
      </c>
      <c r="H33" s="197" t="s">
        <v>14</v>
      </c>
      <c r="I33" s="200">
        <v>1</v>
      </c>
      <c r="J33" s="249"/>
      <c r="K33" s="201" cm="1">
        <f t="array" ref="K33">IF(E33="untrim",_xlfn.XLOOKUP(1,(TRIM('SIZE GUIDE'!$A$3:$A$2015)=TRIM(E33))*(TRIM('SIZE GUIDE'!$B$3:$B$2015)=TRIM(F33))*(TRIM('SIZE GUIDE'!$C$3:$C$2015)=TRIM(H33)),'SIZE GUIDE'!$D$3:$D$2015),"")</f>
        <v>76</v>
      </c>
      <c r="L33" s="265" cm="1">
        <f t="array" ref="L33">IF(E33="untrim",IFERROR(INDEX('SIZE GUIDE'!$E:$E,MATCH(1,('SIZE GUIDE'!$A:$A=$E33)*('SIZE GUIDE'!$B:$B=$F33)*('SIZE GUIDE'!$C:$C=$H33),0)),""),"")</f>
        <v>55</v>
      </c>
      <c r="M33" s="202">
        <v>41.5</v>
      </c>
      <c r="N33" s="203" t="str" cm="1">
        <f t="array" ref="N33">IF(E33="trim",_xlfn.XLOOKUP(1,(TRIM('SIZE GUIDE'!$A$3:$A$2015)=TRIM(E33))*(TRIM('SIZE GUIDE'!$B$3:$B$2015)=TRIM(F33))*(TRIM('SIZE GUIDE'!$C$3:$C$2015)=TRIM(H33)),'SIZE GUIDE'!$D$3:$D$2015),"")</f>
        <v/>
      </c>
      <c r="O33" s="203" t="str" cm="1">
        <f t="array" ref="O33">IF(E33="trim",IFERROR(INDEX('SIZE GUIDE'!$E:$E,MATCH(1,('SIZE GUIDE'!$A:$A=$E33)*('SIZE GUIDE'!$B:$B=$F33)*('SIZE GUIDE'!$C:$C=$H33),0)),""),"")</f>
        <v/>
      </c>
      <c r="P33" s="203"/>
      <c r="Q33" s="204">
        <f t="shared" si="1"/>
        <v>74.5</v>
      </c>
      <c r="R33" s="198">
        <f t="shared" si="2"/>
        <v>53.5</v>
      </c>
      <c r="S33" s="198">
        <f t="shared" si="3"/>
        <v>41</v>
      </c>
      <c r="T33" s="205">
        <f t="shared" si="4"/>
        <v>1134.8315972222222</v>
      </c>
      <c r="U33" s="206">
        <f>SUMIFS(CODE_PRICE!F:F,CODE_PRICE!B:B,C33,CODE_PRICE!A:A,$A$8)</f>
        <v>0.2316</v>
      </c>
      <c r="V33" s="207">
        <f t="shared" si="0"/>
        <v>262.82699791666664</v>
      </c>
      <c r="W33" s="208" t="str">
        <f>IF(COUNTIF($C$15:C33,C33)=1,C33 &amp; " - " &amp; TEXT(SUMIF($C:$C,C33,$T:$T),"0.00"),"")</f>
        <v/>
      </c>
      <c r="X33" s="209" t="str">
        <f>IF(COUNTIF($C$15:C33,C33)=1,ROUND(SUMIF($C:$C,C33,$V:$V),2), "")</f>
        <v/>
      </c>
    </row>
    <row r="34" spans="1:24" s="210" customFormat="1" ht="31.5" customHeight="1" x14ac:dyDescent="0.2">
      <c r="A34" s="196">
        <f t="shared" si="5"/>
        <v>20</v>
      </c>
      <c r="B34" s="196"/>
      <c r="C34" s="196" t="s">
        <v>95</v>
      </c>
      <c r="D34" s="197"/>
      <c r="E34" s="197" t="s">
        <v>11</v>
      </c>
      <c r="F34" s="198" t="s">
        <v>123</v>
      </c>
      <c r="G34" s="199" t="str">
        <f>IF(COUNTIFS($C$15:C34,C34,$H$15:H34,H34)=1,
SUMIFS($I$15:$I$43,$C$15:$C$43,C34,$H$15:$H$43,H34)&amp;H34&amp;" "&amp;C34,
"")</f>
        <v/>
      </c>
      <c r="H34" s="197" t="s">
        <v>14</v>
      </c>
      <c r="I34" s="200">
        <v>1</v>
      </c>
      <c r="J34" s="249"/>
      <c r="K34" s="201" cm="1">
        <f t="array" ref="K34">IF(E34="untrim",_xlfn.XLOOKUP(1,(TRIM('SIZE GUIDE'!$A$3:$A$2015)=TRIM(E34))*(TRIM('SIZE GUIDE'!$B$3:$B$2015)=TRIM(F34))*(TRIM('SIZE GUIDE'!$C$3:$C$2015)=TRIM(H34)),'SIZE GUIDE'!$D$3:$D$2015),"")</f>
        <v>76</v>
      </c>
      <c r="L34" s="265" cm="1">
        <f t="array" ref="L34">IF(E34="untrim",IFERROR(INDEX('SIZE GUIDE'!$E:$E,MATCH(1,('SIZE GUIDE'!$A:$A=$E34)*('SIZE GUIDE'!$B:$B=$F34)*('SIZE GUIDE'!$C:$C=$H34),0)),""),"")</f>
        <v>55</v>
      </c>
      <c r="M34" s="202">
        <v>42.5</v>
      </c>
      <c r="N34" s="203" t="str" cm="1">
        <f t="array" ref="N34">IF(E34="trim",_xlfn.XLOOKUP(1,(TRIM('SIZE GUIDE'!$A$3:$A$2015)=TRIM(E34))*(TRIM('SIZE GUIDE'!$B$3:$B$2015)=TRIM(F34))*(TRIM('SIZE GUIDE'!$C$3:$C$2015)=TRIM(H34)),'SIZE GUIDE'!$D$3:$D$2015),"")</f>
        <v/>
      </c>
      <c r="O34" s="203" t="str" cm="1">
        <f t="array" ref="O34">IF(E34="trim",IFERROR(INDEX('SIZE GUIDE'!$E:$E,MATCH(1,('SIZE GUIDE'!$A:$A=$E34)*('SIZE GUIDE'!$B:$B=$F34)*('SIZE GUIDE'!$C:$C=$H34),0)),""),"")</f>
        <v/>
      </c>
      <c r="P34" s="203"/>
      <c r="Q34" s="204">
        <f t="shared" si="1"/>
        <v>74.5</v>
      </c>
      <c r="R34" s="198">
        <f t="shared" si="2"/>
        <v>53.5</v>
      </c>
      <c r="S34" s="198">
        <f t="shared" si="3"/>
        <v>42</v>
      </c>
      <c r="T34" s="205">
        <f t="shared" si="4"/>
        <v>1162.5104166666667</v>
      </c>
      <c r="U34" s="206">
        <f>SUMIFS(CODE_PRICE!F:F,CODE_PRICE!B:B,C34,CODE_PRICE!A:A,$A$8)</f>
        <v>0.2316</v>
      </c>
      <c r="V34" s="207">
        <f t="shared" si="0"/>
        <v>269.2374125</v>
      </c>
      <c r="W34" s="208" t="str">
        <f>IF(COUNTIF($C$15:C34,C34)=1,C34 &amp; " - " &amp; TEXT(SUMIF($C:$C,C34,$T:$T),"0.00"),"")</f>
        <v/>
      </c>
      <c r="X34" s="209" t="str">
        <f>IF(COUNTIF($C$15:C34,C34)=1,ROUND(SUMIF($C:$C,C34,$V:$V),2), "")</f>
        <v/>
      </c>
    </row>
    <row r="35" spans="1:24" s="210" customFormat="1" ht="31.5" hidden="1" customHeight="1" x14ac:dyDescent="0.2">
      <c r="A35" s="196"/>
      <c r="B35" s="196"/>
      <c r="C35" s="196"/>
      <c r="D35" s="197"/>
      <c r="E35" s="197"/>
      <c r="F35" s="198"/>
      <c r="G35" s="199"/>
      <c r="H35" s="197"/>
      <c r="I35" s="200"/>
      <c r="J35" s="249"/>
      <c r="K35" s="201"/>
      <c r="L35" s="265"/>
      <c r="M35" s="202"/>
      <c r="N35" s="203"/>
      <c r="O35" s="203"/>
      <c r="P35" s="203"/>
      <c r="Q35" s="204"/>
      <c r="R35" s="198"/>
      <c r="S35" s="198"/>
      <c r="T35" s="205"/>
      <c r="U35" s="206"/>
      <c r="V35" s="207"/>
      <c r="W35" s="208"/>
      <c r="X35" s="209"/>
    </row>
    <row r="36" spans="1:24" s="210" customFormat="1" ht="31.5" hidden="1" customHeight="1" x14ac:dyDescent="0.2">
      <c r="A36" s="196"/>
      <c r="B36" s="196"/>
      <c r="C36" s="196"/>
      <c r="D36" s="197"/>
      <c r="E36" s="197"/>
      <c r="F36" s="198"/>
      <c r="G36" s="199"/>
      <c r="H36" s="197"/>
      <c r="I36" s="200"/>
      <c r="J36" s="249"/>
      <c r="K36" s="201"/>
      <c r="L36" s="265"/>
      <c r="M36" s="202"/>
      <c r="N36" s="203"/>
      <c r="O36" s="203"/>
      <c r="P36" s="203"/>
      <c r="Q36" s="204"/>
      <c r="R36" s="198"/>
      <c r="S36" s="198"/>
      <c r="T36" s="205"/>
      <c r="U36" s="206"/>
      <c r="V36" s="207"/>
      <c r="W36" s="208"/>
      <c r="X36" s="209"/>
    </row>
    <row r="37" spans="1:24" s="210" customFormat="1" ht="31.5" hidden="1" customHeight="1" x14ac:dyDescent="0.2">
      <c r="A37" s="196"/>
      <c r="B37" s="196"/>
      <c r="C37" s="196"/>
      <c r="D37" s="197"/>
      <c r="E37" s="197"/>
      <c r="F37" s="198"/>
      <c r="G37" s="199"/>
      <c r="H37" s="197"/>
      <c r="I37" s="200"/>
      <c r="J37" s="249"/>
      <c r="K37" s="201"/>
      <c r="L37" s="265"/>
      <c r="M37" s="202"/>
      <c r="N37" s="203"/>
      <c r="O37" s="203"/>
      <c r="P37" s="203"/>
      <c r="Q37" s="204"/>
      <c r="R37" s="198"/>
      <c r="S37" s="198"/>
      <c r="T37" s="205"/>
      <c r="U37" s="206"/>
      <c r="V37" s="207"/>
      <c r="W37" s="208"/>
      <c r="X37" s="209"/>
    </row>
    <row r="38" spans="1:24" s="210" customFormat="1" ht="31.5" hidden="1" customHeight="1" x14ac:dyDescent="0.2">
      <c r="A38" s="196"/>
      <c r="B38" s="196"/>
      <c r="C38" s="196"/>
      <c r="D38" s="197"/>
      <c r="E38" s="197"/>
      <c r="F38" s="198"/>
      <c r="G38" s="199"/>
      <c r="H38" s="197"/>
      <c r="I38" s="200"/>
      <c r="J38" s="249"/>
      <c r="K38" s="201"/>
      <c r="L38" s="265"/>
      <c r="M38" s="202"/>
      <c r="N38" s="203"/>
      <c r="O38" s="203"/>
      <c r="P38" s="203"/>
      <c r="Q38" s="204"/>
      <c r="R38" s="198"/>
      <c r="S38" s="198"/>
      <c r="T38" s="205"/>
      <c r="U38" s="206"/>
      <c r="V38" s="207"/>
      <c r="W38" s="208"/>
      <c r="X38" s="209"/>
    </row>
    <row r="39" spans="1:24" s="210" customFormat="1" ht="31.5" hidden="1" customHeight="1" x14ac:dyDescent="0.2">
      <c r="A39" s="196"/>
      <c r="B39" s="196"/>
      <c r="C39" s="196"/>
      <c r="D39" s="197"/>
      <c r="E39" s="197"/>
      <c r="F39" s="198"/>
      <c r="G39" s="199"/>
      <c r="H39" s="197"/>
      <c r="I39" s="200"/>
      <c r="J39" s="249"/>
      <c r="K39" s="201"/>
      <c r="L39" s="265"/>
      <c r="M39" s="202"/>
      <c r="N39" s="203"/>
      <c r="O39" s="203"/>
      <c r="P39" s="203"/>
      <c r="Q39" s="204"/>
      <c r="R39" s="198"/>
      <c r="S39" s="198"/>
      <c r="T39" s="205"/>
      <c r="U39" s="206"/>
      <c r="V39" s="207"/>
      <c r="W39" s="208"/>
      <c r="X39" s="209"/>
    </row>
    <row r="40" spans="1:24" s="210" customFormat="1" ht="31.5" hidden="1" customHeight="1" x14ac:dyDescent="0.2">
      <c r="A40" s="196"/>
      <c r="B40" s="196"/>
      <c r="C40" s="196"/>
      <c r="D40" s="197"/>
      <c r="E40" s="197"/>
      <c r="F40" s="198"/>
      <c r="G40" s="199"/>
      <c r="H40" s="197"/>
      <c r="I40" s="200"/>
      <c r="J40" s="249"/>
      <c r="K40" s="201"/>
      <c r="L40" s="265"/>
      <c r="M40" s="202"/>
      <c r="N40" s="203"/>
      <c r="O40" s="203"/>
      <c r="P40" s="203"/>
      <c r="Q40" s="204"/>
      <c r="R40" s="198"/>
      <c r="S40" s="198"/>
      <c r="T40" s="205"/>
      <c r="U40" s="206"/>
      <c r="V40" s="207"/>
      <c r="W40" s="208"/>
      <c r="X40" s="209"/>
    </row>
    <row r="41" spans="1:24" s="210" customFormat="1" ht="31.5" hidden="1" customHeight="1" x14ac:dyDescent="0.2">
      <c r="A41" s="196"/>
      <c r="B41" s="196"/>
      <c r="C41" s="196"/>
      <c r="D41" s="260"/>
      <c r="E41" s="197"/>
      <c r="F41" s="198"/>
      <c r="G41" s="199"/>
      <c r="H41" s="197"/>
      <c r="I41" s="200"/>
      <c r="J41" s="249"/>
      <c r="K41" s="201"/>
      <c r="L41" s="265"/>
      <c r="M41" s="202"/>
      <c r="N41" s="203"/>
      <c r="O41" s="203"/>
      <c r="P41" s="203"/>
      <c r="Q41" s="204"/>
      <c r="R41" s="198"/>
      <c r="S41" s="198"/>
      <c r="T41" s="205"/>
      <c r="U41" s="206"/>
      <c r="V41" s="207"/>
      <c r="W41" s="198"/>
      <c r="X41" s="238"/>
    </row>
    <row r="42" spans="1:24" s="210" customFormat="1" ht="31.5" hidden="1" customHeight="1" x14ac:dyDescent="0.2">
      <c r="A42" s="196"/>
      <c r="B42" s="196"/>
      <c r="C42" s="196"/>
      <c r="D42" s="260"/>
      <c r="E42" s="197"/>
      <c r="F42" s="198"/>
      <c r="G42" s="199"/>
      <c r="H42" s="197"/>
      <c r="I42" s="200"/>
      <c r="J42" s="249"/>
      <c r="K42" s="201"/>
      <c r="L42" s="265"/>
      <c r="M42" s="202"/>
      <c r="N42" s="203"/>
      <c r="O42" s="203"/>
      <c r="P42" s="203"/>
      <c r="Q42" s="204"/>
      <c r="R42" s="198"/>
      <c r="S42" s="198"/>
      <c r="T42" s="205"/>
      <c r="U42" s="206"/>
      <c r="V42" s="207"/>
      <c r="W42" s="198"/>
      <c r="X42" s="238"/>
    </row>
    <row r="43" spans="1:24" s="210" customFormat="1" ht="31.5" hidden="1" customHeight="1" x14ac:dyDescent="0.2">
      <c r="A43" s="196"/>
      <c r="B43" s="196"/>
      <c r="C43" s="196"/>
      <c r="D43" s="260"/>
      <c r="E43" s="197"/>
      <c r="F43" s="198"/>
      <c r="G43" s="199"/>
      <c r="H43" s="197"/>
      <c r="I43" s="200"/>
      <c r="J43" s="249"/>
      <c r="K43" s="201"/>
      <c r="L43" s="265"/>
      <c r="M43" s="202"/>
      <c r="N43" s="203"/>
      <c r="O43" s="203"/>
      <c r="P43" s="203"/>
      <c r="Q43" s="204"/>
      <c r="R43" s="198"/>
      <c r="S43" s="198"/>
      <c r="T43" s="205"/>
      <c r="U43" s="206"/>
      <c r="V43" s="207"/>
      <c r="W43" s="198"/>
      <c r="X43" s="238"/>
    </row>
    <row r="44" spans="1:24" s="284" customFormat="1" ht="31.5" hidden="1" customHeight="1" x14ac:dyDescent="0.2">
      <c r="A44" s="270"/>
      <c r="B44" s="270"/>
      <c r="C44" s="270"/>
      <c r="D44" s="271"/>
      <c r="E44" s="272"/>
      <c r="F44" s="273"/>
      <c r="G44" s="274"/>
      <c r="H44" s="197"/>
      <c r="I44" s="275"/>
      <c r="J44" s="276"/>
      <c r="K44" s="277"/>
      <c r="L44" s="278"/>
      <c r="M44" s="279"/>
      <c r="N44" s="277"/>
      <c r="O44" s="277"/>
      <c r="P44" s="277"/>
      <c r="Q44" s="277"/>
      <c r="R44" s="273"/>
      <c r="S44" s="273"/>
      <c r="T44" s="280"/>
      <c r="U44" s="281"/>
      <c r="V44" s="282"/>
      <c r="W44" s="273"/>
      <c r="X44" s="283"/>
    </row>
    <row r="45" spans="1:24" s="284" customFormat="1" ht="31.5" hidden="1" customHeight="1" x14ac:dyDescent="0.2">
      <c r="A45" s="270"/>
      <c r="B45" s="270"/>
      <c r="C45" s="270"/>
      <c r="D45" s="271"/>
      <c r="E45" s="272"/>
      <c r="F45" s="273"/>
      <c r="G45" s="274"/>
      <c r="H45" s="197"/>
      <c r="I45" s="275"/>
      <c r="J45" s="276"/>
      <c r="K45" s="277"/>
      <c r="L45" s="278"/>
      <c r="M45" s="279"/>
      <c r="N45" s="277"/>
      <c r="O45" s="277"/>
      <c r="P45" s="277"/>
      <c r="Q45" s="277"/>
      <c r="R45" s="273"/>
      <c r="S45" s="273"/>
      <c r="T45" s="280"/>
      <c r="U45" s="281"/>
      <c r="V45" s="282"/>
      <c r="W45" s="273"/>
      <c r="X45" s="283"/>
    </row>
    <row r="46" spans="1:24" s="210" customFormat="1" ht="31.5" customHeight="1" x14ac:dyDescent="0.2">
      <c r="A46" s="212"/>
      <c r="B46" s="212"/>
      <c r="C46" s="212"/>
      <c r="D46" s="212"/>
      <c r="E46" s="213"/>
      <c r="F46" s="212"/>
      <c r="G46" s="212"/>
      <c r="H46" s="214" t="s">
        <v>155</v>
      </c>
      <c r="I46" s="215">
        <f>SUM(I13:I43)</f>
        <v>20</v>
      </c>
      <c r="J46" s="248"/>
      <c r="K46" s="216"/>
      <c r="L46" s="264"/>
      <c r="M46" s="216"/>
      <c r="N46" s="217"/>
      <c r="O46" s="217"/>
      <c r="P46" s="217"/>
      <c r="Q46" s="213"/>
      <c r="R46" s="213"/>
      <c r="S46" s="213"/>
      <c r="T46" s="218">
        <f>SUM(T13:T45)</f>
        <v>27393.574652777781</v>
      </c>
      <c r="U46" s="219"/>
      <c r="V46" s="220">
        <f>SUM(V13:V45)</f>
        <v>5577.3465345486102</v>
      </c>
      <c r="W46" s="219"/>
      <c r="X46" s="220"/>
    </row>
    <row r="47" spans="1:24" s="210" customFormat="1" ht="31.5" customHeight="1" x14ac:dyDescent="0.2">
      <c r="A47" s="196"/>
      <c r="B47" s="196"/>
      <c r="C47" s="196"/>
      <c r="D47" s="197"/>
      <c r="E47" s="197"/>
      <c r="F47" s="198"/>
      <c r="G47" s="199"/>
      <c r="H47" s="221" t="s">
        <v>156</v>
      </c>
      <c r="I47" s="222"/>
      <c r="J47" s="250"/>
      <c r="K47" s="204"/>
      <c r="L47" s="266"/>
      <c r="M47" s="223"/>
      <c r="N47" s="204"/>
      <c r="O47" s="204"/>
      <c r="P47" s="204"/>
      <c r="Q47" s="224"/>
      <c r="R47" s="224"/>
      <c r="S47" s="224"/>
      <c r="T47" s="205"/>
      <c r="U47" s="224"/>
      <c r="V47" s="207"/>
      <c r="W47" s="224"/>
      <c r="X47" s="207"/>
    </row>
    <row r="48" spans="1:24" s="210" customFormat="1" ht="31.5" customHeight="1" x14ac:dyDescent="0.2">
      <c r="A48" s="212"/>
      <c r="B48" s="212"/>
      <c r="C48" s="212"/>
      <c r="D48" s="213"/>
      <c r="E48" s="213"/>
      <c r="F48" s="213"/>
      <c r="G48" s="213"/>
      <c r="H48" s="214" t="s">
        <v>162</v>
      </c>
      <c r="I48" s="215">
        <f>SUM(I15:I43)</f>
        <v>20</v>
      </c>
      <c r="J48" s="248"/>
      <c r="K48" s="216"/>
      <c r="L48" s="264"/>
      <c r="M48" s="216"/>
      <c r="N48" s="217"/>
      <c r="O48" s="217"/>
      <c r="P48" s="217"/>
      <c r="Q48" s="213"/>
      <c r="R48" s="213"/>
      <c r="S48" s="213"/>
      <c r="T48" s="218">
        <f>SUM(T15:T45)</f>
        <v>27393.574652777781</v>
      </c>
      <c r="U48" s="219"/>
      <c r="V48" s="220">
        <f>+V46+V47</f>
        <v>5577.3465345486102</v>
      </c>
      <c r="W48" s="219"/>
      <c r="X48" s="220"/>
    </row>
    <row r="49" spans="1:24" s="228" customFormat="1" ht="15" customHeight="1" x14ac:dyDescent="0.25">
      <c r="A49" s="225"/>
      <c r="B49" s="225"/>
      <c r="C49" s="225"/>
      <c r="D49" s="225"/>
      <c r="E49" s="225"/>
      <c r="F49" s="226"/>
      <c r="G49" s="225"/>
      <c r="H49" s="227"/>
      <c r="I49" s="227"/>
      <c r="J49" s="251"/>
      <c r="L49" s="267"/>
      <c r="V49" s="229"/>
      <c r="X49" s="230"/>
    </row>
    <row r="50" spans="1:24" s="228" customFormat="1" ht="15" customHeight="1" x14ac:dyDescent="0.25">
      <c r="A50" s="225" t="s">
        <v>218</v>
      </c>
      <c r="B50" s="225"/>
      <c r="C50" s="225"/>
      <c r="D50" s="225"/>
      <c r="E50" s="225"/>
      <c r="F50" s="226"/>
      <c r="G50" s="225"/>
      <c r="H50" s="227"/>
      <c r="I50" s="227"/>
      <c r="J50" s="251"/>
      <c r="L50" s="267"/>
      <c r="V50" s="229"/>
      <c r="X50" s="230"/>
    </row>
    <row r="51" spans="1:24" s="228" customFormat="1" ht="15" customHeight="1" x14ac:dyDescent="0.25">
      <c r="A51" s="225"/>
      <c r="B51" s="225"/>
      <c r="C51" s="225"/>
      <c r="D51" s="225"/>
      <c r="E51" s="225"/>
      <c r="F51" s="226"/>
      <c r="G51" s="225"/>
      <c r="H51" s="227"/>
      <c r="I51" s="227"/>
      <c r="J51" s="251"/>
      <c r="L51" s="267"/>
      <c r="V51" s="229"/>
      <c r="X51" s="230"/>
    </row>
    <row r="52" spans="1:24" s="228" customFormat="1" ht="15" customHeight="1" x14ac:dyDescent="0.25">
      <c r="A52" s="225" t="s">
        <v>219</v>
      </c>
      <c r="B52" s="225"/>
      <c r="C52" s="225"/>
      <c r="D52" s="225"/>
      <c r="E52" s="225"/>
      <c r="F52" s="226"/>
      <c r="G52" s="225"/>
      <c r="H52" s="227"/>
      <c r="I52" s="227"/>
      <c r="J52" s="251"/>
      <c r="L52" s="267"/>
      <c r="V52" s="229"/>
      <c r="X52" s="230"/>
    </row>
    <row r="53" spans="1:24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252"/>
      <c r="K53" s="35"/>
      <c r="L53" s="268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4" ht="15" customHeight="1" x14ac:dyDescent="0.25">
      <c r="A54" s="48"/>
      <c r="B54" s="48"/>
      <c r="C54" s="48"/>
      <c r="D54" s="48"/>
      <c r="E54" s="48"/>
      <c r="F54" s="84"/>
      <c r="G54" s="48"/>
      <c r="H54" s="85"/>
      <c r="I54" s="85"/>
      <c r="J54" s="252"/>
      <c r="K54" s="35"/>
      <c r="L54" s="268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4" ht="15" customHeight="1" x14ac:dyDescent="0.25">
      <c r="A55" s="86"/>
      <c r="B55" s="318"/>
      <c r="C55" s="318"/>
      <c r="D55" s="318"/>
      <c r="E55" s="318"/>
      <c r="F55" s="318"/>
      <c r="G55" s="318"/>
      <c r="H55" s="318"/>
      <c r="I55" s="318"/>
      <c r="J55" s="318"/>
      <c r="K55" s="35"/>
      <c r="L55" s="268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4" ht="15" customHeight="1" x14ac:dyDescent="0.25">
      <c r="A56" s="86"/>
      <c r="B56" s="319"/>
      <c r="C56" s="319"/>
      <c r="D56" s="319"/>
      <c r="E56" s="319"/>
      <c r="F56" s="319"/>
      <c r="G56" s="319"/>
      <c r="H56" s="319"/>
      <c r="I56" s="319"/>
      <c r="J56" s="319"/>
      <c r="K56" s="35"/>
      <c r="L56" s="268"/>
      <c r="M56" s="35"/>
      <c r="N56" s="35"/>
      <c r="O56" s="35"/>
      <c r="P56" s="35"/>
      <c r="Q56" s="35"/>
      <c r="R56" s="35"/>
      <c r="S56" s="35"/>
      <c r="T56" s="35"/>
      <c r="U56" s="35"/>
      <c r="V56" s="89"/>
    </row>
  </sheetData>
  <mergeCells count="5">
    <mergeCell ref="A7:E7"/>
    <mergeCell ref="F7:G7"/>
    <mergeCell ref="R9:S9"/>
    <mergeCell ref="B55:J55"/>
    <mergeCell ref="B56:J56"/>
  </mergeCells>
  <pageMargins left="0" right="0" top="1" bottom="0" header="0.511811023622047" footer="0.511811023622047"/>
  <pageSetup paperSize="9" scale="44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colBreaks count="2" manualBreakCount="2">
    <brk id="4" max="1048575" man="1"/>
    <brk id="6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2A6804-08AF-4E47-B5B3-8D70B1EAF45F}">
          <x14:formula1>
            <xm:f>'SIZE GUIDE'!$B:$B</xm:f>
          </x14:formula1>
          <xm:sqref>G46 F15:F48</xm:sqref>
        </x14:dataValidation>
        <x14:dataValidation type="list" errorStyle="information" allowBlank="1" showInputMessage="1" xr:uid="{0D73A50B-A365-4FE7-A756-BB9F68A7F33C}">
          <x14:formula1>
            <xm:f>CODE_MASTER_AS!$A$3:$A$14</xm:f>
          </x14:formula1>
          <xm:sqref>C47:C48 F46:G46 C15:C45</xm:sqref>
        </x14:dataValidation>
        <x14:dataValidation type="list" allowBlank="1" xr:uid="{0CAC2B0E-DA26-4B85-9F1B-A9A14D583378}">
          <x14:formula1>
            <xm:f>LISTS!$B$2:$B$8</xm:f>
          </x14:formula1>
          <x14:formula2>
            <xm:f>0</xm:f>
          </x14:formula2>
          <xm:sqref>H15:H48</xm:sqref>
        </x14:dataValidation>
        <x14:dataValidation type="list" allowBlank="1" xr:uid="{B35768A9-12AD-4456-8042-E3DF03C523F2}">
          <x14:formula1>
            <xm:f>'SIZE GUIDE'!$A$3:$A$38</xm:f>
          </x14:formula1>
          <xm:sqref>E15:E48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A791B-2B92-442F-AC58-459BAB066F69}">
  <sheetPr codeName="Sheet29">
    <pageSetUpPr fitToPage="1"/>
  </sheetPr>
  <dimension ref="A1:AH56"/>
  <sheetViews>
    <sheetView showGridLines="0" view="pageBreakPreview" topLeftCell="A18" zoomScale="80" zoomScaleNormal="68" zoomScaleSheetLayoutView="80" workbookViewId="0">
      <selection activeCell="W26" sqref="W26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25" style="16" hidden="1" customWidth="1"/>
    <col min="5" max="5" width="16.83203125" style="16" customWidth="1"/>
    <col min="6" max="6" width="15.33203125" style="16" hidden="1" customWidth="1"/>
    <col min="7" max="7" width="23.5" style="16" bestFit="1" customWidth="1"/>
    <col min="8" max="9" width="10.6640625" style="16" customWidth="1"/>
    <col min="10" max="10" width="10.6640625" style="15" customWidth="1"/>
    <col min="11" max="11" width="10.6640625" style="16" customWidth="1"/>
    <col min="12" max="12" width="10.6640625" style="269" customWidth="1"/>
    <col min="13" max="19" width="10.6640625" style="16" customWidth="1"/>
    <col min="20" max="20" width="14.6640625" style="16" customWidth="1"/>
    <col min="21" max="21" width="14.1640625" style="16" customWidth="1"/>
    <col min="22" max="22" width="14.5" style="98" customWidth="1"/>
    <col min="23" max="23" width="28.1640625" style="16" customWidth="1"/>
    <col min="24" max="24" width="20.33203125" style="23" customWidth="1"/>
    <col min="25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45"/>
      <c r="K1" s="29"/>
      <c r="L1" s="261"/>
      <c r="M1" s="29" t="s">
        <v>204</v>
      </c>
      <c r="N1" s="27"/>
      <c r="O1" s="27"/>
      <c r="P1" s="27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246"/>
      <c r="K2" s="31"/>
      <c r="L2" s="261"/>
      <c r="M2" s="32" t="s">
        <v>161</v>
      </c>
      <c r="N2" s="27"/>
      <c r="O2" s="27"/>
      <c r="P2" s="28" t="s">
        <v>160</v>
      </c>
      <c r="R2" s="20"/>
      <c r="S2" s="21"/>
      <c r="U2" s="13"/>
      <c r="V2" s="20"/>
      <c r="W2" s="20"/>
      <c r="X2" s="20" t="s">
        <v>151</v>
      </c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247"/>
      <c r="K3" s="37"/>
      <c r="L3" s="262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247"/>
      <c r="K4" s="37"/>
      <c r="L4" s="262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247"/>
      <c r="K5" s="37"/>
      <c r="L5" s="262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247"/>
      <c r="K6" s="37"/>
      <c r="L6" s="262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5" t="s">
        <v>143</v>
      </c>
      <c r="B7" s="315"/>
      <c r="C7" s="315"/>
      <c r="D7" s="315"/>
      <c r="E7" s="315"/>
      <c r="F7" s="316"/>
      <c r="G7" s="316"/>
      <c r="H7" s="35"/>
      <c r="I7" s="35"/>
      <c r="J7" s="247"/>
      <c r="K7" s="37"/>
      <c r="L7" s="262"/>
      <c r="M7" s="37"/>
      <c r="N7" s="38"/>
      <c r="O7" s="38"/>
      <c r="P7" s="38"/>
      <c r="Q7" s="231" t="s">
        <v>147</v>
      </c>
      <c r="R7" s="231"/>
      <c r="S7" s="231"/>
      <c r="T7" s="231"/>
      <c r="U7" s="231"/>
      <c r="V7" s="231" t="s">
        <v>148</v>
      </c>
      <c r="W7" s="231"/>
      <c r="X7" s="231"/>
    </row>
    <row r="8" spans="1:24" ht="15" customHeight="1" x14ac:dyDescent="0.25">
      <c r="A8" s="44" t="s">
        <v>212</v>
      </c>
      <c r="B8" s="45"/>
      <c r="C8" s="45"/>
      <c r="D8" s="46"/>
      <c r="E8" s="46"/>
      <c r="F8" s="36"/>
      <c r="G8" s="46"/>
      <c r="H8" s="35"/>
      <c r="I8" s="35"/>
      <c r="J8" s="247"/>
      <c r="K8" s="37"/>
      <c r="L8" s="262"/>
      <c r="M8" s="37"/>
      <c r="N8" s="38"/>
      <c r="O8" s="38"/>
      <c r="P8" s="38"/>
      <c r="Q8" s="190" t="s">
        <v>313</v>
      </c>
      <c r="R8" s="191"/>
      <c r="S8" s="192"/>
      <c r="T8" s="193"/>
      <c r="U8" s="194"/>
      <c r="V8" s="195">
        <v>46213</v>
      </c>
      <c r="W8" s="232"/>
      <c r="X8" s="233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247"/>
      <c r="K9" s="37"/>
      <c r="L9" s="262"/>
      <c r="M9" s="37"/>
      <c r="N9" s="38"/>
      <c r="O9" s="38"/>
      <c r="P9" s="38"/>
      <c r="Q9" s="225"/>
      <c r="R9" s="317"/>
      <c r="S9" s="317"/>
      <c r="T9" s="228"/>
      <c r="U9" s="234"/>
      <c r="V9" s="235"/>
      <c r="W9" s="232"/>
      <c r="X9" s="233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247"/>
      <c r="K10" s="37"/>
      <c r="L10" s="262"/>
      <c r="M10" s="37"/>
      <c r="N10" s="38"/>
      <c r="O10" s="38"/>
      <c r="P10" s="38"/>
      <c r="Q10" s="236" t="s">
        <v>149</v>
      </c>
      <c r="R10" s="231"/>
      <c r="S10" s="231"/>
      <c r="T10" s="231"/>
      <c r="U10" s="231"/>
      <c r="V10" s="231" t="s">
        <v>150</v>
      </c>
      <c r="W10" s="231"/>
      <c r="X10" s="231"/>
    </row>
    <row r="11" spans="1:24" ht="15" customHeight="1" x14ac:dyDescent="0.25">
      <c r="A11" s="188" t="s">
        <v>288</v>
      </c>
      <c r="B11" s="34"/>
      <c r="C11" s="35"/>
      <c r="D11" s="35"/>
      <c r="E11" s="46"/>
      <c r="F11" s="46"/>
      <c r="G11" s="46"/>
      <c r="H11" s="35"/>
      <c r="I11" s="35"/>
      <c r="J11" s="247"/>
      <c r="K11" s="37"/>
      <c r="L11" s="262"/>
      <c r="M11" s="37"/>
      <c r="N11" s="38"/>
      <c r="O11" s="38"/>
      <c r="P11" s="38"/>
      <c r="Q11" s="190" t="s">
        <v>311</v>
      </c>
      <c r="R11" s="190"/>
      <c r="S11" s="190"/>
      <c r="T11" s="193"/>
      <c r="U11" s="194"/>
      <c r="V11" s="190"/>
      <c r="W11" s="232"/>
      <c r="X11" s="233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247"/>
      <c r="K12" s="37"/>
      <c r="L12" s="262"/>
      <c r="M12" s="37"/>
      <c r="N12" s="38"/>
      <c r="O12" s="38"/>
      <c r="P12" s="38"/>
      <c r="Q12" s="190"/>
      <c r="R12" s="190"/>
      <c r="S12" s="190"/>
      <c r="T12" s="190"/>
      <c r="U12" s="194"/>
      <c r="V12" s="237"/>
      <c r="W12" s="232"/>
      <c r="X12" s="233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4"/>
      <c r="K13" s="50"/>
      <c r="L13" s="263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210" customFormat="1" ht="39.75" customHeight="1" x14ac:dyDescent="0.2">
      <c r="A14" s="212" t="s">
        <v>158</v>
      </c>
      <c r="B14" s="212" t="s">
        <v>0</v>
      </c>
      <c r="C14" s="212" t="s">
        <v>1</v>
      </c>
      <c r="D14" s="213" t="s">
        <v>135</v>
      </c>
      <c r="E14" s="213" t="s">
        <v>157</v>
      </c>
      <c r="F14" s="213" t="s">
        <v>3</v>
      </c>
      <c r="G14" s="213" t="s">
        <v>152</v>
      </c>
      <c r="H14" s="213" t="s">
        <v>105</v>
      </c>
      <c r="I14" s="213" t="s">
        <v>5</v>
      </c>
      <c r="J14" s="248" t="s">
        <v>64</v>
      </c>
      <c r="K14" s="216" t="s">
        <v>136</v>
      </c>
      <c r="L14" s="264" t="s">
        <v>24</v>
      </c>
      <c r="M14" s="216" t="s">
        <v>108</v>
      </c>
      <c r="N14" s="217" t="s">
        <v>136</v>
      </c>
      <c r="O14" s="217" t="s">
        <v>24</v>
      </c>
      <c r="P14" s="259" t="s">
        <v>108</v>
      </c>
      <c r="Q14" s="213" t="s">
        <v>136</v>
      </c>
      <c r="R14" s="213" t="s">
        <v>24</v>
      </c>
      <c r="S14" s="213" t="s">
        <v>108</v>
      </c>
      <c r="T14" s="218" t="s">
        <v>159</v>
      </c>
      <c r="U14" s="219" t="s">
        <v>6</v>
      </c>
      <c r="V14" s="220" t="s">
        <v>7</v>
      </c>
      <c r="W14" s="220" t="s">
        <v>140</v>
      </c>
      <c r="X14" s="220" t="s">
        <v>141</v>
      </c>
    </row>
    <row r="15" spans="1:24" s="210" customFormat="1" ht="31.5" customHeight="1" x14ac:dyDescent="0.2">
      <c r="A15" s="196">
        <v>1</v>
      </c>
      <c r="B15" s="196"/>
      <c r="C15" s="196" t="s">
        <v>89</v>
      </c>
      <c r="D15" s="197"/>
      <c r="E15" s="197" t="s">
        <v>11</v>
      </c>
      <c r="F15" s="198" t="s">
        <v>123</v>
      </c>
      <c r="G15" s="199" t="str">
        <f>IF(COUNTIFS($C$15:C15,C15,$H$15:H15,H15)=1,
SUMIFS($I$15:$I$43,$C$15:$C$43,C15,$H$15:$H$43,H15)&amp;H15&amp;" "&amp;C15,
"")</f>
        <v>6T CFN30100W</v>
      </c>
      <c r="H15" s="250" t="s">
        <v>12</v>
      </c>
      <c r="I15" s="200">
        <v>1</v>
      </c>
      <c r="J15" s="249"/>
      <c r="K15" s="201" cm="1">
        <f t="array" ref="K15">IF(E15="untrim",_xlfn.XLOOKUP(1,(TRIM('SIZE GUIDE'!$A$3:$A$2015)=TRIM(E15))*(TRIM('SIZE GUIDE'!$B$3:$B$2015)=TRIM(F15))*(TRIM('SIZE GUIDE'!$C$3:$C$2015)=TRIM(H15)),'SIZE GUIDE'!$D$3:$D$2015),"")</f>
        <v>76</v>
      </c>
      <c r="L15" s="265" cm="1">
        <f t="array" ref="L15">IF(E15="untrim",IFERROR(INDEX('SIZE GUIDE'!$E:$E,MATCH(1,('SIZE GUIDE'!$A:$A=$E15)*('SIZE GUIDE'!$B:$B=$F15)*('SIZE GUIDE'!$C:$C=$H15),0)),""),"")</f>
        <v>39</v>
      </c>
      <c r="M15" s="202">
        <v>42.5</v>
      </c>
      <c r="N15" s="203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203" t="str" cm="1">
        <f t="array" ref="O15">IF(E15="trim",IFERROR(INDEX('SIZE GUIDE'!$E:$E,MATCH(1,('SIZE GUIDE'!$A:$A=$E15)*('SIZE GUIDE'!$B:$B=$F15)*('SIZE GUIDE'!$C:$C=$H15),0)),""),"")</f>
        <v/>
      </c>
      <c r="P15" s="203"/>
      <c r="Q15" s="204">
        <f t="shared" ref="Q15:Q34" si="0">IF(E15="untrim",K15-1.5,N15)</f>
        <v>74.5</v>
      </c>
      <c r="R15" s="198">
        <f t="shared" ref="R15:R34" si="1">IF(E15="untrim",L15-1.5,O15)</f>
        <v>37.5</v>
      </c>
      <c r="S15" s="198">
        <f>IF(E15="untrim",M15-0.5,P15-0.5)</f>
        <v>42</v>
      </c>
      <c r="T15" s="205">
        <f>IFERROR(Q15*R15*S15/144*I15,"")</f>
        <v>814.84375</v>
      </c>
      <c r="U15" s="206">
        <f>SUMIFS(CODE_PRICE!F:F,CODE_PRICE!B:B,C15,CODE_PRICE!A:A,$A$8)</f>
        <v>0.1895</v>
      </c>
      <c r="V15" s="207">
        <f t="shared" ref="V15:V34" si="2">T15*U15</f>
        <v>154.41289062499999</v>
      </c>
      <c r="W15" s="208" t="str">
        <f>IF(COUNTIF($C$15:C15,C15)=1,C15 &amp; " - " &amp; TEXT(SUMIF($C:$C,C15,$T:$T),"0.00"),"")</f>
        <v>CFN30100W - 28068.52</v>
      </c>
      <c r="X15" s="209">
        <f>IF(COUNTIF($C$15:C15,C15)=1,ROUND(SUMIF($C:$C,C15,$V:$V),2), "")</f>
        <v>5318.98</v>
      </c>
    </row>
    <row r="16" spans="1:24" s="210" customFormat="1" ht="31.5" customHeight="1" x14ac:dyDescent="0.2">
      <c r="A16" s="196">
        <f>A15+1</f>
        <v>2</v>
      </c>
      <c r="B16" s="196"/>
      <c r="C16" s="196" t="s">
        <v>89</v>
      </c>
      <c r="D16" s="197"/>
      <c r="E16" s="197" t="s">
        <v>11</v>
      </c>
      <c r="F16" s="198" t="s">
        <v>123</v>
      </c>
      <c r="G16" s="199" t="str">
        <f>IF(COUNTIFS($C$15:C16,C16,$H$15:H16,H16)=1,
SUMIFS($I$15:$I$43,$C$15:$C$43,C16,$H$15:$H$43,H16)&amp;H16&amp;" "&amp;C16,
"")</f>
        <v/>
      </c>
      <c r="H16" s="250" t="s">
        <v>12</v>
      </c>
      <c r="I16" s="200">
        <v>1</v>
      </c>
      <c r="J16" s="249"/>
      <c r="K16" s="201" cm="1">
        <f t="array" ref="K16">IF(E16="untrim",_xlfn.XLOOKUP(1,(TRIM('SIZE GUIDE'!$A$3:$A$2015)=TRIM(E16))*(TRIM('SIZE GUIDE'!$B$3:$B$2015)=TRIM(F16))*(TRIM('SIZE GUIDE'!$C$3:$C$2015)=TRIM(H16)),'SIZE GUIDE'!$D$3:$D$2015),"")</f>
        <v>76</v>
      </c>
      <c r="L16" s="265" cm="1">
        <f t="array" ref="L16">IF(E16="untrim",IFERROR(INDEX('SIZE GUIDE'!$E:$E,MATCH(1,('SIZE GUIDE'!$A:$A=$E16)*('SIZE GUIDE'!$B:$B=$F16)*('SIZE GUIDE'!$C:$C=$H16),0)),""),"")</f>
        <v>39</v>
      </c>
      <c r="M16" s="202">
        <v>42.5</v>
      </c>
      <c r="N16" s="203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203" t="str" cm="1">
        <f t="array" ref="O16">IF(E16="trim",IFERROR(INDEX('SIZE GUIDE'!$E:$E,MATCH(1,('SIZE GUIDE'!$A:$A=$E16)*('SIZE GUIDE'!$B:$B=$F16)*('SIZE GUIDE'!$C:$C=$H16),0)),""),"")</f>
        <v/>
      </c>
      <c r="P16" s="203"/>
      <c r="Q16" s="204">
        <f t="shared" si="0"/>
        <v>74.5</v>
      </c>
      <c r="R16" s="198">
        <f t="shared" si="1"/>
        <v>37.5</v>
      </c>
      <c r="S16" s="198">
        <f t="shared" ref="S16:S34" si="3">IF(E16="untrim",M16-0.5,P16-0.5)</f>
        <v>42</v>
      </c>
      <c r="T16" s="205">
        <f t="shared" ref="T16:T34" si="4">IFERROR(Q16*R16*S16/144*I16,"")</f>
        <v>814.84375</v>
      </c>
      <c r="U16" s="206">
        <f>SUMIFS(CODE_PRICE!F:F,CODE_PRICE!B:B,C16,CODE_PRICE!A:A,$A$8)</f>
        <v>0.1895</v>
      </c>
      <c r="V16" s="207">
        <f t="shared" si="2"/>
        <v>154.41289062499999</v>
      </c>
      <c r="W16" s="208" t="str">
        <f>IF(COUNTIF($C$15:C16,C16)=1,C16 &amp; " - " &amp; TEXT(SUMIF($C:$C,C16,$T:$T),"0.00"),"")</f>
        <v/>
      </c>
      <c r="X16" s="209" t="str">
        <f>IF(COUNTIF($C$15:C16,C16)=1,ROUND(SUMIF($C:$C,C16,$V:$V),2), "")</f>
        <v/>
      </c>
    </row>
    <row r="17" spans="1:34" s="210" customFormat="1" ht="31.5" customHeight="1" x14ac:dyDescent="0.2">
      <c r="A17" s="196">
        <f t="shared" ref="A17:A36" si="5">A16+1</f>
        <v>3</v>
      </c>
      <c r="B17" s="196"/>
      <c r="C17" s="196" t="s">
        <v>89</v>
      </c>
      <c r="D17" s="197"/>
      <c r="E17" s="197" t="s">
        <v>11</v>
      </c>
      <c r="F17" s="198" t="s">
        <v>123</v>
      </c>
      <c r="G17" s="199" t="str">
        <f>IF(COUNTIFS($C$15:C17,C17,$H$15:H17,H17)=1,
SUMIFS($I$15:$I$43,$C$15:$C$43,C17,$H$15:$H$43,H17)&amp;H17&amp;" "&amp;C17,
"")</f>
        <v/>
      </c>
      <c r="H17" s="250" t="s">
        <v>12</v>
      </c>
      <c r="I17" s="200">
        <v>1</v>
      </c>
      <c r="J17" s="249"/>
      <c r="K17" s="201" cm="1">
        <f t="array" ref="K17">IF(E17="untrim",_xlfn.XLOOKUP(1,(TRIM('SIZE GUIDE'!$A$3:$A$2015)=TRIM(E17))*(TRIM('SIZE GUIDE'!$B$3:$B$2015)=TRIM(F17))*(TRIM('SIZE GUIDE'!$C$3:$C$2015)=TRIM(H17)),'SIZE GUIDE'!$D$3:$D$2015),"")</f>
        <v>76</v>
      </c>
      <c r="L17" s="265" cm="1">
        <f t="array" ref="L17">IF(E17="untrim",IFERROR(INDEX('SIZE GUIDE'!$E:$E,MATCH(1,('SIZE GUIDE'!$A:$A=$E17)*('SIZE GUIDE'!$B:$B=$F17)*('SIZE GUIDE'!$C:$C=$H17),0)),""),"")</f>
        <v>39</v>
      </c>
      <c r="M17" s="202">
        <v>42.5</v>
      </c>
      <c r="N17" s="203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203" t="str" cm="1">
        <f t="array" ref="O17">IF(E17="trim",IFERROR(INDEX('SIZE GUIDE'!$E:$E,MATCH(1,('SIZE GUIDE'!$A:$A=$E17)*('SIZE GUIDE'!$B:$B=$F17)*('SIZE GUIDE'!$C:$C=$H17),0)),""),"")</f>
        <v/>
      </c>
      <c r="P17" s="203"/>
      <c r="Q17" s="204">
        <f t="shared" si="0"/>
        <v>74.5</v>
      </c>
      <c r="R17" s="198">
        <f t="shared" si="1"/>
        <v>37.5</v>
      </c>
      <c r="S17" s="198">
        <f t="shared" si="3"/>
        <v>42</v>
      </c>
      <c r="T17" s="205">
        <f t="shared" si="4"/>
        <v>814.84375</v>
      </c>
      <c r="U17" s="206">
        <f>SUMIFS(CODE_PRICE!F:F,CODE_PRICE!B:B,C17,CODE_PRICE!A:A,$A$8)</f>
        <v>0.1895</v>
      </c>
      <c r="V17" s="207">
        <f t="shared" si="2"/>
        <v>154.41289062499999</v>
      </c>
      <c r="W17" s="208" t="str">
        <f>IF(COUNTIF($C$15:C17,C17)=1,C17 &amp; " - " &amp; TEXT(SUMIF($C:$C,C17,$T:$T),"0.00"),"")</f>
        <v/>
      </c>
      <c r="X17" s="209" t="str">
        <f>IF(COUNTIF($C$15:C17,C17)=1,ROUND(SUMIF($C:$C,C17,$V:$V),2), "")</f>
        <v/>
      </c>
    </row>
    <row r="18" spans="1:34" s="210" customFormat="1" ht="31.5" customHeight="1" x14ac:dyDescent="0.2">
      <c r="A18" s="196">
        <f t="shared" si="5"/>
        <v>4</v>
      </c>
      <c r="B18" s="196"/>
      <c r="C18" s="196" t="s">
        <v>89</v>
      </c>
      <c r="D18" s="197"/>
      <c r="E18" s="197" t="s">
        <v>11</v>
      </c>
      <c r="F18" s="198" t="s">
        <v>123</v>
      </c>
      <c r="G18" s="199" t="str">
        <f>IF(COUNTIFS($C$15:C18,C18,$H$15:H18,H18)=1,
SUMIFS($I$15:$I$43,$C$15:$C$43,C18,$H$15:$H$43,H18)&amp;H18&amp;" "&amp;C18,
"")</f>
        <v/>
      </c>
      <c r="H18" s="250" t="s">
        <v>12</v>
      </c>
      <c r="I18" s="200">
        <v>1</v>
      </c>
      <c r="J18" s="249"/>
      <c r="K18" s="201" cm="1">
        <f t="array" ref="K18">IF(E18="untrim",_xlfn.XLOOKUP(1,(TRIM('SIZE GUIDE'!$A$3:$A$2015)=TRIM(E18))*(TRIM('SIZE GUIDE'!$B$3:$B$2015)=TRIM(F18))*(TRIM('SIZE GUIDE'!$C$3:$C$2015)=TRIM(H18)),'SIZE GUIDE'!$D$3:$D$2015),"")</f>
        <v>76</v>
      </c>
      <c r="L18" s="265" cm="1">
        <f t="array" ref="L18">IF(E18="untrim",IFERROR(INDEX('SIZE GUIDE'!$E:$E,MATCH(1,('SIZE GUIDE'!$A:$A=$E18)*('SIZE GUIDE'!$B:$B=$F18)*('SIZE GUIDE'!$C:$C=$H18),0)),""),"")</f>
        <v>39</v>
      </c>
      <c r="M18" s="202">
        <v>42.5</v>
      </c>
      <c r="N18" s="203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203" t="str" cm="1">
        <f t="array" ref="O18">IF(E18="trim",IFERROR(INDEX('SIZE GUIDE'!$E:$E,MATCH(1,('SIZE GUIDE'!$A:$A=$E18)*('SIZE GUIDE'!$B:$B=$F18)*('SIZE GUIDE'!$C:$C=$H18),0)),""),"")</f>
        <v/>
      </c>
      <c r="P18" s="203"/>
      <c r="Q18" s="204">
        <f t="shared" si="0"/>
        <v>74.5</v>
      </c>
      <c r="R18" s="198">
        <f t="shared" si="1"/>
        <v>37.5</v>
      </c>
      <c r="S18" s="198">
        <f t="shared" si="3"/>
        <v>42</v>
      </c>
      <c r="T18" s="205">
        <f t="shared" si="4"/>
        <v>814.84375</v>
      </c>
      <c r="U18" s="206">
        <f>SUMIFS(CODE_PRICE!F:F,CODE_PRICE!B:B,C18,CODE_PRICE!A:A,$A$8)</f>
        <v>0.1895</v>
      </c>
      <c r="V18" s="207">
        <f t="shared" si="2"/>
        <v>154.41289062499999</v>
      </c>
      <c r="W18" s="208" t="str">
        <f>IF(COUNTIF($C$15:C18,C18)=1,C18 &amp; " - " &amp; TEXT(SUMIF($C:$C,C18,$T:$T),"0.00"),"")</f>
        <v/>
      </c>
      <c r="X18" s="209" t="str">
        <f>IF(COUNTIF($C$15:C18,C18)=1,ROUND(SUMIF($C:$C,C18,$V:$V),2), "")</f>
        <v/>
      </c>
      <c r="AH18" s="211"/>
    </row>
    <row r="19" spans="1:34" s="210" customFormat="1" ht="31.5" customHeight="1" x14ac:dyDescent="0.2">
      <c r="A19" s="196">
        <f t="shared" si="5"/>
        <v>5</v>
      </c>
      <c r="B19" s="196"/>
      <c r="C19" s="196" t="s">
        <v>89</v>
      </c>
      <c r="D19" s="197"/>
      <c r="E19" s="197" t="s">
        <v>11</v>
      </c>
      <c r="F19" s="198" t="s">
        <v>123</v>
      </c>
      <c r="G19" s="199" t="str">
        <f>IF(COUNTIFS($C$15:C19,C19,$H$15:H19,H19)=1,
SUMIFS($I$15:$I$43,$C$15:$C$43,C19,$H$15:$H$43,H19)&amp;H19&amp;" "&amp;C19,
"")</f>
        <v/>
      </c>
      <c r="H19" s="250" t="s">
        <v>12</v>
      </c>
      <c r="I19" s="200">
        <v>1</v>
      </c>
      <c r="J19" s="249"/>
      <c r="K19" s="201" cm="1">
        <f t="array" ref="K19">IF(E19="untrim",_xlfn.XLOOKUP(1,(TRIM('SIZE GUIDE'!$A$3:$A$2015)=TRIM(E19))*(TRIM('SIZE GUIDE'!$B$3:$B$2015)=TRIM(F19))*(TRIM('SIZE GUIDE'!$C$3:$C$2015)=TRIM(H19)),'SIZE GUIDE'!$D$3:$D$2015),"")</f>
        <v>76</v>
      </c>
      <c r="L19" s="265" cm="1">
        <f t="array" ref="L19">IF(E19="untrim",IFERROR(INDEX('SIZE GUIDE'!$E:$E,MATCH(1,('SIZE GUIDE'!$A:$A=$E19)*('SIZE GUIDE'!$B:$B=$F19)*('SIZE GUIDE'!$C:$C=$H19),0)),""),"")</f>
        <v>39</v>
      </c>
      <c r="M19" s="202">
        <v>43</v>
      </c>
      <c r="N19" s="203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203" t="str" cm="1">
        <f t="array" ref="O19">IF(E19="trim",IFERROR(INDEX('SIZE GUIDE'!$E:$E,MATCH(1,('SIZE GUIDE'!$A:$A=$E19)*('SIZE GUIDE'!$B:$B=$F19)*('SIZE GUIDE'!$C:$C=$H19),0)),""),"")</f>
        <v/>
      </c>
      <c r="P19" s="203"/>
      <c r="Q19" s="204">
        <f t="shared" si="0"/>
        <v>74.5</v>
      </c>
      <c r="R19" s="198">
        <f t="shared" si="1"/>
        <v>37.5</v>
      </c>
      <c r="S19" s="198">
        <f t="shared" si="3"/>
        <v>42.5</v>
      </c>
      <c r="T19" s="205">
        <f t="shared" si="4"/>
        <v>824.54427083333337</v>
      </c>
      <c r="U19" s="206">
        <f>SUMIFS(CODE_PRICE!F:F,CODE_PRICE!B:B,C19,CODE_PRICE!A:A,$A$8)</f>
        <v>0.1895</v>
      </c>
      <c r="V19" s="207">
        <f t="shared" si="2"/>
        <v>156.25113932291669</v>
      </c>
      <c r="W19" s="208" t="str">
        <f>IF(COUNTIF($C$15:C19,C19)=1,C19 &amp; " - " &amp; TEXT(SUMIF($C:$C,C19,$T:$T),"0.00"),"")</f>
        <v/>
      </c>
      <c r="X19" s="209" t="str">
        <f>IF(COUNTIF($C$15:C19,C19)=1,ROUND(SUMIF($C:$C,C19,$V:$V),2), "")</f>
        <v/>
      </c>
    </row>
    <row r="20" spans="1:34" s="210" customFormat="1" ht="31.5" customHeight="1" x14ac:dyDescent="0.2">
      <c r="A20" s="196">
        <f t="shared" si="5"/>
        <v>6</v>
      </c>
      <c r="B20" s="196"/>
      <c r="C20" s="196" t="s">
        <v>89</v>
      </c>
      <c r="D20" s="197"/>
      <c r="E20" s="197" t="s">
        <v>11</v>
      </c>
      <c r="F20" s="198" t="s">
        <v>123</v>
      </c>
      <c r="G20" s="199" t="str">
        <f>IF(COUNTIFS($C$15:C20,C20,$H$15:H20,H20)=1,
SUMIFS($I$15:$I$43,$C$15:$C$43,C20,$H$15:$H$43,H20)&amp;H20&amp;" "&amp;C20,
"")</f>
        <v/>
      </c>
      <c r="H20" s="250" t="s">
        <v>12</v>
      </c>
      <c r="I20" s="200">
        <v>1</v>
      </c>
      <c r="J20" s="249"/>
      <c r="K20" s="201" cm="1">
        <f t="array" ref="K20">IF(E20="untrim",_xlfn.XLOOKUP(1,(TRIM('SIZE GUIDE'!$A$3:$A$2015)=TRIM(E20))*(TRIM('SIZE GUIDE'!$B$3:$B$2015)=TRIM(F20))*(TRIM('SIZE GUIDE'!$C$3:$C$2015)=TRIM(H20)),'SIZE GUIDE'!$D$3:$D$2015),"")</f>
        <v>76</v>
      </c>
      <c r="L20" s="265" cm="1">
        <f t="array" ref="L20">IF(E20="untrim",IFERROR(INDEX('SIZE GUIDE'!$E:$E,MATCH(1,('SIZE GUIDE'!$A:$A=$E20)*('SIZE GUIDE'!$B:$B=$F20)*('SIZE GUIDE'!$C:$C=$H20),0)),""),"")</f>
        <v>39</v>
      </c>
      <c r="M20" s="202">
        <v>43</v>
      </c>
      <c r="N20" s="203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203" t="str" cm="1">
        <f t="array" ref="O20">IF(E20="trim",IFERROR(INDEX('SIZE GUIDE'!$E:$E,MATCH(1,('SIZE GUIDE'!$A:$A=$E20)*('SIZE GUIDE'!$B:$B=$F20)*('SIZE GUIDE'!$C:$C=$H20),0)),""),"")</f>
        <v/>
      </c>
      <c r="P20" s="203"/>
      <c r="Q20" s="204">
        <f t="shared" si="0"/>
        <v>74.5</v>
      </c>
      <c r="R20" s="198">
        <f t="shared" si="1"/>
        <v>37.5</v>
      </c>
      <c r="S20" s="198">
        <f t="shared" si="3"/>
        <v>42.5</v>
      </c>
      <c r="T20" s="205">
        <f t="shared" si="4"/>
        <v>824.54427083333337</v>
      </c>
      <c r="U20" s="206">
        <f>SUMIFS(CODE_PRICE!F:F,CODE_PRICE!B:B,C20,CODE_PRICE!A:A,$A$8)</f>
        <v>0.1895</v>
      </c>
      <c r="V20" s="207">
        <f t="shared" si="2"/>
        <v>156.25113932291669</v>
      </c>
      <c r="W20" s="208" t="str">
        <f>IF(COUNTIF($C$15:C20,C20)=1,C20 &amp; " - " &amp; TEXT(SUMIF($C:$C,C20,$T:$T),"0.00"),"")</f>
        <v/>
      </c>
      <c r="X20" s="209" t="str">
        <f>IF(COUNTIF($C$15:C20,C20)=1,ROUND(SUMIF($C:$C,C20,$V:$V),2), "")</f>
        <v/>
      </c>
    </row>
    <row r="21" spans="1:34" s="210" customFormat="1" ht="31.5" customHeight="1" x14ac:dyDescent="0.2">
      <c r="A21" s="196">
        <f t="shared" si="5"/>
        <v>7</v>
      </c>
      <c r="B21" s="196"/>
      <c r="C21" s="196" t="s">
        <v>89</v>
      </c>
      <c r="D21" s="197"/>
      <c r="E21" s="197" t="s">
        <v>11</v>
      </c>
      <c r="F21" s="198" t="s">
        <v>123</v>
      </c>
      <c r="G21" s="199" t="str">
        <f>IF(COUNTIFS($C$15:C21,C21,$H$15:H21,H21)=1,
SUMIFS($I$15:$I$43,$C$15:$C$43,C21,$H$15:$H$43,H21)&amp;H21&amp;" "&amp;C21,
"")</f>
        <v>4F CFN30100W</v>
      </c>
      <c r="H21" s="250" t="s">
        <v>14</v>
      </c>
      <c r="I21" s="200">
        <v>1</v>
      </c>
      <c r="J21" s="249"/>
      <c r="K21" s="201" cm="1">
        <f t="array" ref="K21">IF(E21="untrim",_xlfn.XLOOKUP(1,(TRIM('SIZE GUIDE'!$A$3:$A$2015)=TRIM(E21))*(TRIM('SIZE GUIDE'!$B$3:$B$2015)=TRIM(F21))*(TRIM('SIZE GUIDE'!$C$3:$C$2015)=TRIM(H21)),'SIZE GUIDE'!$D$3:$D$2015),"")</f>
        <v>76</v>
      </c>
      <c r="L21" s="265" cm="1">
        <f t="array" ref="L21">IF(E21="untrim",IFERROR(INDEX('SIZE GUIDE'!$E:$E,MATCH(1,('SIZE GUIDE'!$A:$A=$E21)*('SIZE GUIDE'!$B:$B=$F21)*('SIZE GUIDE'!$C:$C=$H21),0)),""),"")</f>
        <v>55</v>
      </c>
      <c r="M21" s="202">
        <v>41</v>
      </c>
      <c r="N21" s="203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203" t="str" cm="1">
        <f t="array" ref="O21">IF(E21="trim",IFERROR(INDEX('SIZE GUIDE'!$E:$E,MATCH(1,('SIZE GUIDE'!$A:$A=$E21)*('SIZE GUIDE'!$B:$B=$F21)*('SIZE GUIDE'!$C:$C=$H21),0)),""),"")</f>
        <v/>
      </c>
      <c r="P21" s="203"/>
      <c r="Q21" s="204">
        <f t="shared" si="0"/>
        <v>74.5</v>
      </c>
      <c r="R21" s="198">
        <f t="shared" si="1"/>
        <v>53.5</v>
      </c>
      <c r="S21" s="198">
        <f t="shared" ref="S21:S26" si="6">IF(E21="untrim",M22-0.5,P21-0.5)</f>
        <v>40</v>
      </c>
      <c r="T21" s="205">
        <f t="shared" si="4"/>
        <v>1107.1527777777778</v>
      </c>
      <c r="U21" s="206">
        <f>SUMIFS(CODE_PRICE!F:F,CODE_PRICE!B:B,C21,CODE_PRICE!A:A,$A$8)</f>
        <v>0.1895</v>
      </c>
      <c r="V21" s="207">
        <f t="shared" si="2"/>
        <v>209.80545138888891</v>
      </c>
      <c r="W21" s="208" t="str">
        <f>IF(COUNTIF($C$15:C21,C21)=1,C21 &amp; " - " &amp; TEXT(SUMIF($C:$C,C21,$T:$T),"0.00"),"")</f>
        <v/>
      </c>
      <c r="X21" s="209" t="str">
        <f>IF(COUNTIF($C$15:C21,C21)=1,ROUND(SUMIF($C:$C,C21,$V:$V),2), "")</f>
        <v/>
      </c>
    </row>
    <row r="22" spans="1:34" s="210" customFormat="1" ht="31.5" customHeight="1" x14ac:dyDescent="0.2">
      <c r="A22" s="196">
        <f t="shared" si="5"/>
        <v>8</v>
      </c>
      <c r="B22" s="196"/>
      <c r="C22" s="196" t="s">
        <v>89</v>
      </c>
      <c r="D22" s="197"/>
      <c r="E22" s="197" t="s">
        <v>11</v>
      </c>
      <c r="F22" s="198" t="s">
        <v>123</v>
      </c>
      <c r="G22" s="199" t="str">
        <f>IF(COUNTIFS($C$15:C22,C22,$H$15:H22,H22)=1,
SUMIFS($I$15:$I$43,$C$15:$C$43,C22,$H$15:$H$43,H22)&amp;H22&amp;" "&amp;C22,
"")</f>
        <v/>
      </c>
      <c r="H22" s="250" t="s">
        <v>14</v>
      </c>
      <c r="I22" s="200">
        <v>1</v>
      </c>
      <c r="J22" s="249"/>
      <c r="K22" s="201" cm="1">
        <f t="array" ref="K22">IF(E22="untrim",_xlfn.XLOOKUP(1,(TRIM('SIZE GUIDE'!$A$3:$A$2015)=TRIM(E22))*(TRIM('SIZE GUIDE'!$B$3:$B$2015)=TRIM(F22))*(TRIM('SIZE GUIDE'!$C$3:$C$2015)=TRIM(H22)),'SIZE GUIDE'!$D$3:$D$2015),"")</f>
        <v>76</v>
      </c>
      <c r="L22" s="265" cm="1">
        <f t="array" ref="L22">IF(E22="untrim",IFERROR(INDEX('SIZE GUIDE'!$E:$E,MATCH(1,('SIZE GUIDE'!$A:$A=$E22)*('SIZE GUIDE'!$B:$B=$F22)*('SIZE GUIDE'!$C:$C=$H22),0)),""),"")</f>
        <v>55</v>
      </c>
      <c r="M22" s="202">
        <v>40.5</v>
      </c>
      <c r="N22" s="203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203" t="str" cm="1">
        <f t="array" ref="O22">IF(E22="trim",IFERROR(INDEX('SIZE GUIDE'!$E:$E,MATCH(1,('SIZE GUIDE'!$A:$A=$E22)*('SIZE GUIDE'!$B:$B=$F22)*('SIZE GUIDE'!$C:$C=$H22),0)),""),"")</f>
        <v/>
      </c>
      <c r="P22" s="203"/>
      <c r="Q22" s="204">
        <f t="shared" si="0"/>
        <v>74.5</v>
      </c>
      <c r="R22" s="198">
        <f t="shared" si="1"/>
        <v>53.5</v>
      </c>
      <c r="S22" s="198">
        <f t="shared" si="6"/>
        <v>44.5</v>
      </c>
      <c r="T22" s="205">
        <f t="shared" si="4"/>
        <v>1231.7074652777778</v>
      </c>
      <c r="U22" s="206">
        <f>SUMIFS(CODE_PRICE!F:F,CODE_PRICE!B:B,C22,CODE_PRICE!A:A,$A$8)</f>
        <v>0.1895</v>
      </c>
      <c r="V22" s="207">
        <f t="shared" si="2"/>
        <v>233.4085646701389</v>
      </c>
      <c r="W22" s="208" t="str">
        <f>IF(COUNTIF($C$15:C22,C22)=1,C22 &amp; " - " &amp; TEXT(SUMIF($C:$C,C22,$T:$T),"0.00"),"")</f>
        <v/>
      </c>
      <c r="X22" s="209" t="str">
        <f>IF(COUNTIF($C$15:C22,C22)=1,ROUND(SUMIF($C:$C,C22,$V:$V),2), "")</f>
        <v/>
      </c>
      <c r="AD22" s="210" t="s">
        <v>204</v>
      </c>
    </row>
    <row r="23" spans="1:34" s="210" customFormat="1" ht="31.5" customHeight="1" x14ac:dyDescent="0.2">
      <c r="A23" s="196">
        <f t="shared" si="5"/>
        <v>9</v>
      </c>
      <c r="B23" s="196"/>
      <c r="C23" s="196" t="s">
        <v>89</v>
      </c>
      <c r="D23" s="197"/>
      <c r="E23" s="197" t="s">
        <v>11</v>
      </c>
      <c r="F23" s="198" t="s">
        <v>123</v>
      </c>
      <c r="G23" s="199" t="str">
        <f>IF(COUNTIFS($C$15:C23,C23,$H$15:H23,H23)=1,
SUMIFS($I$15:$I$43,$C$15:$C$43,C23,$H$15:$H$43,H23)&amp;H23&amp;" "&amp;C23,
"")</f>
        <v/>
      </c>
      <c r="H23" s="250" t="s">
        <v>14</v>
      </c>
      <c r="I23" s="200">
        <v>1</v>
      </c>
      <c r="J23" s="249"/>
      <c r="K23" s="201" cm="1">
        <f t="array" ref="K23">IF(E23="untrim",_xlfn.XLOOKUP(1,(TRIM('SIZE GUIDE'!$A$3:$A$2015)=TRIM(E23))*(TRIM('SIZE GUIDE'!$B$3:$B$2015)=TRIM(F23))*(TRIM('SIZE GUIDE'!$C$3:$C$2015)=TRIM(H23)),'SIZE GUIDE'!$D$3:$D$2015),"")</f>
        <v>76</v>
      </c>
      <c r="L23" s="265" cm="1">
        <f t="array" ref="L23">IF(E23="untrim",IFERROR(INDEX('SIZE GUIDE'!$E:$E,MATCH(1,('SIZE GUIDE'!$A:$A=$E23)*('SIZE GUIDE'!$B:$B=$F23)*('SIZE GUIDE'!$C:$C=$H23),0)),""),"")</f>
        <v>55</v>
      </c>
      <c r="M23" s="202">
        <v>45</v>
      </c>
      <c r="N23" s="203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203" t="str" cm="1">
        <f t="array" ref="O23">IF(E23="trim",IFERROR(INDEX('SIZE GUIDE'!$E:$E,MATCH(1,('SIZE GUIDE'!$A:$A=$E23)*('SIZE GUIDE'!$B:$B=$F23)*('SIZE GUIDE'!$C:$C=$H23),0)),""),"")</f>
        <v/>
      </c>
      <c r="P23" s="203"/>
      <c r="Q23" s="204">
        <f t="shared" si="0"/>
        <v>74.5</v>
      </c>
      <c r="R23" s="198">
        <f t="shared" si="1"/>
        <v>53.5</v>
      </c>
      <c r="S23" s="198">
        <f t="shared" si="6"/>
        <v>38</v>
      </c>
      <c r="T23" s="205">
        <f t="shared" si="4"/>
        <v>1051.7951388888889</v>
      </c>
      <c r="U23" s="206">
        <f>SUMIFS(CODE_PRICE!F:F,CODE_PRICE!B:B,C23,CODE_PRICE!A:A,$A$8)</f>
        <v>0.1895</v>
      </c>
      <c r="V23" s="207">
        <f t="shared" si="2"/>
        <v>199.31517881944444</v>
      </c>
      <c r="W23" s="208" t="str">
        <f>IF(COUNTIF($C$15:C23,C23)=1,C23 &amp; " - " &amp; TEXT(SUMIF($C:$C,C23,$T:$T),"0.00"),"")</f>
        <v/>
      </c>
      <c r="X23" s="209" t="str">
        <f>IF(COUNTIF($C$15:C23,C23)=1,ROUND(SUMIF($C:$C,C23,$V:$V),2), "")</f>
        <v/>
      </c>
    </row>
    <row r="24" spans="1:34" s="210" customFormat="1" ht="31.5" customHeight="1" x14ac:dyDescent="0.2">
      <c r="A24" s="196">
        <f t="shared" si="5"/>
        <v>10</v>
      </c>
      <c r="B24" s="196"/>
      <c r="C24" s="196" t="s">
        <v>89</v>
      </c>
      <c r="D24" s="197"/>
      <c r="E24" s="197" t="s">
        <v>11</v>
      </c>
      <c r="F24" s="198" t="s">
        <v>123</v>
      </c>
      <c r="G24" s="199" t="str">
        <f>IF(COUNTIFS($C$15:C24,C24,$H$15:H24,H24)=1,
SUMIFS($I$15:$I$43,$C$15:$C$43,C24,$H$15:$H$43,H24)&amp;H24&amp;" "&amp;C24,
"")</f>
        <v/>
      </c>
      <c r="H24" s="250" t="s">
        <v>14</v>
      </c>
      <c r="I24" s="200">
        <v>1</v>
      </c>
      <c r="J24" s="249"/>
      <c r="K24" s="201" cm="1">
        <f t="array" ref="K24">IF(E24="untrim",_xlfn.XLOOKUP(1,(TRIM('SIZE GUIDE'!$A$3:$A$2015)=TRIM(E24))*(TRIM('SIZE GUIDE'!$B$3:$B$2015)=TRIM(F24))*(TRIM('SIZE GUIDE'!$C$3:$C$2015)=TRIM(H24)),'SIZE GUIDE'!$D$3:$D$2015),"")</f>
        <v>76</v>
      </c>
      <c r="L24" s="265" cm="1">
        <f t="array" ref="L24">IF(E24="untrim",IFERROR(INDEX('SIZE GUIDE'!$E:$E,MATCH(1,('SIZE GUIDE'!$A:$A=$E24)*('SIZE GUIDE'!$B:$B=$F24)*('SIZE GUIDE'!$C:$C=$H24),0)),""),"")</f>
        <v>55</v>
      </c>
      <c r="M24" s="202">
        <v>38.5</v>
      </c>
      <c r="N24" s="203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203" t="str" cm="1">
        <f t="array" ref="O24">IF(E24="trim",IFERROR(INDEX('SIZE GUIDE'!$E:$E,MATCH(1,('SIZE GUIDE'!$A:$A=$E24)*('SIZE GUIDE'!$B:$B=$F24)*('SIZE GUIDE'!$C:$C=$H24),0)),""),"")</f>
        <v/>
      </c>
      <c r="P24" s="203"/>
      <c r="Q24" s="204">
        <f t="shared" si="0"/>
        <v>74.5</v>
      </c>
      <c r="R24" s="198">
        <f t="shared" si="1"/>
        <v>53.5</v>
      </c>
      <c r="S24" s="198">
        <f t="shared" si="6"/>
        <v>46</v>
      </c>
      <c r="T24" s="205">
        <f t="shared" si="4"/>
        <v>1273.2256944444443</v>
      </c>
      <c r="U24" s="206">
        <f>SUMIFS(CODE_PRICE!F:F,CODE_PRICE!B:B,C24,CODE_PRICE!A:A,$A$8)</f>
        <v>0.1895</v>
      </c>
      <c r="V24" s="207">
        <f t="shared" si="2"/>
        <v>241.27626909722221</v>
      </c>
      <c r="W24" s="208" t="str">
        <f>IF(COUNTIF($C$15:C24,C24)=1,C24 &amp; " - " &amp; TEXT(SUMIF($C:$C,C24,$T:$T),"0.00"),"")</f>
        <v/>
      </c>
      <c r="X24" s="209" t="str">
        <f>IF(COUNTIF($C$15:C24,C24)=1,ROUND(SUMIF($C:$C,C24,$V:$V),2), "")</f>
        <v/>
      </c>
    </row>
    <row r="25" spans="1:34" s="210" customFormat="1" ht="31.5" customHeight="1" x14ac:dyDescent="0.2">
      <c r="A25" s="196">
        <f t="shared" si="5"/>
        <v>11</v>
      </c>
      <c r="B25" s="196"/>
      <c r="C25" s="196" t="s">
        <v>89</v>
      </c>
      <c r="D25" s="197"/>
      <c r="E25" s="197" t="s">
        <v>11</v>
      </c>
      <c r="F25" s="198" t="s">
        <v>123</v>
      </c>
      <c r="G25" s="199" t="str">
        <f>IF(COUNTIFS($C$15:C25,C25,$H$15:H25,H25)=1,
SUMIFS($I$15:$I$43,$C$15:$C$43,C25,$H$15:$H$43,H25)&amp;H25&amp;" "&amp;C25,
"")</f>
        <v>10Q CFN30100W</v>
      </c>
      <c r="H25" s="250" t="s">
        <v>16</v>
      </c>
      <c r="I25" s="200">
        <v>1</v>
      </c>
      <c r="J25" s="249"/>
      <c r="K25" s="201" cm="1">
        <f t="array" ref="K25">IF(E25="untrim",_xlfn.XLOOKUP(1,(TRIM('SIZE GUIDE'!$A$3:$A$2015)=TRIM(E25))*(TRIM('SIZE GUIDE'!$B$3:$B$2015)=TRIM(F25))*(TRIM('SIZE GUIDE'!$C$3:$C$2015)=TRIM(H25)),'SIZE GUIDE'!$D$3:$D$2015),"")</f>
        <v>81</v>
      </c>
      <c r="L25" s="265" cm="1">
        <f t="array" ref="L25">IF(E25="untrim",IFERROR(INDEX('SIZE GUIDE'!$E:$E,MATCH(1,('SIZE GUIDE'!$A:$A=$E25)*('SIZE GUIDE'!$B:$B=$F25)*('SIZE GUIDE'!$C:$C=$H25),0)),""),"")</f>
        <v>61</v>
      </c>
      <c r="M25" s="202">
        <v>46.5</v>
      </c>
      <c r="N25" s="203"/>
      <c r="O25" s="203" t="str" cm="1">
        <f t="array" ref="O25">IF(E25="trim",IFERROR(INDEX('SIZE GUIDE'!$E:$E,MATCH(1,('SIZE GUIDE'!$A:$A=$E25)*('SIZE GUIDE'!$B:$B=$F25)*('SIZE GUIDE'!$C:$C=$H25),0)),""),"")</f>
        <v/>
      </c>
      <c r="P25" s="203"/>
      <c r="Q25" s="204">
        <f t="shared" si="0"/>
        <v>79.5</v>
      </c>
      <c r="R25" s="198">
        <f t="shared" si="1"/>
        <v>59.5</v>
      </c>
      <c r="S25" s="198">
        <f t="shared" si="6"/>
        <v>46</v>
      </c>
      <c r="T25" s="205">
        <f t="shared" si="4"/>
        <v>1511.0520833333333</v>
      </c>
      <c r="U25" s="206">
        <f>SUMIFS(CODE_PRICE!F:F,CODE_PRICE!B:B,C25,CODE_PRICE!A:A,$A$8)</f>
        <v>0.1895</v>
      </c>
      <c r="V25" s="207">
        <f t="shared" si="2"/>
        <v>286.34436979166668</v>
      </c>
      <c r="W25" s="208" t="str">
        <f>IF(COUNTIF($C$15:C25,C25)=1,C25 &amp; " - " &amp; TEXT(SUMIF($C:$C,C25,$T:$T),"0.00"),"")</f>
        <v/>
      </c>
      <c r="X25" s="209" t="str">
        <f>IF(COUNTIF($C$15:C25,C25)=1,ROUND(SUMIF($C:$C,C25,$V:$V),2), "")</f>
        <v/>
      </c>
    </row>
    <row r="26" spans="1:34" s="210" customFormat="1" ht="31.5" customHeight="1" x14ac:dyDescent="0.2">
      <c r="A26" s="196">
        <f t="shared" si="5"/>
        <v>12</v>
      </c>
      <c r="B26" s="196"/>
      <c r="C26" s="196" t="s">
        <v>89</v>
      </c>
      <c r="D26" s="197"/>
      <c r="E26" s="197" t="s">
        <v>11</v>
      </c>
      <c r="F26" s="198" t="s">
        <v>123</v>
      </c>
      <c r="G26" s="199" t="str">
        <f>IF(COUNTIFS($C$15:C26,C26,$H$15:H26,H26)=1,
SUMIFS($I$15:$I$43,$C$15:$C$43,C26,$H$15:$H$43,H26)&amp;H26&amp;" "&amp;C26,
"")</f>
        <v/>
      </c>
      <c r="H26" s="250" t="s">
        <v>16</v>
      </c>
      <c r="I26" s="200">
        <v>1</v>
      </c>
      <c r="J26" s="249"/>
      <c r="K26" s="201" cm="1">
        <f t="array" ref="K26">IF(E26="untrim",_xlfn.XLOOKUP(1,(TRIM('SIZE GUIDE'!$A$3:$A$2015)=TRIM(E26))*(TRIM('SIZE GUIDE'!$B$3:$B$2015)=TRIM(F26))*(TRIM('SIZE GUIDE'!$C$3:$C$2015)=TRIM(H26)),'SIZE GUIDE'!$D$3:$D$2015),"")</f>
        <v>81</v>
      </c>
      <c r="L26" s="265" cm="1">
        <f t="array" ref="L26">IF(E26="untrim",IFERROR(INDEX('SIZE GUIDE'!$E:$E,MATCH(1,('SIZE GUIDE'!$A:$A=$E26)*('SIZE GUIDE'!$B:$B=$F26)*('SIZE GUIDE'!$C:$C=$H26),0)),""),"")</f>
        <v>61</v>
      </c>
      <c r="M26" s="202">
        <v>46.5</v>
      </c>
      <c r="N26" s="203" t="str" cm="1">
        <f t="array" ref="N26">IF(E26="trim",_xlfn.XLOOKUP(1,(TRIM('SIZE GUIDE'!$A$3:$A$2015)=TRIM(E26))*(TRIM('SIZE GUIDE'!$B$3:$B$2015)=TRIM(F26))*(TRIM('SIZE GUIDE'!$C$3:$C$2015)=TRIM(H26)),'SIZE GUIDE'!$D$3:$D$2015),"")</f>
        <v/>
      </c>
      <c r="O26" s="203" t="str" cm="1">
        <f t="array" ref="O26">IF(E26="trim",IFERROR(INDEX('SIZE GUIDE'!$E:$E,MATCH(1,('SIZE GUIDE'!$A:$A=$E26)*('SIZE GUIDE'!$B:$B=$F26)*('SIZE GUIDE'!$C:$C=$H26),0)),""),"")</f>
        <v/>
      </c>
      <c r="P26" s="203"/>
      <c r="Q26" s="204">
        <f t="shared" si="0"/>
        <v>79.5</v>
      </c>
      <c r="R26" s="198">
        <f t="shared" si="1"/>
        <v>59.5</v>
      </c>
      <c r="S26" s="198">
        <f t="shared" si="6"/>
        <v>45</v>
      </c>
      <c r="T26" s="205">
        <f t="shared" si="4"/>
        <v>1478.203125</v>
      </c>
      <c r="U26" s="206">
        <f>SUMIFS(CODE_PRICE!F:F,CODE_PRICE!B:B,C26,CODE_PRICE!A:A,$A$8)</f>
        <v>0.1895</v>
      </c>
      <c r="V26" s="207">
        <f t="shared" si="2"/>
        <v>280.11949218749999</v>
      </c>
      <c r="W26" s="208" t="str">
        <f>IF(COUNTIF($C$15:C26,C26)=1,C26 &amp; " - " &amp; TEXT(SUMIF($C:$C,C26,$T:$T),"0.00"),"")</f>
        <v/>
      </c>
      <c r="X26" s="209" t="str">
        <f>IF(COUNTIF($C$15:C26,C26)=1,ROUND(SUMIF($C:$C,C26,$V:$V),2), "")</f>
        <v/>
      </c>
    </row>
    <row r="27" spans="1:34" s="210" customFormat="1" ht="31.5" customHeight="1" x14ac:dyDescent="0.2">
      <c r="A27" s="196">
        <f t="shared" si="5"/>
        <v>13</v>
      </c>
      <c r="B27" s="196"/>
      <c r="C27" s="196" t="s">
        <v>89</v>
      </c>
      <c r="D27" s="197"/>
      <c r="E27" s="197" t="s">
        <v>11</v>
      </c>
      <c r="F27" s="198" t="s">
        <v>123</v>
      </c>
      <c r="G27" s="199" t="str">
        <f>IF(COUNTIFS($C$15:C27,C27,$H$15:H27,H27)=1,
SUMIFS($I$15:$I$43,$C$15:$C$43,C27,$H$15:$H$43,H27)&amp;H27&amp;" "&amp;C27,
"")</f>
        <v/>
      </c>
      <c r="H27" s="250" t="s">
        <v>16</v>
      </c>
      <c r="I27" s="200">
        <v>1</v>
      </c>
      <c r="J27" s="249"/>
      <c r="K27" s="201" cm="1">
        <f t="array" ref="K27">IF(E27="untrim",_xlfn.XLOOKUP(1,(TRIM('SIZE GUIDE'!$A$3:$A$2015)=TRIM(E27))*(TRIM('SIZE GUIDE'!$B$3:$B$2015)=TRIM(F27))*(TRIM('SIZE GUIDE'!$C$3:$C$2015)=TRIM(H27)),'SIZE GUIDE'!$D$3:$D$2015),"")</f>
        <v>81</v>
      </c>
      <c r="L27" s="265" cm="1">
        <f t="array" ref="L27">IF(E27="untrim",IFERROR(INDEX('SIZE GUIDE'!$E:$E,MATCH(1,('SIZE GUIDE'!$A:$A=$E27)*('SIZE GUIDE'!$B:$B=$F27)*('SIZE GUIDE'!$C:$C=$H27),0)),""),"")</f>
        <v>61</v>
      </c>
      <c r="M27" s="202">
        <v>45.5</v>
      </c>
      <c r="N27" s="203" t="str" cm="1">
        <f t="array" ref="N27">IF(E27="trim",_xlfn.XLOOKUP(1,(TRIM('SIZE GUIDE'!$A$3:$A$2015)=TRIM(E27))*(TRIM('SIZE GUIDE'!$B$3:$B$2015)=TRIM(F27))*(TRIM('SIZE GUIDE'!$C$3:$C$2015)=TRIM(H27)),'SIZE GUIDE'!$D$3:$D$2015),"")</f>
        <v/>
      </c>
      <c r="O27" s="203" t="str" cm="1">
        <f t="array" ref="O27">IF(E27="trim",IFERROR(INDEX('SIZE GUIDE'!$E:$E,MATCH(1,('SIZE GUIDE'!$A:$A=$E27)*('SIZE GUIDE'!$B:$B=$F27)*('SIZE GUIDE'!$C:$C=$H27),0)),""),"")</f>
        <v/>
      </c>
      <c r="P27" s="203"/>
      <c r="Q27" s="204">
        <f t="shared" si="0"/>
        <v>79.5</v>
      </c>
      <c r="R27" s="198">
        <f t="shared" si="1"/>
        <v>59.5</v>
      </c>
      <c r="S27" s="198">
        <f t="shared" si="3"/>
        <v>45</v>
      </c>
      <c r="T27" s="205">
        <f t="shared" si="4"/>
        <v>1478.203125</v>
      </c>
      <c r="U27" s="206">
        <f>SUMIFS(CODE_PRICE!F:F,CODE_PRICE!B:B,C27,CODE_PRICE!A:A,$A$8)</f>
        <v>0.1895</v>
      </c>
      <c r="V27" s="207">
        <f t="shared" si="2"/>
        <v>280.11949218749999</v>
      </c>
      <c r="W27" s="208" t="str">
        <f>IF(COUNTIF($C$15:C27,C27)=1,C27 &amp; " - " &amp; TEXT(SUMIF($C:$C,C27,$T:$T),"0.00"),"")</f>
        <v/>
      </c>
      <c r="X27" s="209" t="str">
        <f>IF(COUNTIF($C$15:C27,C27)=1,ROUND(SUMIF($C:$C,C27,$V:$V),2), "")</f>
        <v/>
      </c>
    </row>
    <row r="28" spans="1:34" s="210" customFormat="1" ht="31.5" customHeight="1" x14ac:dyDescent="0.2">
      <c r="A28" s="196">
        <f t="shared" si="5"/>
        <v>14</v>
      </c>
      <c r="B28" s="196"/>
      <c r="C28" s="196" t="s">
        <v>89</v>
      </c>
      <c r="D28" s="197"/>
      <c r="E28" s="197" t="s">
        <v>11</v>
      </c>
      <c r="F28" s="198" t="s">
        <v>123</v>
      </c>
      <c r="G28" s="199" t="str">
        <f>IF(COUNTIFS($C$15:C28,C28,$H$15:H28,H28)=1,
SUMIFS($I$15:$I$43,$C$15:$C$43,C28,$H$15:$H$43,H28)&amp;H28&amp;" "&amp;C28,
"")</f>
        <v/>
      </c>
      <c r="H28" s="250" t="s">
        <v>16</v>
      </c>
      <c r="I28" s="200">
        <v>1</v>
      </c>
      <c r="J28" s="249"/>
      <c r="K28" s="201" cm="1">
        <f t="array" ref="K28">IF(E28="untrim",_xlfn.XLOOKUP(1,(TRIM('SIZE GUIDE'!$A$3:$A$2015)=TRIM(E28))*(TRIM('SIZE GUIDE'!$B$3:$B$2015)=TRIM(F28))*(TRIM('SIZE GUIDE'!$C$3:$C$2015)=TRIM(H28)),'SIZE GUIDE'!$D$3:$D$2015),"")</f>
        <v>81</v>
      </c>
      <c r="L28" s="265" cm="1">
        <f t="array" ref="L28">IF(E28="untrim",IFERROR(INDEX('SIZE GUIDE'!$E:$E,MATCH(1,('SIZE GUIDE'!$A:$A=$E28)*('SIZE GUIDE'!$B:$B=$F28)*('SIZE GUIDE'!$C:$C=$H28),0)),""),"")</f>
        <v>61</v>
      </c>
      <c r="M28" s="202">
        <v>46.5</v>
      </c>
      <c r="N28" s="203" t="str" cm="1">
        <f t="array" ref="N28">IF(E28="trim",_xlfn.XLOOKUP(1,(TRIM('SIZE GUIDE'!$A$3:$A$2015)=TRIM(E28))*(TRIM('SIZE GUIDE'!$B$3:$B$2015)=TRIM(F28))*(TRIM('SIZE GUIDE'!$C$3:$C$2015)=TRIM(H28)),'SIZE GUIDE'!$D$3:$D$2015),"")</f>
        <v/>
      </c>
      <c r="O28" s="203" t="str" cm="1">
        <f t="array" ref="O28">IF(E28="trim",IFERROR(INDEX('SIZE GUIDE'!$E:$E,MATCH(1,('SIZE GUIDE'!$A:$A=$E28)*('SIZE GUIDE'!$B:$B=$F28)*('SIZE GUIDE'!$C:$C=$H28),0)),""),"")</f>
        <v/>
      </c>
      <c r="P28" s="203"/>
      <c r="Q28" s="204">
        <f t="shared" si="0"/>
        <v>79.5</v>
      </c>
      <c r="R28" s="198">
        <f t="shared" si="1"/>
        <v>59.5</v>
      </c>
      <c r="S28" s="198">
        <f t="shared" si="3"/>
        <v>46</v>
      </c>
      <c r="T28" s="205">
        <f t="shared" si="4"/>
        <v>1511.0520833333333</v>
      </c>
      <c r="U28" s="206">
        <f>SUMIFS(CODE_PRICE!F:F,CODE_PRICE!B:B,C28,CODE_PRICE!A:A,$A$8)</f>
        <v>0.1895</v>
      </c>
      <c r="V28" s="207">
        <f t="shared" si="2"/>
        <v>286.34436979166668</v>
      </c>
      <c r="W28" s="208" t="str">
        <f>IF(COUNTIF($C$15:C28,C28)=1,C28 &amp; " - " &amp; TEXT(SUMIF($C:$C,C28,$T:$T),"0.00"),"")</f>
        <v/>
      </c>
      <c r="X28" s="209" t="str">
        <f>IF(COUNTIF($C$15:C28,C28)=1,ROUND(SUMIF($C:$C,C28,$V:$V),2), "")</f>
        <v/>
      </c>
    </row>
    <row r="29" spans="1:34" s="210" customFormat="1" ht="31.5" customHeight="1" x14ac:dyDescent="0.2">
      <c r="A29" s="196">
        <f t="shared" si="5"/>
        <v>15</v>
      </c>
      <c r="B29" s="196"/>
      <c r="C29" s="196" t="s">
        <v>89</v>
      </c>
      <c r="D29" s="197"/>
      <c r="E29" s="197" t="s">
        <v>11</v>
      </c>
      <c r="F29" s="198" t="s">
        <v>123</v>
      </c>
      <c r="G29" s="199" t="str">
        <f>IF(COUNTIFS($C$15:C29,C29,$H$15:H29,H29)=1,
SUMIFS($I$15:$I$43,$C$15:$C$43,C29,$H$15:$H$43,H29)&amp;H29&amp;" "&amp;C29,
"")</f>
        <v/>
      </c>
      <c r="H29" s="250" t="s">
        <v>16</v>
      </c>
      <c r="I29" s="200">
        <v>1</v>
      </c>
      <c r="J29" s="249"/>
      <c r="K29" s="201" cm="1">
        <f t="array" ref="K29">IF(E29="untrim",_xlfn.XLOOKUP(1,(TRIM('SIZE GUIDE'!$A$3:$A$2015)=TRIM(E29))*(TRIM('SIZE GUIDE'!$B$3:$B$2015)=TRIM(F29))*(TRIM('SIZE GUIDE'!$C$3:$C$2015)=TRIM(H29)),'SIZE GUIDE'!$D$3:$D$2015),"")</f>
        <v>81</v>
      </c>
      <c r="L29" s="265" cm="1">
        <f t="array" ref="L29">IF(E29="untrim",IFERROR(INDEX('SIZE GUIDE'!$E:$E,MATCH(1,('SIZE GUIDE'!$A:$A=$E29)*('SIZE GUIDE'!$B:$B=$F29)*('SIZE GUIDE'!$C:$C=$H29),0)),""),"")</f>
        <v>61</v>
      </c>
      <c r="M29" s="202">
        <v>46</v>
      </c>
      <c r="N29" s="203" t="str" cm="1">
        <f t="array" ref="N29">IF(E29="trim",_xlfn.XLOOKUP(1,(TRIM('SIZE GUIDE'!$A$3:$A$2015)=TRIM(E29))*(TRIM('SIZE GUIDE'!$B$3:$B$2015)=TRIM(F29))*(TRIM('SIZE GUIDE'!$C$3:$C$2015)=TRIM(H29)),'SIZE GUIDE'!$D$3:$D$2015),"")</f>
        <v/>
      </c>
      <c r="O29" s="203" t="str" cm="1">
        <f t="array" ref="O29">IF(E29="trim",IFERROR(INDEX('SIZE GUIDE'!$E:$E,MATCH(1,('SIZE GUIDE'!$A:$A=$E29)*('SIZE GUIDE'!$B:$B=$F29)*('SIZE GUIDE'!$C:$C=$H29),0)),""),"")</f>
        <v/>
      </c>
      <c r="P29" s="203"/>
      <c r="Q29" s="204">
        <f t="shared" si="0"/>
        <v>79.5</v>
      </c>
      <c r="R29" s="198">
        <f t="shared" si="1"/>
        <v>59.5</v>
      </c>
      <c r="S29" s="198">
        <f t="shared" si="3"/>
        <v>45.5</v>
      </c>
      <c r="T29" s="205">
        <f t="shared" si="4"/>
        <v>1494.6276041666667</v>
      </c>
      <c r="U29" s="206">
        <f>SUMIFS(CODE_PRICE!F:F,CODE_PRICE!B:B,C29,CODE_PRICE!A:A,$A$8)</f>
        <v>0.1895</v>
      </c>
      <c r="V29" s="207">
        <f t="shared" si="2"/>
        <v>283.23193098958336</v>
      </c>
      <c r="W29" s="208" t="str">
        <f>IF(COUNTIF($C$15:C29,C29)=1,C29 &amp; " - " &amp; TEXT(SUMIF($C:$C,C29,$T:$T),"0.00"),"")</f>
        <v/>
      </c>
      <c r="X29" s="209" t="str">
        <f>IF(COUNTIF($C$15:C29,C29)=1,ROUND(SUMIF($C:$C,C29,$V:$V),2), "")</f>
        <v/>
      </c>
    </row>
    <row r="30" spans="1:34" s="210" customFormat="1" ht="31.5" customHeight="1" x14ac:dyDescent="0.2">
      <c r="A30" s="196">
        <f t="shared" si="5"/>
        <v>16</v>
      </c>
      <c r="B30" s="196"/>
      <c r="C30" s="196" t="s">
        <v>89</v>
      </c>
      <c r="D30" s="197"/>
      <c r="E30" s="197" t="s">
        <v>11</v>
      </c>
      <c r="F30" s="198" t="s">
        <v>123</v>
      </c>
      <c r="G30" s="199" t="str">
        <f>IF(COUNTIFS($C$15:C30,C30,$H$15:H30,H30)=1,
SUMIFS($I$15:$I$43,$C$15:$C$43,C30,$H$15:$H$43,H30)&amp;H30&amp;" "&amp;C30,
"")</f>
        <v/>
      </c>
      <c r="H30" s="250" t="s">
        <v>16</v>
      </c>
      <c r="I30" s="200">
        <v>1</v>
      </c>
      <c r="J30" s="249"/>
      <c r="K30" s="201" cm="1">
        <f t="array" ref="K30">IF(E30="untrim",_xlfn.XLOOKUP(1,(TRIM('SIZE GUIDE'!$A$3:$A$2015)=TRIM(E30))*(TRIM('SIZE GUIDE'!$B$3:$B$2015)=TRIM(F30))*(TRIM('SIZE GUIDE'!$C$3:$C$2015)=TRIM(H30)),'SIZE GUIDE'!$D$3:$D$2015),"")</f>
        <v>81</v>
      </c>
      <c r="L30" s="265" cm="1">
        <f t="array" ref="L30">IF(E30="untrim",IFERROR(INDEX('SIZE GUIDE'!$E:$E,MATCH(1,('SIZE GUIDE'!$A:$A=$E30)*('SIZE GUIDE'!$B:$B=$F30)*('SIZE GUIDE'!$C:$C=$H30),0)),""),"")</f>
        <v>61</v>
      </c>
      <c r="M30" s="202">
        <v>46</v>
      </c>
      <c r="N30" s="203" t="str" cm="1">
        <f t="array" ref="N30">IF(E30="trim",_xlfn.XLOOKUP(1,(TRIM('SIZE GUIDE'!$A$3:$A$2015)=TRIM(E30))*(TRIM('SIZE GUIDE'!$B$3:$B$2015)=TRIM(F30))*(TRIM('SIZE GUIDE'!$C$3:$C$2015)=TRIM(H30)),'SIZE GUIDE'!$D$3:$D$2015),"")</f>
        <v/>
      </c>
      <c r="O30" s="203" t="str" cm="1">
        <f t="array" ref="O30">IF(E30="trim",IFERROR(INDEX('SIZE GUIDE'!$E:$E,MATCH(1,('SIZE GUIDE'!$A:$A=$E30)*('SIZE GUIDE'!$B:$B=$F30)*('SIZE GUIDE'!$C:$C=$H30),0)),""),"")</f>
        <v/>
      </c>
      <c r="P30" s="203"/>
      <c r="Q30" s="204">
        <f t="shared" si="0"/>
        <v>79.5</v>
      </c>
      <c r="R30" s="198">
        <f t="shared" si="1"/>
        <v>59.5</v>
      </c>
      <c r="S30" s="198">
        <f t="shared" si="3"/>
        <v>45.5</v>
      </c>
      <c r="T30" s="205">
        <f t="shared" si="4"/>
        <v>1494.6276041666667</v>
      </c>
      <c r="U30" s="206">
        <f>SUMIFS(CODE_PRICE!F:F,CODE_PRICE!B:B,C30,CODE_PRICE!A:A,$A$8)</f>
        <v>0.1895</v>
      </c>
      <c r="V30" s="207">
        <f t="shared" si="2"/>
        <v>283.23193098958336</v>
      </c>
      <c r="W30" s="208" t="str">
        <f>IF(COUNTIF($C$15:C30,C30)=1,C30 &amp; " - " &amp; TEXT(SUMIF($C:$C,C30,$T:$T),"0.00"),"")</f>
        <v/>
      </c>
      <c r="X30" s="209" t="str">
        <f>IF(COUNTIF($C$15:C30,C30)=1,ROUND(SUMIF($C:$C,C30,$V:$V),2), "")</f>
        <v/>
      </c>
    </row>
    <row r="31" spans="1:34" s="210" customFormat="1" ht="31.5" customHeight="1" x14ac:dyDescent="0.2">
      <c r="A31" s="196">
        <f t="shared" si="5"/>
        <v>17</v>
      </c>
      <c r="B31" s="196"/>
      <c r="C31" s="196" t="s">
        <v>89</v>
      </c>
      <c r="D31" s="197"/>
      <c r="E31" s="197" t="s">
        <v>11</v>
      </c>
      <c r="F31" s="198" t="s">
        <v>123</v>
      </c>
      <c r="G31" s="199" t="str">
        <f>IF(COUNTIFS($C$15:C31,C31,$H$15:H31,H31)=1,
SUMIFS($I$15:$I$43,$C$15:$C$43,C31,$H$15:$H$43,H31)&amp;H31&amp;" "&amp;C31,
"")</f>
        <v/>
      </c>
      <c r="H31" s="250" t="s">
        <v>16</v>
      </c>
      <c r="I31" s="200">
        <v>1</v>
      </c>
      <c r="J31" s="249"/>
      <c r="K31" s="201" cm="1">
        <f t="array" ref="K31">IF(E31="untrim",_xlfn.XLOOKUP(1,(TRIM('SIZE GUIDE'!$A$3:$A$2015)=TRIM(E31))*(TRIM('SIZE GUIDE'!$B$3:$B$2015)=TRIM(F31))*(TRIM('SIZE GUIDE'!$C$3:$C$2015)=TRIM(H31)),'SIZE GUIDE'!$D$3:$D$2015),"")</f>
        <v>81</v>
      </c>
      <c r="L31" s="265" cm="1">
        <f t="array" ref="L31">IF(E31="untrim",IFERROR(INDEX('SIZE GUIDE'!$E:$E,MATCH(1,('SIZE GUIDE'!$A:$A=$E31)*('SIZE GUIDE'!$B:$B=$F31)*('SIZE GUIDE'!$C:$C=$H31),0)),""),"")</f>
        <v>61</v>
      </c>
      <c r="M31" s="202">
        <v>41</v>
      </c>
      <c r="N31" s="203" t="str" cm="1">
        <f t="array" ref="N31">IF(E31="trim",_xlfn.XLOOKUP(1,(TRIM('SIZE GUIDE'!$A$3:$A$2015)=TRIM(E31))*(TRIM('SIZE GUIDE'!$B$3:$B$2015)=TRIM(F31))*(TRIM('SIZE GUIDE'!$C$3:$C$2015)=TRIM(H31)),'SIZE GUIDE'!$D$3:$D$2015),"")</f>
        <v/>
      </c>
      <c r="O31" s="203" t="str" cm="1">
        <f t="array" ref="O31">IF(E31="trim",IFERROR(INDEX('SIZE GUIDE'!$E:$E,MATCH(1,('SIZE GUIDE'!$A:$A=$E31)*('SIZE GUIDE'!$B:$B=$F31)*('SIZE GUIDE'!$C:$C=$H31),0)),""),"")</f>
        <v/>
      </c>
      <c r="P31" s="203"/>
      <c r="Q31" s="204">
        <f t="shared" si="0"/>
        <v>79.5</v>
      </c>
      <c r="R31" s="198">
        <f t="shared" si="1"/>
        <v>59.5</v>
      </c>
      <c r="S31" s="198">
        <f t="shared" si="3"/>
        <v>40.5</v>
      </c>
      <c r="T31" s="205">
        <f t="shared" si="4"/>
        <v>1330.3828125</v>
      </c>
      <c r="U31" s="206">
        <f>SUMIFS(CODE_PRICE!F:F,CODE_PRICE!B:B,C31,CODE_PRICE!A:A,$A$8)</f>
        <v>0.1895</v>
      </c>
      <c r="V31" s="207">
        <f t="shared" si="2"/>
        <v>252.10754296875001</v>
      </c>
      <c r="W31" s="208" t="str">
        <f>IF(COUNTIF($C$15:C31,C31)=1,C31 &amp; " - " &amp; TEXT(SUMIF($C:$C,C31,$T:$T),"0.00"),"")</f>
        <v/>
      </c>
      <c r="X31" s="209" t="str">
        <f>IF(COUNTIF($C$15:C31,C31)=1,ROUND(SUMIF($C:$C,C31,$V:$V),2), "")</f>
        <v/>
      </c>
    </row>
    <row r="32" spans="1:34" s="210" customFormat="1" ht="31.5" customHeight="1" x14ac:dyDescent="0.2">
      <c r="A32" s="196">
        <f t="shared" si="5"/>
        <v>18</v>
      </c>
      <c r="B32" s="196"/>
      <c r="C32" s="196" t="s">
        <v>89</v>
      </c>
      <c r="D32" s="197"/>
      <c r="E32" s="197" t="s">
        <v>11</v>
      </c>
      <c r="F32" s="198" t="s">
        <v>123</v>
      </c>
      <c r="G32" s="199" t="str">
        <f>IF(COUNTIFS($C$15:C32,C32,$H$15:H32,H32)=1,
SUMIFS($I$15:$I$43,$C$15:$C$43,C32,$H$15:$H$43,H32)&amp;H32&amp;" "&amp;C32,
"")</f>
        <v/>
      </c>
      <c r="H32" s="250" t="s">
        <v>16</v>
      </c>
      <c r="I32" s="200">
        <v>1</v>
      </c>
      <c r="J32" s="249"/>
      <c r="K32" s="201" cm="1">
        <f t="array" ref="K32">IF(E32="untrim",_xlfn.XLOOKUP(1,(TRIM('SIZE GUIDE'!$A$3:$A$2015)=TRIM(E32))*(TRIM('SIZE GUIDE'!$B$3:$B$2015)=TRIM(F32))*(TRIM('SIZE GUIDE'!$C$3:$C$2015)=TRIM(H32)),'SIZE GUIDE'!$D$3:$D$2015),"")</f>
        <v>81</v>
      </c>
      <c r="L32" s="265" cm="1">
        <f t="array" ref="L32">IF(E32="untrim",IFERROR(INDEX('SIZE GUIDE'!$E:$E,MATCH(1,('SIZE GUIDE'!$A:$A=$E32)*('SIZE GUIDE'!$B:$B=$F32)*('SIZE GUIDE'!$C:$C=$H32),0)),""),"")</f>
        <v>61</v>
      </c>
      <c r="M32" s="202">
        <v>46.5</v>
      </c>
      <c r="N32" s="203" t="str" cm="1">
        <f t="array" ref="N32">IF(E32="trim",_xlfn.XLOOKUP(1,(TRIM('SIZE GUIDE'!$A$3:$A$2015)=TRIM(E32))*(TRIM('SIZE GUIDE'!$B$3:$B$2015)=TRIM(F32))*(TRIM('SIZE GUIDE'!$C$3:$C$2015)=TRIM(H32)),'SIZE GUIDE'!$D$3:$D$2015),"")</f>
        <v/>
      </c>
      <c r="O32" s="203" t="str" cm="1">
        <f t="array" ref="O32">IF(E32="trim",IFERROR(INDEX('SIZE GUIDE'!$E:$E,MATCH(1,('SIZE GUIDE'!$A:$A=$E32)*('SIZE GUIDE'!$B:$B=$F32)*('SIZE GUIDE'!$C:$C=$H32),0)),""),"")</f>
        <v/>
      </c>
      <c r="P32" s="203"/>
      <c r="Q32" s="204">
        <f t="shared" si="0"/>
        <v>79.5</v>
      </c>
      <c r="R32" s="198">
        <f t="shared" si="1"/>
        <v>59.5</v>
      </c>
      <c r="S32" s="198">
        <f t="shared" si="3"/>
        <v>46</v>
      </c>
      <c r="T32" s="205">
        <f t="shared" si="4"/>
        <v>1511.0520833333333</v>
      </c>
      <c r="U32" s="206">
        <f>SUMIFS(CODE_PRICE!F:F,CODE_PRICE!B:B,C32,CODE_PRICE!A:A,$A$8)</f>
        <v>0.1895</v>
      </c>
      <c r="V32" s="207">
        <f t="shared" si="2"/>
        <v>286.34436979166668</v>
      </c>
      <c r="W32" s="208" t="str">
        <f>IF(COUNTIF($C$15:C32,C32)=1,C32 &amp; " - " &amp; TEXT(SUMIF($C:$C,C32,$T:$T),"0.00"),"")</f>
        <v/>
      </c>
      <c r="X32" s="209" t="str">
        <f>IF(COUNTIF($C$15:C32,C32)=1,ROUND(SUMIF($C:$C,C32,$V:$V),2), "")</f>
        <v/>
      </c>
    </row>
    <row r="33" spans="1:24" s="210" customFormat="1" ht="31.5" customHeight="1" x14ac:dyDescent="0.2">
      <c r="A33" s="196">
        <f t="shared" si="5"/>
        <v>19</v>
      </c>
      <c r="B33" s="196"/>
      <c r="C33" s="196" t="s">
        <v>89</v>
      </c>
      <c r="D33" s="197"/>
      <c r="E33" s="197" t="s">
        <v>11</v>
      </c>
      <c r="F33" s="198" t="s">
        <v>123</v>
      </c>
      <c r="G33" s="199" t="str">
        <f>IF(COUNTIFS($C$15:C33,C33,$H$15:H33,H33)=1,
SUMIFS($I$15:$I$43,$C$15:$C$43,C33,$H$15:$H$43,H33)&amp;H33&amp;" "&amp;C33,
"")</f>
        <v/>
      </c>
      <c r="H33" s="250" t="s">
        <v>16</v>
      </c>
      <c r="I33" s="200">
        <v>1</v>
      </c>
      <c r="J33" s="249"/>
      <c r="K33" s="201" cm="1">
        <f t="array" ref="K33">IF(E33="untrim",_xlfn.XLOOKUP(1,(TRIM('SIZE GUIDE'!$A$3:$A$2015)=TRIM(E33))*(TRIM('SIZE GUIDE'!$B$3:$B$2015)=TRIM(F33))*(TRIM('SIZE GUIDE'!$C$3:$C$2015)=TRIM(H33)),'SIZE GUIDE'!$D$3:$D$2015),"")</f>
        <v>81</v>
      </c>
      <c r="L33" s="265" cm="1">
        <f t="array" ref="L33">IF(E33="untrim",IFERROR(INDEX('SIZE GUIDE'!$E:$E,MATCH(1,('SIZE GUIDE'!$A:$A=$E33)*('SIZE GUIDE'!$B:$B=$F33)*('SIZE GUIDE'!$C:$C=$H33),0)),""),"")</f>
        <v>61</v>
      </c>
      <c r="M33" s="202">
        <v>45</v>
      </c>
      <c r="N33" s="203" t="str" cm="1">
        <f t="array" ref="N33">IF(E33="trim",_xlfn.XLOOKUP(1,(TRIM('SIZE GUIDE'!$A$3:$A$2015)=TRIM(E33))*(TRIM('SIZE GUIDE'!$B$3:$B$2015)=TRIM(F33))*(TRIM('SIZE GUIDE'!$C$3:$C$2015)=TRIM(H33)),'SIZE GUIDE'!$D$3:$D$2015),"")</f>
        <v/>
      </c>
      <c r="O33" s="203" t="str" cm="1">
        <f t="array" ref="O33">IF(E33="trim",IFERROR(INDEX('SIZE GUIDE'!$E:$E,MATCH(1,('SIZE GUIDE'!$A:$A=$E33)*('SIZE GUIDE'!$B:$B=$F33)*('SIZE GUIDE'!$C:$C=$H33),0)),""),"")</f>
        <v/>
      </c>
      <c r="P33" s="203"/>
      <c r="Q33" s="204">
        <f t="shared" si="0"/>
        <v>79.5</v>
      </c>
      <c r="R33" s="198">
        <f t="shared" si="1"/>
        <v>59.5</v>
      </c>
      <c r="S33" s="198">
        <f t="shared" si="3"/>
        <v>44.5</v>
      </c>
      <c r="T33" s="205">
        <f t="shared" si="4"/>
        <v>1461.7786458333333</v>
      </c>
      <c r="U33" s="206">
        <f>SUMIFS(CODE_PRICE!F:F,CODE_PRICE!B:B,C33,CODE_PRICE!A:A,$A$8)</f>
        <v>0.1895</v>
      </c>
      <c r="V33" s="207">
        <f t="shared" si="2"/>
        <v>277.00705338541667</v>
      </c>
      <c r="W33" s="208" t="str">
        <f>IF(COUNTIF($C$15:C33,C33)=1,C33 &amp; " - " &amp; TEXT(SUMIF($C:$C,C33,$T:$T),"0.00"),"")</f>
        <v/>
      </c>
      <c r="X33" s="209" t="str">
        <f>IF(COUNTIF($C$15:C33,C33)=1,ROUND(SUMIF($C:$C,C33,$V:$V),2), "")</f>
        <v/>
      </c>
    </row>
    <row r="34" spans="1:24" s="210" customFormat="1" ht="31.5" customHeight="1" x14ac:dyDescent="0.2">
      <c r="A34" s="196">
        <f t="shared" si="5"/>
        <v>20</v>
      </c>
      <c r="B34" s="196"/>
      <c r="C34" s="196" t="s">
        <v>89</v>
      </c>
      <c r="D34" s="197"/>
      <c r="E34" s="197" t="s">
        <v>11</v>
      </c>
      <c r="F34" s="198" t="s">
        <v>123</v>
      </c>
      <c r="G34" s="199" t="str">
        <f>IF(COUNTIFS($C$15:C34,C34,$H$15:H34,H34)=1,
SUMIFS($I$15:$I$43,$C$15:$C$43,C34,$H$15:$H$43,H34)&amp;H34&amp;" "&amp;C34,
"")</f>
        <v/>
      </c>
      <c r="H34" s="250" t="s">
        <v>16</v>
      </c>
      <c r="I34" s="200">
        <v>1</v>
      </c>
      <c r="J34" s="249"/>
      <c r="K34" s="201" cm="1">
        <f t="array" ref="K34">IF(E34="untrim",_xlfn.XLOOKUP(1,(TRIM('SIZE GUIDE'!$A$3:$A$2015)=TRIM(E34))*(TRIM('SIZE GUIDE'!$B$3:$B$2015)=TRIM(F34))*(TRIM('SIZE GUIDE'!$C$3:$C$2015)=TRIM(H34)),'SIZE GUIDE'!$D$3:$D$2015),"")</f>
        <v>81</v>
      </c>
      <c r="L34" s="265" cm="1">
        <f t="array" ref="L34">IF(E34="untrim",IFERROR(INDEX('SIZE GUIDE'!$E:$E,MATCH(1,('SIZE GUIDE'!$A:$A=$E34)*('SIZE GUIDE'!$B:$B=$F34)*('SIZE GUIDE'!$C:$C=$H34),0)),""),"")</f>
        <v>61</v>
      </c>
      <c r="M34" s="202">
        <v>46</v>
      </c>
      <c r="N34" s="203" t="str" cm="1">
        <f t="array" ref="N34">IF(E34="trim",_xlfn.XLOOKUP(1,(TRIM('SIZE GUIDE'!$A$3:$A$2015)=TRIM(E34))*(TRIM('SIZE GUIDE'!$B$3:$B$2015)=TRIM(F34))*(TRIM('SIZE GUIDE'!$C$3:$C$2015)=TRIM(H34)),'SIZE GUIDE'!$D$3:$D$2015),"")</f>
        <v/>
      </c>
      <c r="O34" s="203" t="str" cm="1">
        <f t="array" ref="O34">IF(E34="trim",IFERROR(INDEX('SIZE GUIDE'!$E:$E,MATCH(1,('SIZE GUIDE'!$A:$A=$E34)*('SIZE GUIDE'!$B:$B=$F34)*('SIZE GUIDE'!$C:$C=$H34),0)),""),"")</f>
        <v/>
      </c>
      <c r="P34" s="203"/>
      <c r="Q34" s="204">
        <f t="shared" si="0"/>
        <v>79.5</v>
      </c>
      <c r="R34" s="198">
        <f t="shared" si="1"/>
        <v>59.5</v>
      </c>
      <c r="S34" s="198">
        <f t="shared" si="3"/>
        <v>45.5</v>
      </c>
      <c r="T34" s="205">
        <f t="shared" si="4"/>
        <v>1494.6276041666667</v>
      </c>
      <c r="U34" s="206">
        <f>SUMIFS(CODE_PRICE!F:F,CODE_PRICE!B:B,C34,CODE_PRICE!A:A,$A$8)</f>
        <v>0.1895</v>
      </c>
      <c r="V34" s="207">
        <f t="shared" si="2"/>
        <v>283.23193098958336</v>
      </c>
      <c r="W34" s="208" t="str">
        <f>IF(COUNTIF($C$15:C34,C34)=1,C34 &amp; " - " &amp; TEXT(SUMIF($C:$C,C34,$T:$T),"0.00"),"")</f>
        <v/>
      </c>
      <c r="X34" s="209" t="str">
        <f>IF(COUNTIF($C$15:C34,C34)=1,ROUND(SUMIF($C:$C,C34,$V:$V),2), "")</f>
        <v/>
      </c>
    </row>
    <row r="35" spans="1:24" s="210" customFormat="1" ht="31.5" customHeight="1" x14ac:dyDescent="0.2">
      <c r="A35" s="196">
        <f t="shared" si="5"/>
        <v>21</v>
      </c>
      <c r="B35" s="196"/>
      <c r="C35" s="196" t="s">
        <v>89</v>
      </c>
      <c r="D35" s="197"/>
      <c r="E35" s="197" t="s">
        <v>11</v>
      </c>
      <c r="F35" s="198" t="s">
        <v>123</v>
      </c>
      <c r="G35" s="199" t="str">
        <f>IF(COUNTIFS($C$15:C35,C35,$H$15:H35,H35)=1,
SUMIFS($I$15:$I$43,$C$15:$C$43,C35,$H$15:$H$43,H35)&amp;H35&amp;" "&amp;C35,
"")</f>
        <v>2K CFN30100W</v>
      </c>
      <c r="H35" s="250" t="s">
        <v>18</v>
      </c>
      <c r="I35" s="200">
        <v>1</v>
      </c>
      <c r="J35" s="249"/>
      <c r="K35" s="201" cm="1">
        <f t="array" ref="K35">IF(E35="untrim",_xlfn.XLOOKUP(1,(TRIM('SIZE GUIDE'!$A$3:$A$2015)=TRIM(E35))*(TRIM('SIZE GUIDE'!$B$3:$B$2015)=TRIM(F35))*(TRIM('SIZE GUIDE'!$C$3:$C$2015)=TRIM(H35)),'SIZE GUIDE'!$D$3:$D$2015),"")</f>
        <v>81</v>
      </c>
      <c r="L35" s="265" cm="1">
        <f t="array" ref="L35">IF(E35="untrim",IFERROR(INDEX('SIZE GUIDE'!$E:$E,MATCH(1,('SIZE GUIDE'!$A:$A=$E35)*('SIZE GUIDE'!$B:$B=$F35)*('SIZE GUIDE'!$C:$C=$H35),0)),""),"")</f>
        <v>77</v>
      </c>
      <c r="M35" s="202">
        <v>45.5</v>
      </c>
      <c r="N35" s="203" t="str" cm="1">
        <f t="array" ref="N35">IF(E35="trim",_xlfn.XLOOKUP(1,(TRIM('SIZE GUIDE'!$A$3:$A$2015)=TRIM(E35))*(TRIM('SIZE GUIDE'!$B$3:$B$2015)=TRIM(F35))*(TRIM('SIZE GUIDE'!$C$3:$C$2015)=TRIM(H35)),'SIZE GUIDE'!$D$3:$D$2015),"")</f>
        <v/>
      </c>
      <c r="O35" s="203" t="str" cm="1">
        <f t="array" ref="O35">IF(E35="trim",IFERROR(INDEX('SIZE GUIDE'!$E:$E,MATCH(1,('SIZE GUIDE'!$A:$A=$E35)*('SIZE GUIDE'!$B:$B=$F35)*('SIZE GUIDE'!$C:$C=$H35),0)),""),"")</f>
        <v/>
      </c>
      <c r="P35" s="203"/>
      <c r="Q35" s="204">
        <f>IF(E35="untrim",K35-1.5,N35)</f>
        <v>79.5</v>
      </c>
      <c r="R35" s="198">
        <f>IF(E35="untrim",L35-1.5,O35)</f>
        <v>75.5</v>
      </c>
      <c r="S35" s="198">
        <f>IF(E35="untrim",M35-0.5,P35-0.5)</f>
        <v>45</v>
      </c>
      <c r="T35" s="205">
        <f>IFERROR(Q35*R35*S35/144*I35,"")</f>
        <v>1875.703125</v>
      </c>
      <c r="U35" s="206">
        <f>SUMIFS(CODE_PRICE!F:F,CODE_PRICE!B:B,C35,CODE_PRICE!A:A,$A$8)</f>
        <v>0.1895</v>
      </c>
      <c r="V35" s="207">
        <f>T35*U35</f>
        <v>355.4457421875</v>
      </c>
      <c r="W35" s="208" t="str">
        <f>IF(COUNTIF($C$15:C35,C35)=1,C35 &amp; " - " &amp; TEXT(SUMIF($C:$C,C35,$T:$T),"0.00"),"")</f>
        <v/>
      </c>
      <c r="X35" s="209" t="str">
        <f>IF(COUNTIF($C$15:C35,C35)=1,ROUND(SUMIF($C:$C,C35,$V:$V),2), "")</f>
        <v/>
      </c>
    </row>
    <row r="36" spans="1:24" s="210" customFormat="1" ht="31.5" customHeight="1" x14ac:dyDescent="0.2">
      <c r="A36" s="196">
        <f t="shared" si="5"/>
        <v>22</v>
      </c>
      <c r="B36" s="196"/>
      <c r="C36" s="196" t="s">
        <v>89</v>
      </c>
      <c r="D36" s="197"/>
      <c r="E36" s="197" t="s">
        <v>11</v>
      </c>
      <c r="F36" s="198" t="s">
        <v>123</v>
      </c>
      <c r="G36" s="199" t="str">
        <f>IF(COUNTIFS($C$15:C36,C36,$H$15:H36,H36)=1,
SUMIFS($I$15:$I$43,$C$15:$C$43,C36,$H$15:$H$43,H36)&amp;H36&amp;" "&amp;C36,
"")</f>
        <v/>
      </c>
      <c r="H36" s="250" t="s">
        <v>18</v>
      </c>
      <c r="I36" s="200">
        <v>1</v>
      </c>
      <c r="J36" s="249"/>
      <c r="K36" s="201" cm="1">
        <f t="array" ref="K36">IF(E36="untrim",_xlfn.XLOOKUP(1,(TRIM('SIZE GUIDE'!$A$3:$A$2015)=TRIM(E36))*(TRIM('SIZE GUIDE'!$B$3:$B$2015)=TRIM(F36))*(TRIM('SIZE GUIDE'!$C$3:$C$2015)=TRIM(H36)),'SIZE GUIDE'!$D$3:$D$2015),"")</f>
        <v>81</v>
      </c>
      <c r="L36" s="265" cm="1">
        <f t="array" ref="L36">IF(E36="untrim",IFERROR(INDEX('SIZE GUIDE'!$E:$E,MATCH(1,('SIZE GUIDE'!$A:$A=$E36)*('SIZE GUIDE'!$B:$B=$F36)*('SIZE GUIDE'!$C:$C=$H36),0)),""),"")</f>
        <v>77</v>
      </c>
      <c r="M36" s="202">
        <v>45</v>
      </c>
      <c r="N36" s="203" t="str" cm="1">
        <f t="array" ref="N36">IF(E36="trim",_xlfn.XLOOKUP(1,(TRIM('SIZE GUIDE'!$A$3:$A$2015)=TRIM(E36))*(TRIM('SIZE GUIDE'!$B$3:$B$2015)=TRIM(F36))*(TRIM('SIZE GUIDE'!$C$3:$C$2015)=TRIM(H36)),'SIZE GUIDE'!$D$3:$D$2015),"")</f>
        <v/>
      </c>
      <c r="O36" s="203" t="str" cm="1">
        <f t="array" ref="O36">IF(E36="trim",IFERROR(INDEX('SIZE GUIDE'!$E:$E,MATCH(1,('SIZE GUIDE'!$A:$A=$E36)*('SIZE GUIDE'!$B:$B=$F36)*('SIZE GUIDE'!$C:$C=$H36),0)),""),"")</f>
        <v/>
      </c>
      <c r="P36" s="203"/>
      <c r="Q36" s="204">
        <f>IF(E36="untrim",K36-1.5,N36)</f>
        <v>79.5</v>
      </c>
      <c r="R36" s="198">
        <f>IF(E36="untrim",L36-1.5,O36)</f>
        <v>75.5</v>
      </c>
      <c r="S36" s="198">
        <f>IF(E36="untrim",M36-0.5,P36-0.5)</f>
        <v>44.5</v>
      </c>
      <c r="T36" s="205">
        <f>IFERROR(Q36*R36*S36/144*I36,"")</f>
        <v>1854.8619791666667</v>
      </c>
      <c r="U36" s="206">
        <f>SUMIFS(CODE_PRICE!F:F,CODE_PRICE!B:B,C36,CODE_PRICE!A:A,$A$8)</f>
        <v>0.1895</v>
      </c>
      <c r="V36" s="207">
        <f>T36*U36</f>
        <v>351.49634505208337</v>
      </c>
      <c r="W36" s="208" t="str">
        <f>IF(COUNTIF($C$15:C36,C36)=1,C36 &amp; " - " &amp; TEXT(SUMIF($C:$C,C36,$T:$T),"0.00"),"")</f>
        <v/>
      </c>
      <c r="X36" s="209" t="str">
        <f>IF(COUNTIF($C$15:C36,C36)=1,ROUND(SUMIF($C:$C,C36,$V:$V),2), "")</f>
        <v/>
      </c>
    </row>
    <row r="37" spans="1:24" s="210" customFormat="1" ht="31.5" hidden="1" customHeight="1" x14ac:dyDescent="0.2">
      <c r="A37" s="196"/>
      <c r="B37" s="196"/>
      <c r="C37" s="196"/>
      <c r="D37" s="197"/>
      <c r="E37" s="197"/>
      <c r="F37" s="198"/>
      <c r="G37" s="199"/>
      <c r="H37" s="197"/>
      <c r="I37" s="200"/>
      <c r="J37" s="249"/>
      <c r="K37" s="201"/>
      <c r="L37" s="265"/>
      <c r="M37" s="202"/>
      <c r="N37" s="203"/>
      <c r="O37" s="203"/>
      <c r="P37" s="203"/>
      <c r="Q37" s="204"/>
      <c r="R37" s="198"/>
      <c r="S37" s="198"/>
      <c r="T37" s="205"/>
      <c r="U37" s="206"/>
      <c r="V37" s="207"/>
      <c r="W37" s="208"/>
      <c r="X37" s="209"/>
    </row>
    <row r="38" spans="1:24" s="210" customFormat="1" ht="31.5" hidden="1" customHeight="1" x14ac:dyDescent="0.2">
      <c r="A38" s="196"/>
      <c r="B38" s="196"/>
      <c r="C38" s="196"/>
      <c r="D38" s="197"/>
      <c r="E38" s="197"/>
      <c r="F38" s="198"/>
      <c r="G38" s="199"/>
      <c r="H38" s="197"/>
      <c r="I38" s="200"/>
      <c r="J38" s="249"/>
      <c r="K38" s="201"/>
      <c r="L38" s="265"/>
      <c r="M38" s="202"/>
      <c r="N38" s="203"/>
      <c r="O38" s="203"/>
      <c r="P38" s="203"/>
      <c r="Q38" s="204"/>
      <c r="R38" s="198"/>
      <c r="S38" s="198"/>
      <c r="T38" s="205"/>
      <c r="U38" s="206"/>
      <c r="V38" s="207"/>
      <c r="W38" s="208"/>
      <c r="X38" s="209"/>
    </row>
    <row r="39" spans="1:24" s="210" customFormat="1" ht="31.5" hidden="1" customHeight="1" x14ac:dyDescent="0.2">
      <c r="A39" s="196"/>
      <c r="B39" s="196"/>
      <c r="C39" s="196"/>
      <c r="D39" s="197"/>
      <c r="E39" s="197"/>
      <c r="F39" s="198"/>
      <c r="G39" s="199"/>
      <c r="H39" s="197"/>
      <c r="I39" s="200"/>
      <c r="J39" s="249"/>
      <c r="K39" s="201"/>
      <c r="L39" s="265"/>
      <c r="M39" s="202"/>
      <c r="N39" s="203"/>
      <c r="O39" s="203"/>
      <c r="P39" s="203"/>
      <c r="Q39" s="204"/>
      <c r="R39" s="198"/>
      <c r="S39" s="198"/>
      <c r="T39" s="205"/>
      <c r="U39" s="206"/>
      <c r="V39" s="207"/>
      <c r="W39" s="208"/>
      <c r="X39" s="209"/>
    </row>
    <row r="40" spans="1:24" s="210" customFormat="1" ht="31.5" hidden="1" customHeight="1" x14ac:dyDescent="0.2">
      <c r="A40" s="196"/>
      <c r="B40" s="196"/>
      <c r="C40" s="196"/>
      <c r="D40" s="197"/>
      <c r="E40" s="197"/>
      <c r="F40" s="198"/>
      <c r="G40" s="199"/>
      <c r="H40" s="197"/>
      <c r="I40" s="200"/>
      <c r="J40" s="249"/>
      <c r="K40" s="201"/>
      <c r="L40" s="265"/>
      <c r="M40" s="202"/>
      <c r="N40" s="203"/>
      <c r="O40" s="203"/>
      <c r="P40" s="203"/>
      <c r="Q40" s="204"/>
      <c r="R40" s="198"/>
      <c r="S40" s="198"/>
      <c r="T40" s="205"/>
      <c r="U40" s="206"/>
      <c r="V40" s="207"/>
      <c r="W40" s="208"/>
      <c r="X40" s="209"/>
    </row>
    <row r="41" spans="1:24" s="210" customFormat="1" ht="31.5" hidden="1" customHeight="1" x14ac:dyDescent="0.2">
      <c r="A41" s="196"/>
      <c r="B41" s="196"/>
      <c r="C41" s="196"/>
      <c r="D41" s="260"/>
      <c r="E41" s="197"/>
      <c r="F41" s="198"/>
      <c r="G41" s="199"/>
      <c r="H41" s="197"/>
      <c r="I41" s="200"/>
      <c r="J41" s="249"/>
      <c r="K41" s="201"/>
      <c r="L41" s="265"/>
      <c r="M41" s="202"/>
      <c r="N41" s="203"/>
      <c r="O41" s="203"/>
      <c r="P41" s="203"/>
      <c r="Q41" s="204"/>
      <c r="R41" s="198"/>
      <c r="S41" s="198"/>
      <c r="T41" s="205"/>
      <c r="U41" s="206"/>
      <c r="V41" s="207"/>
      <c r="W41" s="198"/>
      <c r="X41" s="238"/>
    </row>
    <row r="42" spans="1:24" s="210" customFormat="1" ht="31.5" hidden="1" customHeight="1" x14ac:dyDescent="0.2">
      <c r="A42" s="196"/>
      <c r="B42" s="196"/>
      <c r="C42" s="196"/>
      <c r="D42" s="260"/>
      <c r="E42" s="197"/>
      <c r="F42" s="198"/>
      <c r="G42" s="199"/>
      <c r="H42" s="197"/>
      <c r="I42" s="200"/>
      <c r="J42" s="249"/>
      <c r="K42" s="201"/>
      <c r="L42" s="265"/>
      <c r="M42" s="202"/>
      <c r="N42" s="203"/>
      <c r="O42" s="203"/>
      <c r="P42" s="203"/>
      <c r="Q42" s="204"/>
      <c r="R42" s="198"/>
      <c r="S42" s="198"/>
      <c r="T42" s="205"/>
      <c r="U42" s="206"/>
      <c r="V42" s="207"/>
      <c r="W42" s="198"/>
      <c r="X42" s="238"/>
    </row>
    <row r="43" spans="1:24" s="210" customFormat="1" ht="31.5" hidden="1" customHeight="1" x14ac:dyDescent="0.2">
      <c r="A43" s="196"/>
      <c r="B43" s="196"/>
      <c r="C43" s="196"/>
      <c r="D43" s="260"/>
      <c r="E43" s="197"/>
      <c r="F43" s="198"/>
      <c r="G43" s="199"/>
      <c r="H43" s="197"/>
      <c r="I43" s="200"/>
      <c r="J43" s="249"/>
      <c r="K43" s="201"/>
      <c r="L43" s="265"/>
      <c r="M43" s="202"/>
      <c r="N43" s="203"/>
      <c r="O43" s="203"/>
      <c r="P43" s="203"/>
      <c r="Q43" s="204"/>
      <c r="R43" s="198"/>
      <c r="S43" s="198"/>
      <c r="T43" s="205"/>
      <c r="U43" s="206"/>
      <c r="V43" s="207"/>
      <c r="W43" s="198"/>
      <c r="X43" s="238"/>
    </row>
    <row r="44" spans="1:24" s="284" customFormat="1" ht="31.5" hidden="1" customHeight="1" x14ac:dyDescent="0.2">
      <c r="A44" s="270"/>
      <c r="B44" s="270"/>
      <c r="C44" s="270"/>
      <c r="D44" s="271"/>
      <c r="E44" s="272"/>
      <c r="F44" s="273"/>
      <c r="G44" s="274"/>
      <c r="H44" s="197"/>
      <c r="I44" s="275"/>
      <c r="J44" s="276"/>
      <c r="K44" s="277"/>
      <c r="L44" s="278"/>
      <c r="M44" s="279"/>
      <c r="N44" s="277"/>
      <c r="O44" s="277"/>
      <c r="P44" s="277"/>
      <c r="Q44" s="277"/>
      <c r="R44" s="273"/>
      <c r="S44" s="273"/>
      <c r="T44" s="280"/>
      <c r="U44" s="281"/>
      <c r="V44" s="282"/>
      <c r="W44" s="273"/>
      <c r="X44" s="283"/>
    </row>
    <row r="45" spans="1:24" s="284" customFormat="1" ht="31.5" hidden="1" customHeight="1" x14ac:dyDescent="0.2">
      <c r="A45" s="270"/>
      <c r="B45" s="270"/>
      <c r="C45" s="270"/>
      <c r="D45" s="271"/>
      <c r="E45" s="272"/>
      <c r="F45" s="273"/>
      <c r="G45" s="274"/>
      <c r="H45" s="197"/>
      <c r="I45" s="275"/>
      <c r="J45" s="276"/>
      <c r="K45" s="277"/>
      <c r="L45" s="278"/>
      <c r="M45" s="279"/>
      <c r="N45" s="277"/>
      <c r="O45" s="277"/>
      <c r="P45" s="277"/>
      <c r="Q45" s="277"/>
      <c r="R45" s="273"/>
      <c r="S45" s="273"/>
      <c r="T45" s="280"/>
      <c r="U45" s="281"/>
      <c r="V45" s="282"/>
      <c r="W45" s="273"/>
      <c r="X45" s="283"/>
    </row>
    <row r="46" spans="1:24" s="210" customFormat="1" ht="31.5" customHeight="1" x14ac:dyDescent="0.2">
      <c r="A46" s="212"/>
      <c r="B46" s="212"/>
      <c r="C46" s="212"/>
      <c r="D46" s="212"/>
      <c r="E46" s="213"/>
      <c r="F46" s="212"/>
      <c r="G46" s="212"/>
      <c r="H46" s="214" t="s">
        <v>155</v>
      </c>
      <c r="I46" s="215">
        <f>SUM(I13:I43)</f>
        <v>22</v>
      </c>
      <c r="J46" s="248"/>
      <c r="K46" s="216"/>
      <c r="L46" s="264"/>
      <c r="M46" s="216"/>
      <c r="N46" s="217"/>
      <c r="O46" s="217"/>
      <c r="P46" s="217"/>
      <c r="Q46" s="213"/>
      <c r="R46" s="213"/>
      <c r="S46" s="213"/>
      <c r="T46" s="218">
        <f>SUM(T13:T45)</f>
        <v>28068.516493055558</v>
      </c>
      <c r="U46" s="219"/>
      <c r="V46" s="220">
        <f>SUM(V13:V45)</f>
        <v>5318.983875434029</v>
      </c>
      <c r="W46" s="219"/>
      <c r="X46" s="220"/>
    </row>
    <row r="47" spans="1:24" s="210" customFormat="1" ht="31.5" customHeight="1" x14ac:dyDescent="0.2">
      <c r="A47" s="196"/>
      <c r="B47" s="196"/>
      <c r="C47" s="196"/>
      <c r="D47" s="197"/>
      <c r="E47" s="197"/>
      <c r="F47" s="198"/>
      <c r="G47" s="199"/>
      <c r="H47" s="221" t="s">
        <v>156</v>
      </c>
      <c r="I47" s="222"/>
      <c r="J47" s="250"/>
      <c r="K47" s="204"/>
      <c r="L47" s="266"/>
      <c r="M47" s="223"/>
      <c r="N47" s="204"/>
      <c r="O47" s="204"/>
      <c r="P47" s="204"/>
      <c r="Q47" s="224"/>
      <c r="R47" s="224"/>
      <c r="S47" s="224"/>
      <c r="T47" s="205"/>
      <c r="U47" s="224"/>
      <c r="V47" s="207"/>
      <c r="W47" s="224"/>
      <c r="X47" s="207"/>
    </row>
    <row r="48" spans="1:24" s="210" customFormat="1" ht="31.5" customHeight="1" x14ac:dyDescent="0.2">
      <c r="A48" s="212"/>
      <c r="B48" s="212"/>
      <c r="C48" s="212"/>
      <c r="D48" s="213"/>
      <c r="E48" s="213"/>
      <c r="F48" s="213"/>
      <c r="G48" s="213"/>
      <c r="H48" s="214" t="s">
        <v>162</v>
      </c>
      <c r="I48" s="215">
        <f>SUM(I15:I43)</f>
        <v>22</v>
      </c>
      <c r="J48" s="248"/>
      <c r="K48" s="216"/>
      <c r="L48" s="264"/>
      <c r="M48" s="216"/>
      <c r="N48" s="217"/>
      <c r="O48" s="217"/>
      <c r="P48" s="217"/>
      <c r="Q48" s="213"/>
      <c r="R48" s="213"/>
      <c r="S48" s="213"/>
      <c r="T48" s="218">
        <f>SUM(T15:T45)</f>
        <v>28068.516493055558</v>
      </c>
      <c r="U48" s="219"/>
      <c r="V48" s="220">
        <f>+V46+V47</f>
        <v>5318.983875434029</v>
      </c>
      <c r="W48" s="219"/>
      <c r="X48" s="220"/>
    </row>
    <row r="49" spans="1:24" s="228" customFormat="1" ht="15" customHeight="1" x14ac:dyDescent="0.25">
      <c r="A49" s="225"/>
      <c r="B49" s="225"/>
      <c r="C49" s="225"/>
      <c r="D49" s="225"/>
      <c r="E49" s="225"/>
      <c r="F49" s="226"/>
      <c r="G49" s="225"/>
      <c r="H49" s="227"/>
      <c r="I49" s="227"/>
      <c r="J49" s="251"/>
      <c r="L49" s="267"/>
      <c r="V49" s="229"/>
      <c r="X49" s="230"/>
    </row>
    <row r="50" spans="1:24" s="228" customFormat="1" ht="15" customHeight="1" x14ac:dyDescent="0.25">
      <c r="A50" s="225" t="s">
        <v>218</v>
      </c>
      <c r="B50" s="225"/>
      <c r="C50" s="225"/>
      <c r="D50" s="225"/>
      <c r="E50" s="225"/>
      <c r="F50" s="226"/>
      <c r="G50" s="225"/>
      <c r="H50" s="227"/>
      <c r="I50" s="227"/>
      <c r="J50" s="251"/>
      <c r="L50" s="267"/>
      <c r="V50" s="229"/>
      <c r="X50" s="230"/>
    </row>
    <row r="51" spans="1:24" s="228" customFormat="1" ht="15" customHeight="1" x14ac:dyDescent="0.25">
      <c r="A51" s="225"/>
      <c r="B51" s="225"/>
      <c r="C51" s="225"/>
      <c r="D51" s="225"/>
      <c r="E51" s="225"/>
      <c r="F51" s="226"/>
      <c r="G51" s="225"/>
      <c r="H51" s="227"/>
      <c r="I51" s="227"/>
      <c r="J51" s="251"/>
      <c r="L51" s="267"/>
      <c r="V51" s="229"/>
      <c r="X51" s="230"/>
    </row>
    <row r="52" spans="1:24" s="228" customFormat="1" ht="15" customHeight="1" x14ac:dyDescent="0.25">
      <c r="A52" s="225" t="s">
        <v>219</v>
      </c>
      <c r="B52" s="225"/>
      <c r="C52" s="225"/>
      <c r="D52" s="225"/>
      <c r="E52" s="225"/>
      <c r="F52" s="226"/>
      <c r="G52" s="225"/>
      <c r="H52" s="227"/>
      <c r="I52" s="227"/>
      <c r="J52" s="251"/>
      <c r="L52" s="267"/>
      <c r="V52" s="229"/>
      <c r="X52" s="230"/>
    </row>
    <row r="53" spans="1:24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252"/>
      <c r="K53" s="35"/>
      <c r="L53" s="268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4" ht="15" customHeight="1" x14ac:dyDescent="0.25">
      <c r="A54" s="48"/>
      <c r="B54" s="48"/>
      <c r="C54" s="48"/>
      <c r="D54" s="48"/>
      <c r="E54" s="48"/>
      <c r="F54" s="84"/>
      <c r="G54" s="48"/>
      <c r="H54" s="85"/>
      <c r="I54" s="85"/>
      <c r="J54" s="252"/>
      <c r="K54" s="35"/>
      <c r="L54" s="268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4" ht="15" customHeight="1" x14ac:dyDescent="0.25">
      <c r="A55" s="86"/>
      <c r="B55" s="318"/>
      <c r="C55" s="318"/>
      <c r="D55" s="318"/>
      <c r="E55" s="318"/>
      <c r="F55" s="318"/>
      <c r="G55" s="318"/>
      <c r="H55" s="318"/>
      <c r="I55" s="318"/>
      <c r="J55" s="318"/>
      <c r="K55" s="35"/>
      <c r="L55" s="268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4" ht="15" customHeight="1" x14ac:dyDescent="0.25">
      <c r="A56" s="86"/>
      <c r="B56" s="319"/>
      <c r="C56" s="319"/>
      <c r="D56" s="319"/>
      <c r="E56" s="319"/>
      <c r="F56" s="319"/>
      <c r="G56" s="319"/>
      <c r="H56" s="319"/>
      <c r="I56" s="319"/>
      <c r="J56" s="319"/>
      <c r="K56" s="35"/>
      <c r="L56" s="268"/>
      <c r="M56" s="35"/>
      <c r="N56" s="35"/>
      <c r="O56" s="35"/>
      <c r="P56" s="35"/>
      <c r="Q56" s="35"/>
      <c r="R56" s="35"/>
      <c r="S56" s="35"/>
      <c r="T56" s="35"/>
      <c r="U56" s="35"/>
      <c r="V56" s="89"/>
    </row>
  </sheetData>
  <mergeCells count="5">
    <mergeCell ref="A7:E7"/>
    <mergeCell ref="F7:G7"/>
    <mergeCell ref="R9:S9"/>
    <mergeCell ref="B55:J55"/>
    <mergeCell ref="B56:J56"/>
  </mergeCells>
  <pageMargins left="0" right="0" top="1" bottom="0" header="0.511811023622047" footer="0.511811023622047"/>
  <pageSetup paperSize="9" scale="32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colBreaks count="2" manualBreakCount="2">
    <brk id="4" max="1048575" man="1"/>
    <brk id="6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4F8D8907-3319-45C5-BD12-E688C35B26DD}">
          <x14:formula1>
            <xm:f>'SIZE GUIDE'!$A$3:$A$38</xm:f>
          </x14:formula1>
          <xm:sqref>E15:E48</xm:sqref>
        </x14:dataValidation>
        <x14:dataValidation type="list" allowBlank="1" xr:uid="{749C455B-4626-4647-946B-44E29FF80597}">
          <x14:formula1>
            <xm:f>LISTS!$B$2:$B$8</xm:f>
          </x14:formula1>
          <x14:formula2>
            <xm:f>0</xm:f>
          </x14:formula2>
          <xm:sqref>H37:H48</xm:sqref>
        </x14:dataValidation>
        <x14:dataValidation type="list" errorStyle="information" allowBlank="1" showInputMessage="1" xr:uid="{49F1FE51-4B0E-415F-92B7-586B17281638}">
          <x14:formula1>
            <xm:f>CODE_MASTER_AS!$A$3:$A$14</xm:f>
          </x14:formula1>
          <xm:sqref>C47:C48 F46:G46 C15:C45</xm:sqref>
        </x14:dataValidation>
        <x14:dataValidation type="list" allowBlank="1" showInputMessage="1" showErrorMessage="1" xr:uid="{24E28CF3-B416-4967-8738-4FE7FD718825}">
          <x14:formula1>
            <xm:f>'SIZE GUIDE'!$B:$B</xm:f>
          </x14:formula1>
          <xm:sqref>G46 F15:F48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9E4EE-C807-4307-931B-4B6F86898865}">
  <sheetPr codeName="Sheet30">
    <pageSetUpPr fitToPage="1"/>
  </sheetPr>
  <dimension ref="A1:Y36"/>
  <sheetViews>
    <sheetView showGridLines="0" view="pageBreakPreview" topLeftCell="A9" zoomScale="89" zoomScaleNormal="68" zoomScaleSheetLayoutView="89" workbookViewId="0">
      <selection activeCell="C20" sqref="C20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26.33203125" style="16" customWidth="1"/>
    <col min="4" max="4" width="15.1640625" style="16" hidden="1" customWidth="1"/>
    <col min="5" max="5" width="16.83203125" style="16" customWidth="1"/>
    <col min="6" max="6" width="11.83203125" style="16" hidden="1" customWidth="1"/>
    <col min="7" max="7" width="21.5" style="16" customWidth="1"/>
    <col min="8" max="8" width="10.6640625" style="16" customWidth="1"/>
    <col min="9" max="9" width="14" style="16" customWidth="1"/>
    <col min="10" max="16" width="10.6640625" style="16" hidden="1" customWidth="1"/>
    <col min="17" max="19" width="10.6640625" style="16" customWidth="1"/>
    <col min="20" max="21" width="14.6640625" style="16" customWidth="1"/>
    <col min="22" max="22" width="14.6640625" style="98" customWidth="1"/>
    <col min="23" max="23" width="39.83203125" style="16" hidden="1" customWidth="1"/>
    <col min="24" max="24" width="18.33203125" style="23" hidden="1" customWidth="1"/>
    <col min="25" max="28" width="8.6640625" style="16" customWidth="1"/>
    <col min="29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9"/>
      <c r="K1" s="29"/>
      <c r="L1" s="29"/>
      <c r="M1" s="29"/>
      <c r="N1" s="27"/>
      <c r="O1" s="27"/>
      <c r="P1" s="121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30"/>
      <c r="K2" s="31"/>
      <c r="L2" s="29"/>
      <c r="M2" s="32" t="s">
        <v>161</v>
      </c>
      <c r="N2" s="27"/>
      <c r="O2" s="27"/>
      <c r="P2" s="28" t="s">
        <v>160</v>
      </c>
      <c r="R2" s="20"/>
      <c r="S2" s="21"/>
      <c r="U2" s="13"/>
      <c r="V2" s="20" t="s">
        <v>151</v>
      </c>
      <c r="W2" s="20"/>
      <c r="X2" s="22"/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37"/>
      <c r="K3" s="37"/>
      <c r="L3" s="37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37"/>
      <c r="K4" s="37"/>
      <c r="L4" s="37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37"/>
      <c r="K5" s="37"/>
      <c r="L5" s="37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37"/>
      <c r="K6" s="37"/>
      <c r="L6" s="37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5"/>
      <c r="I7" s="35"/>
      <c r="J7" s="37"/>
      <c r="K7" s="37"/>
      <c r="L7" s="37"/>
      <c r="M7" s="37"/>
      <c r="N7" s="38"/>
      <c r="O7" s="38"/>
      <c r="P7" s="38"/>
      <c r="Q7" s="43" t="s">
        <v>147</v>
      </c>
      <c r="R7" s="43"/>
      <c r="S7" s="43"/>
      <c r="T7" s="43"/>
      <c r="U7" s="43"/>
      <c r="V7" s="43" t="s">
        <v>148</v>
      </c>
      <c r="W7" s="43"/>
      <c r="X7" s="43"/>
    </row>
    <row r="8" spans="1:24" ht="15" customHeight="1" x14ac:dyDescent="0.25">
      <c r="A8" s="44" t="s">
        <v>207</v>
      </c>
      <c r="B8" s="45"/>
      <c r="C8" s="45"/>
      <c r="D8" s="46"/>
      <c r="E8" s="46"/>
      <c r="F8" s="36"/>
      <c r="G8" s="46"/>
      <c r="H8" s="35"/>
      <c r="I8" s="35"/>
      <c r="J8" s="37"/>
      <c r="K8" s="37"/>
      <c r="L8" s="37"/>
      <c r="M8" s="37"/>
      <c r="N8" s="38"/>
      <c r="O8" s="38"/>
      <c r="P8" s="38"/>
      <c r="Q8" s="105" t="s">
        <v>315</v>
      </c>
      <c r="R8" s="87"/>
      <c r="S8" s="106"/>
      <c r="T8" s="46"/>
      <c r="U8" s="107"/>
      <c r="V8" s="108">
        <v>46213</v>
      </c>
      <c r="W8" s="13"/>
      <c r="X8" s="22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37"/>
      <c r="K9" s="37"/>
      <c r="L9" s="37"/>
      <c r="M9" s="37"/>
      <c r="N9" s="38"/>
      <c r="O9" s="38"/>
      <c r="P9" s="38"/>
      <c r="Q9" s="86"/>
      <c r="R9" s="320"/>
      <c r="S9" s="320"/>
      <c r="T9" s="46"/>
      <c r="U9" s="107"/>
      <c r="V9" s="33"/>
      <c r="W9" s="13"/>
      <c r="X9" s="22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37"/>
      <c r="K10" s="37"/>
      <c r="L10" s="37"/>
      <c r="M10" s="37"/>
      <c r="N10" s="38"/>
      <c r="O10" s="38"/>
      <c r="P10" s="38"/>
      <c r="Q10" s="42" t="s">
        <v>149</v>
      </c>
      <c r="R10" s="43"/>
      <c r="S10" s="43"/>
      <c r="T10" s="43"/>
      <c r="U10" s="43"/>
      <c r="V10" s="43" t="s">
        <v>150</v>
      </c>
      <c r="W10" s="43"/>
      <c r="X10" s="43"/>
    </row>
    <row r="11" spans="1:24" ht="15" customHeight="1" x14ac:dyDescent="0.25">
      <c r="A11" s="188" t="s">
        <v>288</v>
      </c>
      <c r="B11" s="34"/>
      <c r="C11" s="35"/>
      <c r="D11" s="35"/>
      <c r="E11" s="46"/>
      <c r="F11" s="46"/>
      <c r="G11" s="46"/>
      <c r="H11" s="35"/>
      <c r="I11" s="35"/>
      <c r="J11" s="37"/>
      <c r="K11" s="37"/>
      <c r="L11" s="37"/>
      <c r="M11" s="37"/>
      <c r="N11" s="38"/>
      <c r="O11" s="38"/>
      <c r="P11" s="38"/>
      <c r="Q11" s="105" t="s">
        <v>314</v>
      </c>
      <c r="R11" s="86"/>
      <c r="S11" s="86"/>
      <c r="T11" s="46"/>
      <c r="U11" s="107"/>
      <c r="V11" s="86"/>
      <c r="W11" s="13"/>
      <c r="X11" s="22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37"/>
      <c r="K12" s="37"/>
      <c r="L12" s="37"/>
      <c r="M12" s="37"/>
      <c r="N12" s="38"/>
      <c r="O12" s="38"/>
      <c r="P12" s="38"/>
      <c r="Q12" s="48"/>
      <c r="R12" s="48"/>
      <c r="S12" s="48"/>
      <c r="T12" s="48"/>
      <c r="U12" s="47"/>
      <c r="V12" s="49"/>
      <c r="W12" s="13"/>
      <c r="X12" s="22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5"/>
      <c r="K13" s="50"/>
      <c r="L13" s="50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17" customFormat="1" ht="41.25" customHeight="1" x14ac:dyDescent="0.2">
      <c r="A14" s="53" t="s">
        <v>158</v>
      </c>
      <c r="B14" s="53" t="s">
        <v>0</v>
      </c>
      <c r="C14" s="53" t="s">
        <v>1</v>
      </c>
      <c r="D14" s="54" t="s">
        <v>135</v>
      </c>
      <c r="E14" s="54" t="s">
        <v>157</v>
      </c>
      <c r="F14" s="54" t="s">
        <v>3</v>
      </c>
      <c r="G14" s="54" t="s">
        <v>152</v>
      </c>
      <c r="H14" s="54" t="s">
        <v>105</v>
      </c>
      <c r="I14" s="54" t="s">
        <v>5</v>
      </c>
      <c r="J14" s="55" t="s">
        <v>64</v>
      </c>
      <c r="K14" s="55" t="s">
        <v>136</v>
      </c>
      <c r="L14" s="55" t="s">
        <v>24</v>
      </c>
      <c r="M14" s="55" t="s">
        <v>108</v>
      </c>
      <c r="N14" s="56" t="s">
        <v>136</v>
      </c>
      <c r="O14" s="56" t="s">
        <v>24</v>
      </c>
      <c r="P14" s="122" t="s">
        <v>108</v>
      </c>
      <c r="Q14" s="54" t="s">
        <v>136</v>
      </c>
      <c r="R14" s="54" t="s">
        <v>24</v>
      </c>
      <c r="S14" s="54" t="s">
        <v>108</v>
      </c>
      <c r="T14" s="90" t="s">
        <v>159</v>
      </c>
      <c r="U14" s="91" t="s">
        <v>6</v>
      </c>
      <c r="V14" s="92" t="s">
        <v>7</v>
      </c>
      <c r="W14" s="53" t="s">
        <v>140</v>
      </c>
      <c r="X14" s="26" t="s">
        <v>141</v>
      </c>
    </row>
    <row r="15" spans="1:24" s="17" customFormat="1" ht="36" customHeight="1" x14ac:dyDescent="0.2">
      <c r="A15" s="57">
        <v>1</v>
      </c>
      <c r="B15" s="57" t="str" cm="1">
        <f t="array" ref="B15">_xlfn.LET(_xlpm.r,_xlfn.XLOOKUP(1,
(TRIM(CODE_PRICE!$A$4:$A$2003)=TRIM($C$4))*
(TRIM(CODE_PRICE!$B$4:$B$2003)=TRIM(C15)),
CODE_PRICE!$C$4:$C$2003,
""),
IF(OR(_xlpm.r="",_xlpm.r=0),"",_xlpm.r))</f>
        <v/>
      </c>
      <c r="C15" s="57" t="s">
        <v>89</v>
      </c>
      <c r="D15" s="58" t="str">
        <f>_xlfn.XLOOKUP(B15,CODE_PRICE!C:C,CODE_PRICE!D:D,"")</f>
        <v/>
      </c>
      <c r="E15" s="58" t="s">
        <v>11</v>
      </c>
      <c r="F15" s="59" t="s">
        <v>213</v>
      </c>
      <c r="G15" s="60" t="str">
        <f>IF(COUNTIFS($C$15:C15,C15,$H$15:H15,H15)=1,
SUMIFS($I$15:$I$25,$C$15:$C$25,C15,$H$15:$H$25,H15)&amp;H15&amp;" "&amp;C15,
"")</f>
        <v>10S CFN30100W</v>
      </c>
      <c r="H15" s="58" t="s">
        <v>22</v>
      </c>
      <c r="I15" s="61">
        <v>1</v>
      </c>
      <c r="J15" s="158"/>
      <c r="K15" s="158" cm="1">
        <f t="array" ref="K15">IF(E15="untrim",_xlfn.XLOOKUP(1,(TRIM('SIZE GUIDE'!$A$3:$A$2015)=TRIM(E15))*(TRIM('SIZE GUIDE'!$B$3:$B$2015)=TRIM(F15))*(TRIM('SIZE GUIDE'!$C$3:$C$2015)=TRIM(H15)),'SIZE GUIDE'!$D$3:$D$2015),"")</f>
        <v>108</v>
      </c>
      <c r="L15" s="168" cm="1">
        <f t="array" ref="L15">IF(E15="untrim",IFERROR(INDEX('SIZE GUIDE'!$E:$E,MATCH(1,('SIZE GUIDE'!$A:$A=$E15)*('SIZE GUIDE'!$B:$B=$F15)*('SIZE GUIDE'!$C:$C=$H15),0)),""),"")</f>
        <v>81</v>
      </c>
      <c r="M15" s="158">
        <v>40</v>
      </c>
      <c r="N15" s="65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65" t="str" cm="1">
        <f t="array" ref="O15">IF(E15="trim",IFERROR(INDEX('SIZE GUIDE'!$E:$E,MATCH(1,('SIZE GUIDE'!$A:$A=$E15)*('SIZE GUIDE'!$B:$B=$F15)*('SIZE GUIDE'!$C:$C=$H15),0)),""),"")</f>
        <v/>
      </c>
      <c r="P15" s="65"/>
      <c r="Q15" s="258">
        <f>K15</f>
        <v>108</v>
      </c>
      <c r="R15" s="258">
        <f>L15</f>
        <v>81</v>
      </c>
      <c r="S15" s="258">
        <f>IF(E15="untrim",M15-0.5,P15-0.5)</f>
        <v>39.5</v>
      </c>
      <c r="T15" s="93">
        <f t="shared" ref="T15:T24" si="0">IFERROR(Q15*R15*S15/144*I15,"")</f>
        <v>2399.625</v>
      </c>
      <c r="U15" s="94">
        <f>SUMIFS(CODE_PRICE!F:F,CODE_PRICE!B:B,C15,CODE_PRICE!A:A,$A$8)</f>
        <v>0.1968</v>
      </c>
      <c r="V15" s="95">
        <f>T15*U15</f>
        <v>472.24619999999999</v>
      </c>
      <c r="W15" s="102" t="str">
        <f>IF(COUNTIF($C$15:C15,C15)=1,C15 &amp; " - " &amp; TEXT(SUMIF($C:$C,C15,$T:$T),"0.00"),"")</f>
        <v>CFN30100W - 24877.13</v>
      </c>
      <c r="X15" s="103">
        <f>IF(COUNTIF($C$15:C15,C15)=1,ROUND(SUMIF($C:$C,C15,$V:$V),2), "")</f>
        <v>4895.82</v>
      </c>
    </row>
    <row r="16" spans="1:24" s="17" customFormat="1" ht="36" customHeight="1" x14ac:dyDescent="0.2">
      <c r="A16" s="57">
        <f>A15+1</f>
        <v>2</v>
      </c>
      <c r="B16" s="57" t="str" cm="1">
        <f t="array" ref="B16">_xlfn.LET(_xlpm.r,_xlfn.XLOOKUP(1,
(TRIM(CODE_PRICE!$A$4:$A$2003)=TRIM($C$4))*
(TRIM(CODE_PRICE!$B$4:$B$2003)=TRIM(C16)),
CODE_PRICE!$C$4:$C$2003,
""),
IF(OR(_xlpm.r="",_xlpm.r=0),"",_xlpm.r))</f>
        <v/>
      </c>
      <c r="C16" s="57" t="s">
        <v>89</v>
      </c>
      <c r="D16" s="58" t="str">
        <f>_xlfn.XLOOKUP(B16,CODE_PRICE!C:C,CODE_PRICE!D:D,"")</f>
        <v/>
      </c>
      <c r="E16" s="58" t="s">
        <v>11</v>
      </c>
      <c r="F16" s="59" t="s">
        <v>213</v>
      </c>
      <c r="G16" s="60" t="str">
        <f>IF(COUNTIFS($C$15:C16,C16,$H$15:H16,H16)=1,
SUMIFS($I$15:$I$25,$C$15:$C$25,C16,$H$15:$H$25,H16)&amp;H16&amp;" "&amp;C16,
"")</f>
        <v/>
      </c>
      <c r="H16" s="58" t="s">
        <v>22</v>
      </c>
      <c r="I16" s="61">
        <v>1</v>
      </c>
      <c r="J16" s="158"/>
      <c r="K16" s="158" cm="1">
        <f t="array" ref="K16">IF(E16="untrim",_xlfn.XLOOKUP(1,(TRIM('SIZE GUIDE'!$A$3:$A$2015)=TRIM(E16))*(TRIM('SIZE GUIDE'!$B$3:$B$2015)=TRIM(F16))*(TRIM('SIZE GUIDE'!$C$3:$C$2015)=TRIM(H16)),'SIZE GUIDE'!$D$3:$D$2015),"")</f>
        <v>108</v>
      </c>
      <c r="L16" s="168" cm="1">
        <f t="array" ref="L16">IF(E16="untrim",IFERROR(INDEX('SIZE GUIDE'!$E:$E,MATCH(1,('SIZE GUIDE'!$A:$A=$E16)*('SIZE GUIDE'!$B:$B=$F16)*('SIZE GUIDE'!$C:$C=$H16),0)),""),"")</f>
        <v>81</v>
      </c>
      <c r="M16" s="158">
        <v>40</v>
      </c>
      <c r="N16" s="65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65" t="str" cm="1">
        <f t="array" ref="O16">IF(E16="trim",IFERROR(INDEX('SIZE GUIDE'!$E:$E,MATCH(1,('SIZE GUIDE'!$A:$A=$E16)*('SIZE GUIDE'!$B:$B=$F16)*('SIZE GUIDE'!$C:$C=$H16),0)),""),"")</f>
        <v/>
      </c>
      <c r="P16" s="65"/>
      <c r="Q16" s="258">
        <f t="shared" ref="Q16:R24" si="1">K16</f>
        <v>108</v>
      </c>
      <c r="R16" s="258">
        <f t="shared" si="1"/>
        <v>81</v>
      </c>
      <c r="S16" s="258">
        <f>IF(E16="untrim",M16-0.5,P16-0.5)</f>
        <v>39.5</v>
      </c>
      <c r="T16" s="93">
        <f t="shared" si="0"/>
        <v>2399.625</v>
      </c>
      <c r="U16" s="94">
        <f>SUMIFS(CODE_PRICE!F:F,CODE_PRICE!B:B,C16,CODE_PRICE!A:A,$A$8)</f>
        <v>0.1968</v>
      </c>
      <c r="V16" s="95">
        <f t="shared" ref="V16:V24" si="2">T16*U16</f>
        <v>472.24619999999999</v>
      </c>
      <c r="W16" s="102" t="str">
        <f>IF(COUNTIF($C$15:C16,C16)=1,C16 &amp; " - " &amp; TEXT(SUMIF($C:$C,C16,$T:$T),"0.00"),"")</f>
        <v/>
      </c>
      <c r="X16" s="103" t="str">
        <f>IF(COUNTIF($C$15:C16,C16)=1,ROUND(SUMIF($C:$C,C16,$V:$V),2), "")</f>
        <v/>
      </c>
    </row>
    <row r="17" spans="1:24" s="17" customFormat="1" ht="36" customHeight="1" x14ac:dyDescent="0.2">
      <c r="A17" s="57">
        <f t="shared" ref="A17:A23" si="3">A16+1</f>
        <v>3</v>
      </c>
      <c r="B17" s="57" t="str" cm="1">
        <f t="array" ref="B17">_xlfn.LET(_xlpm.r,_xlfn.XLOOKUP(1,
(TRIM(CODE_PRICE!$A$4:$A$2003)=TRIM($C$4))*
(TRIM(CODE_PRICE!$B$4:$B$2003)=TRIM(C17)),
CODE_PRICE!$C$4:$C$2003,
""),
IF(OR(_xlpm.r="",_xlpm.r=0),"",_xlpm.r))</f>
        <v/>
      </c>
      <c r="C17" s="57" t="s">
        <v>89</v>
      </c>
      <c r="D17" s="58" t="str">
        <f>_xlfn.XLOOKUP(B17,CODE_PRICE!C:C,CODE_PRICE!D:D,"")</f>
        <v/>
      </c>
      <c r="E17" s="58" t="s">
        <v>11</v>
      </c>
      <c r="F17" s="59" t="s">
        <v>213</v>
      </c>
      <c r="G17" s="60" t="str">
        <f>IF(COUNTIFS($C$15:C17,C17,$H$15:H17,H17)=1,
SUMIFS($I$15:$I$25,$C$15:$C$25,C17,$H$15:$H$25,H17)&amp;H17&amp;" "&amp;C17,
"")</f>
        <v/>
      </c>
      <c r="H17" s="58" t="s">
        <v>22</v>
      </c>
      <c r="I17" s="61">
        <v>1</v>
      </c>
      <c r="J17" s="158"/>
      <c r="K17" s="158" cm="1">
        <f t="array" ref="K17">IF(E17="untrim",_xlfn.XLOOKUP(1,(TRIM('SIZE GUIDE'!$A$3:$A$2015)=TRIM(E17))*(TRIM('SIZE GUIDE'!$B$3:$B$2015)=TRIM(F17))*(TRIM('SIZE GUIDE'!$C$3:$C$2015)=TRIM(H17)),'SIZE GUIDE'!$D$3:$D$2015),"")</f>
        <v>108</v>
      </c>
      <c r="L17" s="168" cm="1">
        <f t="array" ref="L17">IF(E17="untrim",IFERROR(INDEX('SIZE GUIDE'!$E:$E,MATCH(1,('SIZE GUIDE'!$A:$A=$E17)*('SIZE GUIDE'!$B:$B=$F17)*('SIZE GUIDE'!$C:$C=$H17),0)),""),"")</f>
        <v>81</v>
      </c>
      <c r="M17" s="158">
        <v>41.5</v>
      </c>
      <c r="N17" s="65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65" t="str" cm="1">
        <f t="array" ref="O17">IF(E17="trim",IFERROR(INDEX('SIZE GUIDE'!$E:$E,MATCH(1,('SIZE GUIDE'!$A:$A=$E17)*('SIZE GUIDE'!$B:$B=$F17)*('SIZE GUIDE'!$C:$C=$H17),0)),""),"")</f>
        <v/>
      </c>
      <c r="P17" s="65"/>
      <c r="Q17" s="258">
        <f t="shared" si="1"/>
        <v>108</v>
      </c>
      <c r="R17" s="258">
        <f t="shared" si="1"/>
        <v>81</v>
      </c>
      <c r="S17" s="258">
        <f>IF(E17="untrim",M17-0.5,P17-0.5)</f>
        <v>41</v>
      </c>
      <c r="T17" s="93">
        <f t="shared" si="0"/>
        <v>2490.75</v>
      </c>
      <c r="U17" s="94">
        <f>SUMIFS(CODE_PRICE!F:F,CODE_PRICE!B:B,C17,CODE_PRICE!A:A,$A$8)</f>
        <v>0.1968</v>
      </c>
      <c r="V17" s="95">
        <f t="shared" si="2"/>
        <v>490.17959999999999</v>
      </c>
      <c r="W17" s="102" t="str">
        <f>IF(COUNTIF($C$15:C17,C17)=1,C17 &amp; " - " &amp; TEXT(SUMIF($C:$C,C17,$T:$T),"0.00"),"")</f>
        <v/>
      </c>
      <c r="X17" s="103" t="str">
        <f>IF(COUNTIF($C$15:C17,C17)=1,ROUND(SUMIF($C:$C,C17,$V:$V),2), "")</f>
        <v/>
      </c>
    </row>
    <row r="18" spans="1:24" s="17" customFormat="1" ht="36" customHeight="1" x14ac:dyDescent="0.2">
      <c r="A18" s="57">
        <f t="shared" si="3"/>
        <v>4</v>
      </c>
      <c r="B18" s="57" t="str" cm="1">
        <f t="array" ref="B18">_xlfn.LET(_xlpm.r,_xlfn.XLOOKUP(1,
(TRIM(CODE_PRICE!$A$4:$A$2003)=TRIM($C$4))*
(TRIM(CODE_PRICE!$B$4:$B$2003)=TRIM(C18)),
CODE_PRICE!$C$4:$C$2003,
""),
IF(OR(_xlpm.r="",_xlpm.r=0),"",_xlpm.r))</f>
        <v/>
      </c>
      <c r="C18" s="57" t="s">
        <v>89</v>
      </c>
      <c r="D18" s="58" t="str">
        <f>_xlfn.XLOOKUP(B18,CODE_PRICE!C:C,CODE_PRICE!D:D,"")</f>
        <v/>
      </c>
      <c r="E18" s="58" t="s">
        <v>11</v>
      </c>
      <c r="F18" s="59" t="s">
        <v>213</v>
      </c>
      <c r="G18" s="60" t="str">
        <f>IF(COUNTIFS($C$15:C18,C18,$H$15:H18,H18)=1,
SUMIFS($I$15:$I$25,$C$15:$C$25,C18,$H$15:$H$25,H18)&amp;H18&amp;" "&amp;C18,
"")</f>
        <v/>
      </c>
      <c r="H18" s="58" t="s">
        <v>22</v>
      </c>
      <c r="I18" s="61">
        <v>1</v>
      </c>
      <c r="J18" s="158"/>
      <c r="K18" s="158" cm="1">
        <f t="array" ref="K18">IF(E18="untrim",_xlfn.XLOOKUP(1,(TRIM('SIZE GUIDE'!$A$3:$A$2015)=TRIM(E18))*(TRIM('SIZE GUIDE'!$B$3:$B$2015)=TRIM(F18))*(TRIM('SIZE GUIDE'!$C$3:$C$2015)=TRIM(H18)),'SIZE GUIDE'!$D$3:$D$2015),"")</f>
        <v>108</v>
      </c>
      <c r="L18" s="168" cm="1">
        <f t="array" ref="L18">IF(E18="untrim",IFERROR(INDEX('SIZE GUIDE'!$E:$E,MATCH(1,('SIZE GUIDE'!$A:$A=$E18)*('SIZE GUIDE'!$B:$B=$F18)*('SIZE GUIDE'!$C:$C=$H18),0)),""),"")</f>
        <v>81</v>
      </c>
      <c r="M18" s="158">
        <v>46</v>
      </c>
      <c r="N18" s="65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65" t="str" cm="1">
        <f t="array" ref="O18">IF(E18="trim",IFERROR(INDEX('SIZE GUIDE'!$E:$E,MATCH(1,('SIZE GUIDE'!$A:$A=$E18)*('SIZE GUIDE'!$B:$B=$F18)*('SIZE GUIDE'!$C:$C=$H18),0)),""),"")</f>
        <v/>
      </c>
      <c r="P18" s="65"/>
      <c r="Q18" s="258">
        <f t="shared" si="1"/>
        <v>108</v>
      </c>
      <c r="R18" s="258">
        <f t="shared" si="1"/>
        <v>81</v>
      </c>
      <c r="S18" s="258">
        <f t="shared" ref="S18:S24" si="4">IF(E18="untrim",M18-0.5,P18-0.5)</f>
        <v>45.5</v>
      </c>
      <c r="T18" s="93">
        <f t="shared" si="0"/>
        <v>2764.125</v>
      </c>
      <c r="U18" s="94">
        <f>SUMIFS(CODE_PRICE!F:F,CODE_PRICE!B:B,C18,CODE_PRICE!A:A,$A$8)</f>
        <v>0.1968</v>
      </c>
      <c r="V18" s="95">
        <f t="shared" si="2"/>
        <v>543.97979999999995</v>
      </c>
      <c r="W18" s="102" t="str">
        <f>IF(COUNTIF($C$15:C18,C18)=1,C18 &amp; " - " &amp; TEXT(SUMIF($C:$C,C18,$T:$T),"0.00"),"")</f>
        <v/>
      </c>
      <c r="X18" s="103" t="str">
        <f>IF(COUNTIF($C$15:C18,C18)=1,ROUND(SUMIF($C:$C,C18,$V:$V),2), "")</f>
        <v/>
      </c>
    </row>
    <row r="19" spans="1:24" s="17" customFormat="1" ht="36" customHeight="1" x14ac:dyDescent="0.2">
      <c r="A19" s="57">
        <f t="shared" si="3"/>
        <v>5</v>
      </c>
      <c r="B19" s="57" t="str" cm="1">
        <f t="array" ref="B19">_xlfn.LET(_xlpm.r,_xlfn.XLOOKUP(1,
(TRIM(CODE_PRICE!$A$4:$A$2003)=TRIM($C$4))*
(TRIM(CODE_PRICE!$B$4:$B$2003)=TRIM(C19)),
CODE_PRICE!$C$4:$C$2003,
""),
IF(OR(_xlpm.r="",_xlpm.r=0),"",_xlpm.r))</f>
        <v/>
      </c>
      <c r="C19" s="57" t="s">
        <v>89</v>
      </c>
      <c r="D19" s="58" t="str">
        <f>_xlfn.XLOOKUP(B19,CODE_PRICE!C:C,CODE_PRICE!D:D,"")</f>
        <v/>
      </c>
      <c r="E19" s="58" t="s">
        <v>11</v>
      </c>
      <c r="F19" s="59" t="s">
        <v>213</v>
      </c>
      <c r="G19" s="60" t="str">
        <f>IF(COUNTIFS($C$15:C19,C19,$H$15:H19,H19)=1,
SUMIFS($I$15:$I$25,$C$15:$C$25,C19,$H$15:$H$25,H19)&amp;H19&amp;" "&amp;C19,
"")</f>
        <v/>
      </c>
      <c r="H19" s="58" t="s">
        <v>22</v>
      </c>
      <c r="I19" s="61">
        <v>1</v>
      </c>
      <c r="J19" s="158"/>
      <c r="K19" s="158" cm="1">
        <f t="array" ref="K19">IF(E19="untrim",_xlfn.XLOOKUP(1,(TRIM('SIZE GUIDE'!$A$3:$A$2015)=TRIM(E19))*(TRIM('SIZE GUIDE'!$B$3:$B$2015)=TRIM(F19))*(TRIM('SIZE GUIDE'!$C$3:$C$2015)=TRIM(H19)),'SIZE GUIDE'!$D$3:$D$2015),"")</f>
        <v>108</v>
      </c>
      <c r="L19" s="168" cm="1">
        <f t="array" ref="L19">IF(E19="untrim",IFERROR(INDEX('SIZE GUIDE'!$E:$E,MATCH(1,('SIZE GUIDE'!$A:$A=$E19)*('SIZE GUIDE'!$B:$B=$F19)*('SIZE GUIDE'!$C:$C=$H19),0)),""),"")</f>
        <v>81</v>
      </c>
      <c r="M19" s="158">
        <v>41</v>
      </c>
      <c r="N19" s="65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65" t="str" cm="1">
        <f t="array" ref="O19">IF(E19="trim",IFERROR(INDEX('SIZE GUIDE'!$E:$E,MATCH(1,('SIZE GUIDE'!$A:$A=$E19)*('SIZE GUIDE'!$B:$B=$F19)*('SIZE GUIDE'!$C:$C=$H19),0)),""),"")</f>
        <v/>
      </c>
      <c r="P19" s="65"/>
      <c r="Q19" s="258">
        <f t="shared" si="1"/>
        <v>108</v>
      </c>
      <c r="R19" s="258">
        <f t="shared" si="1"/>
        <v>81</v>
      </c>
      <c r="S19" s="258">
        <f t="shared" si="4"/>
        <v>40.5</v>
      </c>
      <c r="T19" s="93">
        <f t="shared" si="0"/>
        <v>2460.375</v>
      </c>
      <c r="U19" s="94">
        <f>SUMIFS(CODE_PRICE!F:F,CODE_PRICE!B:B,C19,CODE_PRICE!A:A,$A$8)</f>
        <v>0.1968</v>
      </c>
      <c r="V19" s="95">
        <f t="shared" si="2"/>
        <v>484.20179999999999</v>
      </c>
      <c r="W19" s="102" t="str">
        <f>IF(COUNTIF($C$15:C19,C19)=1,C19 &amp; " - " &amp; TEXT(SUMIF($C:$C,C19,$T:$T),"0.00"),"")</f>
        <v/>
      </c>
      <c r="X19" s="103" t="str">
        <f>IF(COUNTIF($C$15:C19,C19)=1,ROUND(SUMIF($C:$C,C19,$V:$V),2), "")</f>
        <v/>
      </c>
    </row>
    <row r="20" spans="1:24" s="17" customFormat="1" ht="36" customHeight="1" x14ac:dyDescent="0.2">
      <c r="A20" s="57">
        <f t="shared" si="3"/>
        <v>6</v>
      </c>
      <c r="B20" s="57" t="str" cm="1">
        <f t="array" ref="B20">_xlfn.LET(_xlpm.r,_xlfn.XLOOKUP(1,
(TRIM(CODE_PRICE!$A$4:$A$2003)=TRIM($C$4))*
(TRIM(CODE_PRICE!$B$4:$B$2003)=TRIM(C20)),
CODE_PRICE!$C$4:$C$2003,
""),
IF(OR(_xlpm.r="",_xlpm.r=0),"",_xlpm.r))</f>
        <v/>
      </c>
      <c r="C20" s="57" t="s">
        <v>89</v>
      </c>
      <c r="D20" s="58" t="str">
        <f>_xlfn.XLOOKUP(B20,CODE_PRICE!C:C,CODE_PRICE!D:D,"")</f>
        <v/>
      </c>
      <c r="E20" s="58" t="s">
        <v>11</v>
      </c>
      <c r="F20" s="59" t="s">
        <v>213</v>
      </c>
      <c r="G20" s="60" t="str">
        <f>IF(COUNTIFS($C$15:C20,C20,$H$15:H20,H20)=1,
SUMIFS($I$15:$I$25,$C$15:$C$25,C20,$H$15:$H$25,H20)&amp;H20&amp;" "&amp;C20,
"")</f>
        <v/>
      </c>
      <c r="H20" s="58" t="s">
        <v>22</v>
      </c>
      <c r="I20" s="61">
        <v>1</v>
      </c>
      <c r="J20" s="158"/>
      <c r="K20" s="158" cm="1">
        <f t="array" ref="K20">IF(E20="untrim",_xlfn.XLOOKUP(1,(TRIM('SIZE GUIDE'!$A$3:$A$2015)=TRIM(E20))*(TRIM('SIZE GUIDE'!$B$3:$B$2015)=TRIM(F20))*(TRIM('SIZE GUIDE'!$C$3:$C$2015)=TRIM(H20)),'SIZE GUIDE'!$D$3:$D$2015),"")</f>
        <v>108</v>
      </c>
      <c r="L20" s="168" cm="1">
        <f t="array" ref="L20">IF(E20="untrim",IFERROR(INDEX('SIZE GUIDE'!$E:$E,MATCH(1,('SIZE GUIDE'!$A:$A=$E20)*('SIZE GUIDE'!$B:$B=$F20)*('SIZE GUIDE'!$C:$C=$H20),0)),""),"")</f>
        <v>81</v>
      </c>
      <c r="M20" s="158">
        <v>40</v>
      </c>
      <c r="N20" s="65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65" t="str" cm="1">
        <f t="array" ref="O20">IF(E20="trim",IFERROR(INDEX('SIZE GUIDE'!$E:$E,MATCH(1,('SIZE GUIDE'!$A:$A=$E20)*('SIZE GUIDE'!$B:$B=$F20)*('SIZE GUIDE'!$C:$C=$H20),0)),""),"")</f>
        <v/>
      </c>
      <c r="P20" s="65"/>
      <c r="Q20" s="258">
        <f t="shared" si="1"/>
        <v>108</v>
      </c>
      <c r="R20" s="258">
        <f t="shared" si="1"/>
        <v>81</v>
      </c>
      <c r="S20" s="258">
        <f t="shared" si="4"/>
        <v>39.5</v>
      </c>
      <c r="T20" s="93">
        <f t="shared" si="0"/>
        <v>2399.625</v>
      </c>
      <c r="U20" s="94">
        <f>SUMIFS(CODE_PRICE!F:F,CODE_PRICE!B:B,C20,CODE_PRICE!A:A,$A$8)</f>
        <v>0.1968</v>
      </c>
      <c r="V20" s="95">
        <f t="shared" si="2"/>
        <v>472.24619999999999</v>
      </c>
      <c r="W20" s="102" t="str">
        <f>IF(COUNTIF($C$15:C20,C20)=1,C20 &amp; " - " &amp; TEXT(SUMIF($C:$C,C20,$T:$T),"0.00"),"")</f>
        <v/>
      </c>
      <c r="X20" s="103" t="str">
        <f>IF(COUNTIF($C$15:C20,C20)=1,ROUND(SUMIF($C:$C,C20,$V:$V),2), "")</f>
        <v/>
      </c>
    </row>
    <row r="21" spans="1:24" s="17" customFormat="1" ht="36" customHeight="1" x14ac:dyDescent="0.2">
      <c r="A21" s="57">
        <f t="shared" si="3"/>
        <v>7</v>
      </c>
      <c r="B21" s="57" t="str" cm="1">
        <f t="array" ref="B21">_xlfn.LET(_xlpm.r,_xlfn.XLOOKUP(1,
(TRIM(CODE_PRICE!$A$4:$A$2003)=TRIM($C$4))*
(TRIM(CODE_PRICE!$B$4:$B$2003)=TRIM(C21)),
CODE_PRICE!$C$4:$C$2003,
""),
IF(OR(_xlpm.r="",_xlpm.r=0),"",_xlpm.r))</f>
        <v/>
      </c>
      <c r="C21" s="57" t="s">
        <v>89</v>
      </c>
      <c r="D21" s="58" t="str">
        <f>_xlfn.XLOOKUP(B21,CODE_PRICE!C:C,CODE_PRICE!D:D,"")</f>
        <v/>
      </c>
      <c r="E21" s="58" t="s">
        <v>11</v>
      </c>
      <c r="F21" s="59" t="s">
        <v>213</v>
      </c>
      <c r="G21" s="60" t="str">
        <f>IF(COUNTIFS($C$15:C21,C21,$H$15:H21,H21)=1,
SUMIFS($I$15:$I$25,$C$15:$C$25,C21,$H$15:$H$25,H21)&amp;H21&amp;" "&amp;C21,
"")</f>
        <v/>
      </c>
      <c r="H21" s="58" t="s">
        <v>22</v>
      </c>
      <c r="I21" s="61">
        <v>1</v>
      </c>
      <c r="J21" s="158"/>
      <c r="K21" s="158" cm="1">
        <f t="array" ref="K21">IF(E21="untrim",_xlfn.XLOOKUP(1,(TRIM('SIZE GUIDE'!$A$3:$A$2015)=TRIM(E21))*(TRIM('SIZE GUIDE'!$B$3:$B$2015)=TRIM(F21))*(TRIM('SIZE GUIDE'!$C$3:$C$2015)=TRIM(H21)),'SIZE GUIDE'!$D$3:$D$2015),"")</f>
        <v>108</v>
      </c>
      <c r="L21" s="168" cm="1">
        <f t="array" ref="L21">IF(E21="untrim",IFERROR(INDEX('SIZE GUIDE'!$E:$E,MATCH(1,('SIZE GUIDE'!$A:$A=$E21)*('SIZE GUIDE'!$B:$B=$F21)*('SIZE GUIDE'!$C:$C=$H21),0)),""),"")</f>
        <v>81</v>
      </c>
      <c r="M21" s="158">
        <v>45</v>
      </c>
      <c r="N21" s="65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65" t="str" cm="1">
        <f t="array" ref="O21">IF(E21="trim",IFERROR(INDEX('SIZE GUIDE'!$E:$E,MATCH(1,('SIZE GUIDE'!$A:$A=$E21)*('SIZE GUIDE'!$B:$B=$F21)*('SIZE GUIDE'!$C:$C=$H21),0)),""),"")</f>
        <v/>
      </c>
      <c r="P21" s="65"/>
      <c r="Q21" s="258">
        <f t="shared" si="1"/>
        <v>108</v>
      </c>
      <c r="R21" s="258">
        <f t="shared" si="1"/>
        <v>81</v>
      </c>
      <c r="S21" s="258">
        <f t="shared" si="4"/>
        <v>44.5</v>
      </c>
      <c r="T21" s="93">
        <f t="shared" si="0"/>
        <v>2703.375</v>
      </c>
      <c r="U21" s="94">
        <f>SUMIFS(CODE_PRICE!F:F,CODE_PRICE!B:B,C21,CODE_PRICE!A:A,$A$8)</f>
        <v>0.1968</v>
      </c>
      <c r="V21" s="95">
        <f t="shared" si="2"/>
        <v>532.02419999999995</v>
      </c>
      <c r="W21" s="102" t="str">
        <f>IF(COUNTIF($C$15:C21,C21)=1,C21 &amp; " - " &amp; TEXT(SUMIF($C:$C,C21,$T:$T),"0.00"),"")</f>
        <v/>
      </c>
      <c r="X21" s="103" t="str">
        <f>IF(COUNTIF($C$15:C21,C21)=1,ROUND(SUMIF($C:$C,C21,$V:$V),2), "")</f>
        <v/>
      </c>
    </row>
    <row r="22" spans="1:24" s="17" customFormat="1" ht="36" customHeight="1" x14ac:dyDescent="0.2">
      <c r="A22" s="57">
        <f t="shared" si="3"/>
        <v>8</v>
      </c>
      <c r="B22" s="57" t="str" cm="1">
        <f t="array" ref="B22">_xlfn.LET(_xlpm.r,_xlfn.XLOOKUP(1,
(TRIM(CODE_PRICE!$A$4:$A$2003)=TRIM($C$4))*
(TRIM(CODE_PRICE!$B$4:$B$2003)=TRIM(C22)),
CODE_PRICE!$C$4:$C$2003,
""),
IF(OR(_xlpm.r="",_xlpm.r=0),"",_xlpm.r))</f>
        <v/>
      </c>
      <c r="C22" s="57" t="s">
        <v>89</v>
      </c>
      <c r="D22" s="58" t="str">
        <f>_xlfn.XLOOKUP(B22,CODE_PRICE!C:C,CODE_PRICE!D:D,"")</f>
        <v/>
      </c>
      <c r="E22" s="58" t="s">
        <v>11</v>
      </c>
      <c r="F22" s="59" t="s">
        <v>213</v>
      </c>
      <c r="G22" s="60" t="str">
        <f>IF(COUNTIFS($C$15:C22,C22,$H$15:H22,H22)=1,
SUMIFS($I$15:$I$25,$C$15:$C$25,C22,$H$15:$H$25,H22)&amp;H22&amp;" "&amp;C22,
"")</f>
        <v/>
      </c>
      <c r="H22" s="58" t="s">
        <v>22</v>
      </c>
      <c r="I22" s="61">
        <v>1</v>
      </c>
      <c r="J22" s="158"/>
      <c r="K22" s="158" cm="1">
        <f t="array" ref="K22">IF(E22="untrim",_xlfn.XLOOKUP(1,(TRIM('SIZE GUIDE'!$A$3:$A$2015)=TRIM(E22))*(TRIM('SIZE GUIDE'!$B$3:$B$2015)=TRIM(F22))*(TRIM('SIZE GUIDE'!$C$3:$C$2015)=TRIM(H22)),'SIZE GUIDE'!$D$3:$D$2015),"")</f>
        <v>108</v>
      </c>
      <c r="L22" s="168" cm="1">
        <f t="array" ref="L22">IF(E22="untrim",IFERROR(INDEX('SIZE GUIDE'!$E:$E,MATCH(1,('SIZE GUIDE'!$A:$A=$E22)*('SIZE GUIDE'!$B:$B=$F22)*('SIZE GUIDE'!$C:$C=$H22),0)),""),"")</f>
        <v>81</v>
      </c>
      <c r="M22" s="158">
        <v>37</v>
      </c>
      <c r="N22" s="65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65" t="str" cm="1">
        <f t="array" ref="O22">IF(E22="trim",IFERROR(INDEX('SIZE GUIDE'!$E:$E,MATCH(1,('SIZE GUIDE'!$A:$A=$E22)*('SIZE GUIDE'!$B:$B=$F22)*('SIZE GUIDE'!$C:$C=$H22),0)),""),"")</f>
        <v/>
      </c>
      <c r="P22" s="65"/>
      <c r="Q22" s="258">
        <f t="shared" si="1"/>
        <v>108</v>
      </c>
      <c r="R22" s="258">
        <f t="shared" si="1"/>
        <v>81</v>
      </c>
      <c r="S22" s="258">
        <f t="shared" si="4"/>
        <v>36.5</v>
      </c>
      <c r="T22" s="93">
        <f t="shared" si="0"/>
        <v>2217.375</v>
      </c>
      <c r="U22" s="94">
        <f>SUMIFS(CODE_PRICE!F:F,CODE_PRICE!B:B,C22,CODE_PRICE!A:A,$A$8)</f>
        <v>0.1968</v>
      </c>
      <c r="V22" s="95">
        <f t="shared" si="2"/>
        <v>436.37940000000003</v>
      </c>
      <c r="W22" s="102" t="str">
        <f>IF(COUNTIF($C$15:C22,C22)=1,C22 &amp; " - " &amp; TEXT(SUMIF($C:$C,C22,$T:$T),"0.00"),"")</f>
        <v/>
      </c>
      <c r="X22" s="103" t="e" cm="1" vm="1">
        <f t="array" aca="1" ref="X22" ca="1">A:J=IF(COUNTIF($C$15:C22,C22)=1,ROUND(SUMIF($C:$C,C22,$V:$V),2), "")</f>
        <v>#VALUE!</v>
      </c>
    </row>
    <row r="23" spans="1:24" s="17" customFormat="1" ht="36" customHeight="1" x14ac:dyDescent="0.2">
      <c r="A23" s="57">
        <f t="shared" si="3"/>
        <v>9</v>
      </c>
      <c r="B23" s="57" t="str" cm="1">
        <f t="array" ref="B23">_xlfn.LET(_xlpm.r,_xlfn.XLOOKUP(1,
(TRIM(CODE_PRICE!$A$4:$A$2003)=TRIM($C$4))*
(TRIM(CODE_PRICE!$B$4:$B$2003)=TRIM(C23)),
CODE_PRICE!$C$4:$C$2003,
""),
IF(OR(_xlpm.r="",_xlpm.r=0),"",_xlpm.r))</f>
        <v/>
      </c>
      <c r="C23" s="57" t="s">
        <v>89</v>
      </c>
      <c r="D23" s="58" t="str">
        <f>_xlfn.XLOOKUP(B23,CODE_PRICE!C:C,CODE_PRICE!D:D,"")</f>
        <v/>
      </c>
      <c r="E23" s="58" t="s">
        <v>11</v>
      </c>
      <c r="F23" s="59" t="s">
        <v>213</v>
      </c>
      <c r="G23" s="60" t="str">
        <f>IF(COUNTIFS($C$15:C23,C23,$H$15:H23,H23)=1,
SUMIFS($I$15:$I$25,$C$15:$C$25,C23,$H$15:$H$25,H23)&amp;H23&amp;" "&amp;C23,
"")</f>
        <v/>
      </c>
      <c r="H23" s="58" t="s">
        <v>22</v>
      </c>
      <c r="I23" s="61">
        <v>1</v>
      </c>
      <c r="J23" s="158"/>
      <c r="K23" s="158" cm="1">
        <f t="array" ref="K23">IF(E23="untrim",_xlfn.XLOOKUP(1,(TRIM('SIZE GUIDE'!$A$3:$A$2015)=TRIM(E23))*(TRIM('SIZE GUIDE'!$B$3:$B$2015)=TRIM(F23))*(TRIM('SIZE GUIDE'!$C$3:$C$2015)=TRIM(H23)),'SIZE GUIDE'!$D$3:$D$2015),"")</f>
        <v>108</v>
      </c>
      <c r="L23" s="168" cm="1">
        <f t="array" ref="L23">IF(E23="untrim",IFERROR(INDEX('SIZE GUIDE'!$E:$E,MATCH(1,('SIZE GUIDE'!$A:$A=$E23)*('SIZE GUIDE'!$B:$B=$F23)*('SIZE GUIDE'!$C:$C=$H23),0)),""),"")</f>
        <v>81</v>
      </c>
      <c r="M23" s="158">
        <v>42</v>
      </c>
      <c r="N23" s="65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65" t="str" cm="1">
        <f t="array" ref="O23">IF(E23="trim",IFERROR(INDEX('SIZE GUIDE'!$E:$E,MATCH(1,('SIZE GUIDE'!$A:$A=$E23)*('SIZE GUIDE'!$B:$B=$F23)*('SIZE GUIDE'!$C:$C=$H23),0)),""),"")</f>
        <v/>
      </c>
      <c r="P23" s="65"/>
      <c r="Q23" s="258">
        <f t="shared" si="1"/>
        <v>108</v>
      </c>
      <c r="R23" s="258">
        <f t="shared" si="1"/>
        <v>81</v>
      </c>
      <c r="S23" s="258">
        <f t="shared" si="4"/>
        <v>41.5</v>
      </c>
      <c r="T23" s="93">
        <f t="shared" si="0"/>
        <v>2521.125</v>
      </c>
      <c r="U23" s="94">
        <f>SUMIFS(CODE_PRICE!F:F,CODE_PRICE!B:B,C23,CODE_PRICE!A:A,$A$8)</f>
        <v>0.1968</v>
      </c>
      <c r="V23" s="95">
        <f t="shared" si="2"/>
        <v>496.1574</v>
      </c>
      <c r="W23" s="102" t="str">
        <f>IF(COUNTIF($C$15:C23,C23)=1,C23 &amp; " - " &amp; TEXT(SUMIF($C:$C,C23,$T:$T),"0.00"),"")</f>
        <v/>
      </c>
      <c r="X23" s="103" t="str">
        <f>IF(COUNTIF($C$15:C23,C23)=1,ROUND(SUMIF($C:$C,C23,$V:$V),2), "")</f>
        <v/>
      </c>
    </row>
    <row r="24" spans="1:24" s="17" customFormat="1" ht="36" customHeight="1" x14ac:dyDescent="0.2">
      <c r="A24" s="57">
        <f>A23+1</f>
        <v>10</v>
      </c>
      <c r="B24" s="57" t="str" cm="1">
        <f t="array" ref="B24">_xlfn.LET(_xlpm.r,_xlfn.XLOOKUP(1,
(TRIM(CODE_PRICE!$A$4:$A$2003)=TRIM($C$4))*
(TRIM(CODE_PRICE!$B$4:$B$2003)=TRIM(C24)),
CODE_PRICE!$C$4:$C$2003,
""),
IF(OR(_xlpm.r="",_xlpm.r=0),"",_xlpm.r))</f>
        <v/>
      </c>
      <c r="C24" s="57" t="s">
        <v>89</v>
      </c>
      <c r="D24" s="58" t="str">
        <f>_xlfn.XLOOKUP(B24,CODE_PRICE!C:C,CODE_PRICE!D:D,"")</f>
        <v/>
      </c>
      <c r="E24" s="58" t="s">
        <v>11</v>
      </c>
      <c r="F24" s="59" t="s">
        <v>213</v>
      </c>
      <c r="G24" s="60" t="str">
        <f>IF(COUNTIFS($C$15:C24,C24,$H$15:H24,H24)=1,
SUMIFS($I$15:$I$25,$C$15:$C$25,C24,$H$15:$H$25,H24)&amp;H24&amp;" "&amp;C24,
"")</f>
        <v/>
      </c>
      <c r="H24" s="58" t="s">
        <v>22</v>
      </c>
      <c r="I24" s="61">
        <v>1</v>
      </c>
      <c r="J24" s="158"/>
      <c r="K24" s="158" cm="1">
        <f t="array" ref="K24">IF(E24="untrim",_xlfn.XLOOKUP(1,(TRIM('SIZE GUIDE'!$A$3:$A$2015)=TRIM(E24))*(TRIM('SIZE GUIDE'!$B$3:$B$2015)=TRIM(F24))*(TRIM('SIZE GUIDE'!$C$3:$C$2015)=TRIM(H24)),'SIZE GUIDE'!$D$3:$D$2015),"")</f>
        <v>108</v>
      </c>
      <c r="L24" s="168" cm="1">
        <f t="array" ref="L24">IF(E24="untrim",IFERROR(INDEX('SIZE GUIDE'!$E:$E,MATCH(1,('SIZE GUIDE'!$A:$A=$E24)*('SIZE GUIDE'!$B:$B=$F24)*('SIZE GUIDE'!$C:$C=$H24),0)),""),"")</f>
        <v>81</v>
      </c>
      <c r="M24" s="158">
        <v>42</v>
      </c>
      <c r="N24" s="65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65" t="str" cm="1">
        <f t="array" ref="O24">IF(E24="trim",IFERROR(INDEX('SIZE GUIDE'!$E:$E,MATCH(1,('SIZE GUIDE'!$A:$A=$E24)*('SIZE GUIDE'!$B:$B=$F24)*('SIZE GUIDE'!$C:$C=$H24),0)),""),"")</f>
        <v/>
      </c>
      <c r="P24" s="65"/>
      <c r="Q24" s="258">
        <f t="shared" si="1"/>
        <v>108</v>
      </c>
      <c r="R24" s="258">
        <f t="shared" si="1"/>
        <v>81</v>
      </c>
      <c r="S24" s="258">
        <f t="shared" si="4"/>
        <v>41.5</v>
      </c>
      <c r="T24" s="93">
        <f t="shared" si="0"/>
        <v>2521.125</v>
      </c>
      <c r="U24" s="94">
        <f>SUMIFS(CODE_PRICE!F:F,CODE_PRICE!B:B,C24,CODE_PRICE!A:A,$A$8)</f>
        <v>0.1968</v>
      </c>
      <c r="V24" s="95">
        <f t="shared" si="2"/>
        <v>496.1574</v>
      </c>
      <c r="W24" s="102" t="str">
        <f>IF(COUNTIF($C$15:C24,C24)=1,C24 &amp; " - " &amp; TEXT(SUMIF($C:$C,C24,$T:$T),"0.00"),"")</f>
        <v/>
      </c>
      <c r="X24" s="103" t="str">
        <f>IF(COUNTIF($C$15:C24,C24)=1,ROUND(SUMIF($C:$C,C24,$V:$V),2), "")</f>
        <v/>
      </c>
    </row>
    <row r="25" spans="1:24" s="17" customFormat="1" ht="36" hidden="1" customHeight="1" x14ac:dyDescent="0.2">
      <c r="A25" s="57"/>
      <c r="B25" s="57"/>
      <c r="C25" s="57"/>
      <c r="D25" s="58"/>
      <c r="E25" s="58"/>
      <c r="F25" s="59"/>
      <c r="G25" s="60"/>
      <c r="H25" s="58"/>
      <c r="I25" s="61"/>
      <c r="J25" s="158"/>
      <c r="K25" s="158"/>
      <c r="L25" s="168"/>
      <c r="M25" s="158"/>
      <c r="N25" s="65"/>
      <c r="O25" s="65"/>
      <c r="P25" s="65"/>
      <c r="Q25" s="93">
        <v>0</v>
      </c>
      <c r="R25" s="93">
        <v>0</v>
      </c>
      <c r="S25" s="93">
        <v>0</v>
      </c>
      <c r="T25" s="93">
        <v>0</v>
      </c>
      <c r="U25" s="93">
        <v>0</v>
      </c>
      <c r="V25" s="95">
        <v>0</v>
      </c>
      <c r="W25" s="102"/>
      <c r="X25" s="103"/>
    </row>
    <row r="26" spans="1:24" s="17" customFormat="1" ht="41.25" customHeight="1" thickBot="1" x14ac:dyDescent="0.25">
      <c r="A26" s="53"/>
      <c r="B26" s="53"/>
      <c r="C26" s="53"/>
      <c r="D26" s="53"/>
      <c r="E26" s="67"/>
      <c r="F26" s="68"/>
      <c r="G26" s="68"/>
      <c r="H26" s="69" t="s">
        <v>155</v>
      </c>
      <c r="I26" s="70">
        <f>SUM(I15:I25)</f>
        <v>10</v>
      </c>
      <c r="J26" s="55"/>
      <c r="K26" s="55"/>
      <c r="L26" s="55"/>
      <c r="M26" s="55"/>
      <c r="N26" s="56"/>
      <c r="O26" s="56"/>
      <c r="P26" s="122"/>
      <c r="Q26" s="67"/>
      <c r="R26" s="67"/>
      <c r="S26" s="67"/>
      <c r="T26" s="96">
        <f>SUM(T15:T25)</f>
        <v>24877.125</v>
      </c>
      <c r="U26" s="97"/>
      <c r="V26" s="92">
        <f>SUM(V15:V25)</f>
        <v>4895.8181999999997</v>
      </c>
      <c r="W26" s="109">
        <f>T26</f>
        <v>24877.125</v>
      </c>
      <c r="X26" s="104" t="e" vm="2">
        <f ca="1">SUM(X15:X25)</f>
        <v>#VALUE!</v>
      </c>
    </row>
    <row r="27" spans="1:24" s="17" customFormat="1" ht="41.25" customHeight="1" x14ac:dyDescent="0.2">
      <c r="A27" s="57"/>
      <c r="B27" s="71"/>
      <c r="C27" s="71"/>
      <c r="D27" s="72"/>
      <c r="E27" s="72"/>
      <c r="F27" s="73"/>
      <c r="G27" s="74"/>
      <c r="H27" s="75" t="s">
        <v>156</v>
      </c>
      <c r="I27" s="76"/>
      <c r="J27" s="77"/>
      <c r="K27" s="78"/>
      <c r="L27" s="79"/>
      <c r="M27" s="78"/>
      <c r="N27" s="78"/>
      <c r="O27" s="78"/>
      <c r="P27" s="78"/>
      <c r="Q27" s="80"/>
      <c r="R27" s="80"/>
      <c r="S27" s="80"/>
      <c r="T27" s="81"/>
      <c r="U27" s="82"/>
      <c r="V27" s="83"/>
      <c r="W27" s="19"/>
      <c r="X27" s="25"/>
    </row>
    <row r="28" spans="1:24" s="17" customFormat="1" ht="41.25" customHeight="1" thickBot="1" x14ac:dyDescent="0.25">
      <c r="A28" s="53"/>
      <c r="B28" s="53"/>
      <c r="C28" s="68"/>
      <c r="D28" s="67"/>
      <c r="E28" s="67"/>
      <c r="F28" s="67"/>
      <c r="G28" s="67"/>
      <c r="H28" s="69" t="s">
        <v>162</v>
      </c>
      <c r="I28" s="70">
        <f>I26</f>
        <v>10</v>
      </c>
      <c r="J28" s="55"/>
      <c r="K28" s="55"/>
      <c r="L28" s="55"/>
      <c r="M28" s="55"/>
      <c r="N28" s="56"/>
      <c r="O28" s="56"/>
      <c r="P28" s="122"/>
      <c r="Q28" s="67"/>
      <c r="R28" s="67"/>
      <c r="S28" s="67"/>
      <c r="T28" s="96">
        <f>T26</f>
        <v>24877.125</v>
      </c>
      <c r="U28" s="97"/>
      <c r="V28" s="92">
        <f>+V26+V27</f>
        <v>4895.8181999999997</v>
      </c>
      <c r="W28" s="109">
        <f>W26</f>
        <v>24877.125</v>
      </c>
      <c r="X28" s="104" t="e" vm="2">
        <f ca="1">X26</f>
        <v>#VALUE!</v>
      </c>
    </row>
    <row r="29" spans="1:24" ht="15" customHeight="1" x14ac:dyDescent="0.25">
      <c r="A29" s="48"/>
      <c r="B29" s="48"/>
      <c r="C29" s="48"/>
      <c r="D29" s="48"/>
      <c r="E29" s="48"/>
      <c r="F29" s="84"/>
      <c r="G29" s="48"/>
      <c r="H29" s="85"/>
      <c r="I29" s="85"/>
      <c r="J29" s="8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89"/>
    </row>
    <row r="30" spans="1:24" ht="15" customHeight="1" x14ac:dyDescent="0.25">
      <c r="A30" s="48" t="s">
        <v>153</v>
      </c>
      <c r="B30" s="48"/>
      <c r="C30" s="48"/>
      <c r="D30" s="48"/>
      <c r="E30" s="48"/>
      <c r="F30" s="84"/>
      <c r="G30" s="48"/>
      <c r="H30" s="85"/>
      <c r="I30" s="85"/>
      <c r="J30" s="8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89"/>
    </row>
    <row r="31" spans="1:24" ht="15" customHeight="1" x14ac:dyDescent="0.25">
      <c r="A31" s="48"/>
      <c r="B31" s="48"/>
      <c r="C31" s="48"/>
      <c r="D31" s="48"/>
      <c r="E31" s="48"/>
      <c r="F31" s="84"/>
      <c r="G31" s="48"/>
      <c r="H31" s="85"/>
      <c r="I31" s="85"/>
      <c r="J31" s="8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89"/>
    </row>
    <row r="32" spans="1:24" ht="15" customHeight="1" x14ac:dyDescent="0.25">
      <c r="A32" s="48" t="s">
        <v>154</v>
      </c>
      <c r="B32" s="48"/>
      <c r="C32" s="48"/>
      <c r="D32" s="48"/>
      <c r="E32" s="48"/>
      <c r="F32" s="84"/>
      <c r="G32" s="48"/>
      <c r="H32" s="85"/>
      <c r="I32" s="85"/>
      <c r="J32" s="8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89"/>
    </row>
    <row r="33" spans="1:25" ht="15" customHeight="1" x14ac:dyDescent="0.25">
      <c r="A33" s="48"/>
      <c r="B33" s="48"/>
      <c r="C33" s="48"/>
      <c r="D33" s="48"/>
      <c r="E33" s="48"/>
      <c r="F33" s="84"/>
      <c r="G33" s="48"/>
      <c r="H33" s="85"/>
      <c r="I33" s="85"/>
      <c r="J33" s="8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89"/>
    </row>
    <row r="34" spans="1:25" ht="15" customHeight="1" x14ac:dyDescent="0.25">
      <c r="A34" s="48"/>
      <c r="B34" s="48"/>
      <c r="C34" s="48"/>
      <c r="D34" s="48"/>
      <c r="E34" s="48"/>
      <c r="F34" s="84"/>
      <c r="G34" s="48"/>
      <c r="H34" s="85"/>
      <c r="I34" s="85"/>
      <c r="J34" s="8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89"/>
    </row>
    <row r="35" spans="1:25" ht="15" customHeight="1" x14ac:dyDescent="0.25">
      <c r="A35" s="86"/>
      <c r="B35" s="318"/>
      <c r="C35" s="318"/>
      <c r="D35" s="318"/>
      <c r="E35" s="318"/>
      <c r="F35" s="318"/>
      <c r="G35" s="318"/>
      <c r="H35" s="318"/>
      <c r="I35" s="318"/>
      <c r="J35" s="318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89"/>
    </row>
    <row r="36" spans="1:25" ht="15" customHeight="1" x14ac:dyDescent="0.25">
      <c r="A36" s="86"/>
      <c r="B36" s="319"/>
      <c r="C36" s="319"/>
      <c r="D36" s="319"/>
      <c r="E36" s="319"/>
      <c r="F36" s="319"/>
      <c r="G36" s="319"/>
      <c r="H36" s="319"/>
      <c r="I36" s="319"/>
      <c r="J36" s="319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89"/>
      <c r="X36" s="16"/>
      <c r="Y36" s="23"/>
    </row>
  </sheetData>
  <mergeCells count="5">
    <mergeCell ref="A7:E7"/>
    <mergeCell ref="F7:G7"/>
    <mergeCell ref="R9:S9"/>
    <mergeCell ref="B35:J35"/>
    <mergeCell ref="B36:J36"/>
  </mergeCells>
  <pageMargins left="0" right="0" top="1" bottom="0" header="0.511811023622047" footer="0.511811023622047"/>
  <pageSetup paperSize="9" scale="54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xr:uid="{EFF25898-4140-4B29-83E7-82EA441E4DC2}">
          <x14:formula1>
            <xm:f>CODE_MASTER_AS!$A$3:$A$14</xm:f>
          </x14:formula1>
          <xm:sqref>F26:G26 C27:C28 C15:C24 C25</xm:sqref>
        </x14:dataValidation>
        <x14:dataValidation type="list" allowBlank="1" showInputMessage="1" showErrorMessage="1" xr:uid="{05116B61-3005-4DDE-9007-6DE5A3454718}">
          <x14:formula1>
            <xm:f>'SIZE GUIDE'!$B:$B</xm:f>
          </x14:formula1>
          <xm:sqref>G26 F15:F28</xm:sqref>
        </x14:dataValidation>
        <x14:dataValidation type="list" allowBlank="1" xr:uid="{6CF1358D-A5FB-4E4F-91E7-43320A19108A}">
          <x14:formula1>
            <xm:f>'SIZE GUIDE'!$A$3:$A$38</xm:f>
          </x14:formula1>
          <xm:sqref>E15:E28</xm:sqref>
        </x14:dataValidation>
        <x14:dataValidation type="list" allowBlank="1" xr:uid="{6980E555-B1A3-4FA7-906A-4D4B9D6FA407}">
          <x14:formula1>
            <xm:f>LISTS!$B$2:$B$8</xm:f>
          </x14:formula1>
          <x14:formula2>
            <xm:f>0</xm:f>
          </x14:formula2>
          <xm:sqref>H15:H28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B6619-4AF7-4232-8665-B24910C9AB76}">
  <sheetPr codeName="Sheet31">
    <pageSetUpPr fitToPage="1"/>
  </sheetPr>
  <dimension ref="A1:AK56"/>
  <sheetViews>
    <sheetView showGridLines="0" view="pageBreakPreview" topLeftCell="A19" zoomScale="80" zoomScaleNormal="68" zoomScaleSheetLayoutView="80" workbookViewId="0">
      <selection activeCell="J21" sqref="J21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25" style="16" hidden="1" customWidth="1"/>
    <col min="5" max="5" width="16.83203125" style="16" customWidth="1"/>
    <col min="6" max="6" width="15.33203125" style="16" hidden="1" customWidth="1"/>
    <col min="7" max="7" width="23.5" style="16" bestFit="1" customWidth="1"/>
    <col min="8" max="9" width="10.6640625" style="16" customWidth="1"/>
    <col min="10" max="10" width="10.6640625" style="15" customWidth="1"/>
    <col min="11" max="11" width="10.6640625" style="16" customWidth="1"/>
    <col min="12" max="12" width="10.6640625" style="269" customWidth="1"/>
    <col min="13" max="13" width="10.6640625" style="16" customWidth="1"/>
    <col min="14" max="19" width="10.6640625" style="16" hidden="1" customWidth="1"/>
    <col min="20" max="22" width="10.6640625" style="16" customWidth="1"/>
    <col min="23" max="23" width="14.6640625" style="16" customWidth="1"/>
    <col min="24" max="24" width="14.1640625" style="16" customWidth="1"/>
    <col min="25" max="25" width="14.5" style="98" customWidth="1"/>
    <col min="26" max="26" width="28.1640625" style="16" customWidth="1"/>
    <col min="27" max="27" width="20.33203125" style="23" customWidth="1"/>
    <col min="28" max="16384" width="8.6640625" style="16"/>
  </cols>
  <sheetData>
    <row r="1" spans="1:27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45"/>
      <c r="K1" s="29"/>
      <c r="L1" s="261"/>
      <c r="M1" s="29" t="s">
        <v>204</v>
      </c>
      <c r="N1" s="29"/>
      <c r="O1" s="29"/>
      <c r="P1" s="29"/>
      <c r="Q1" s="27"/>
      <c r="R1" s="27"/>
      <c r="S1" s="27"/>
      <c r="T1" s="13"/>
      <c r="U1" s="13"/>
      <c r="V1" s="13"/>
      <c r="W1" s="13"/>
      <c r="X1" s="13"/>
      <c r="Y1" s="22"/>
      <c r="Z1" s="13"/>
      <c r="AA1" s="22"/>
    </row>
    <row r="2" spans="1:27" s="14" customFormat="1" ht="33.75" customHeight="1" x14ac:dyDescent="0.2">
      <c r="A2" s="13"/>
      <c r="B2" s="13"/>
      <c r="C2" s="13"/>
      <c r="D2" s="13"/>
      <c r="E2" s="13"/>
      <c r="F2" s="13"/>
      <c r="J2" s="246"/>
      <c r="K2" s="31"/>
      <c r="L2" s="261"/>
      <c r="M2" s="32" t="s">
        <v>161</v>
      </c>
      <c r="N2" s="32"/>
      <c r="O2" s="32"/>
      <c r="P2" s="32"/>
      <c r="Q2" s="27"/>
      <c r="R2" s="27"/>
      <c r="S2" s="28" t="s">
        <v>160</v>
      </c>
      <c r="U2" s="20"/>
      <c r="V2" s="21"/>
      <c r="X2" s="13"/>
      <c r="Y2" s="20"/>
      <c r="Z2" s="20"/>
      <c r="AA2" s="20" t="s">
        <v>151</v>
      </c>
    </row>
    <row r="3" spans="1:27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247"/>
      <c r="K3" s="37"/>
      <c r="L3" s="262"/>
      <c r="M3" s="37"/>
      <c r="N3" s="37"/>
      <c r="O3" s="37"/>
      <c r="P3" s="37"/>
      <c r="Q3" s="38"/>
      <c r="R3" s="38"/>
      <c r="S3" s="38"/>
      <c r="T3" s="39"/>
      <c r="U3" s="39"/>
      <c r="V3" s="39"/>
      <c r="W3" s="35"/>
      <c r="X3" s="36"/>
      <c r="Y3" s="39"/>
      <c r="Z3" s="13"/>
      <c r="AA3" s="22"/>
    </row>
    <row r="4" spans="1:27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247"/>
      <c r="K4" s="37"/>
      <c r="L4" s="262"/>
      <c r="M4" s="37"/>
      <c r="N4" s="37"/>
      <c r="O4" s="37"/>
      <c r="P4" s="37"/>
      <c r="Q4" s="38"/>
      <c r="R4" s="38"/>
      <c r="S4" s="38"/>
      <c r="T4" s="39"/>
      <c r="U4" s="39"/>
      <c r="V4" s="39"/>
      <c r="W4" s="35"/>
      <c r="X4" s="36"/>
      <c r="Y4" s="39"/>
      <c r="Z4" s="13"/>
      <c r="AA4" s="22"/>
    </row>
    <row r="5" spans="1:27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247"/>
      <c r="K5" s="37"/>
      <c r="L5" s="262"/>
      <c r="M5" s="37"/>
      <c r="N5" s="37"/>
      <c r="O5" s="37"/>
      <c r="P5" s="37"/>
      <c r="Q5" s="38"/>
      <c r="R5" s="38"/>
      <c r="S5" s="38"/>
      <c r="T5" s="39"/>
      <c r="U5" s="39"/>
      <c r="V5" s="39"/>
      <c r="W5" s="35"/>
      <c r="X5" s="36"/>
      <c r="Y5" s="39"/>
      <c r="Z5" s="13"/>
      <c r="AA5" s="22"/>
    </row>
    <row r="6" spans="1:27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247"/>
      <c r="K6" s="37"/>
      <c r="L6" s="262"/>
      <c r="M6" s="37"/>
      <c r="N6" s="37"/>
      <c r="O6" s="37"/>
      <c r="P6" s="37"/>
      <c r="Q6" s="38"/>
      <c r="R6" s="38"/>
      <c r="S6" s="38"/>
      <c r="T6" s="39"/>
      <c r="U6" s="39"/>
      <c r="V6" s="39"/>
      <c r="W6" s="35"/>
      <c r="X6" s="36"/>
      <c r="Y6" s="39"/>
      <c r="Z6" s="13"/>
      <c r="AA6" s="22"/>
    </row>
    <row r="7" spans="1:27" ht="15" customHeight="1" x14ac:dyDescent="0.25">
      <c r="A7" s="315" t="s">
        <v>143</v>
      </c>
      <c r="B7" s="315"/>
      <c r="C7" s="315"/>
      <c r="D7" s="315"/>
      <c r="E7" s="315"/>
      <c r="F7" s="316"/>
      <c r="G7" s="316"/>
      <c r="H7" s="35"/>
      <c r="I7" s="35"/>
      <c r="J7" s="247"/>
      <c r="K7" s="37"/>
      <c r="L7" s="262"/>
      <c r="M7" s="37"/>
      <c r="N7" s="37"/>
      <c r="O7" s="37"/>
      <c r="P7" s="37"/>
      <c r="Q7" s="38"/>
      <c r="R7" s="38"/>
      <c r="S7" s="38"/>
      <c r="T7" s="231" t="s">
        <v>147</v>
      </c>
      <c r="U7" s="231"/>
      <c r="V7" s="231"/>
      <c r="W7" s="231"/>
      <c r="X7" s="231"/>
      <c r="Y7" s="231" t="s">
        <v>148</v>
      </c>
      <c r="Z7" s="231"/>
      <c r="AA7" s="231"/>
    </row>
    <row r="8" spans="1:27" ht="15" customHeight="1" x14ac:dyDescent="0.25">
      <c r="A8" s="44" t="s">
        <v>212</v>
      </c>
      <c r="B8" s="45"/>
      <c r="C8" s="45"/>
      <c r="D8" s="46"/>
      <c r="E8" s="46"/>
      <c r="F8" s="36"/>
      <c r="G8" s="46"/>
      <c r="H8" s="35"/>
      <c r="I8" s="35"/>
      <c r="J8" s="247"/>
      <c r="K8" s="37"/>
      <c r="L8" s="262"/>
      <c r="M8" s="37"/>
      <c r="N8" s="37"/>
      <c r="O8" s="37"/>
      <c r="P8" s="37"/>
      <c r="Q8" s="38"/>
      <c r="R8" s="38"/>
      <c r="S8" s="38"/>
      <c r="T8" s="190" t="s">
        <v>324</v>
      </c>
      <c r="U8" s="191"/>
      <c r="V8" s="192"/>
      <c r="W8" s="193"/>
      <c r="X8" s="194"/>
      <c r="Y8" s="195">
        <v>46219</v>
      </c>
      <c r="Z8" s="232"/>
      <c r="AA8" s="233"/>
    </row>
    <row r="9" spans="1:27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247"/>
      <c r="K9" s="37"/>
      <c r="L9" s="262"/>
      <c r="M9" s="37"/>
      <c r="N9" s="37"/>
      <c r="O9" s="37"/>
      <c r="P9" s="37"/>
      <c r="Q9" s="38"/>
      <c r="R9" s="38"/>
      <c r="S9" s="38"/>
      <c r="T9" s="225"/>
      <c r="U9" s="317"/>
      <c r="V9" s="317"/>
      <c r="W9" s="228"/>
      <c r="X9" s="234"/>
      <c r="Y9" s="235"/>
      <c r="Z9" s="232"/>
      <c r="AA9" s="233"/>
    </row>
    <row r="10" spans="1:27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247"/>
      <c r="K10" s="37"/>
      <c r="L10" s="262"/>
      <c r="M10" s="37"/>
      <c r="N10" s="37"/>
      <c r="O10" s="37"/>
      <c r="P10" s="37"/>
      <c r="Q10" s="38"/>
      <c r="R10" s="38"/>
      <c r="S10" s="38"/>
      <c r="T10" s="236" t="s">
        <v>149</v>
      </c>
      <c r="U10" s="231"/>
      <c r="V10" s="231"/>
      <c r="W10" s="231"/>
      <c r="X10" s="231"/>
      <c r="Y10" s="231" t="s">
        <v>150</v>
      </c>
      <c r="Z10" s="231"/>
      <c r="AA10" s="231"/>
    </row>
    <row r="11" spans="1:27" ht="15" customHeight="1" x14ac:dyDescent="0.25">
      <c r="A11" s="188" t="s">
        <v>288</v>
      </c>
      <c r="B11" s="34"/>
      <c r="C11" s="35"/>
      <c r="D11" s="35"/>
      <c r="E11" s="46"/>
      <c r="F11" s="46"/>
      <c r="G11" s="46"/>
      <c r="H11" s="35"/>
      <c r="I11" s="35"/>
      <c r="J11" s="247"/>
      <c r="K11" s="37"/>
      <c r="L11" s="262"/>
      <c r="M11" s="37"/>
      <c r="N11" s="37"/>
      <c r="O11" s="37"/>
      <c r="P11" s="37"/>
      <c r="Q11" s="38"/>
      <c r="R11" s="38"/>
      <c r="S11" s="38"/>
      <c r="T11" s="190" t="s">
        <v>316</v>
      </c>
      <c r="U11" s="190"/>
      <c r="V11" s="190"/>
      <c r="W11" s="193"/>
      <c r="X11" s="194"/>
      <c r="Y11" s="190"/>
      <c r="Z11" s="232"/>
      <c r="AA11" s="233"/>
    </row>
    <row r="12" spans="1:27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247"/>
      <c r="K12" s="37"/>
      <c r="L12" s="262"/>
      <c r="M12" s="37"/>
      <c r="N12" s="37"/>
      <c r="O12" s="37"/>
      <c r="P12" s="37"/>
      <c r="Q12" s="38"/>
      <c r="R12" s="38"/>
      <c r="S12" s="38"/>
      <c r="T12" s="190"/>
      <c r="U12" s="190"/>
      <c r="V12" s="190"/>
      <c r="W12" s="190"/>
      <c r="X12" s="194"/>
      <c r="Y12" s="237"/>
      <c r="Z12" s="232"/>
      <c r="AA12" s="233"/>
    </row>
    <row r="13" spans="1:27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4"/>
      <c r="K13" s="50"/>
      <c r="L13" s="263" t="s">
        <v>137</v>
      </c>
      <c r="M13" s="50"/>
      <c r="N13" s="50"/>
      <c r="O13" s="50"/>
      <c r="P13" s="50"/>
      <c r="Q13" s="51"/>
      <c r="R13" s="51" t="s">
        <v>138</v>
      </c>
      <c r="S13" s="51"/>
      <c r="T13" s="52"/>
      <c r="U13" s="52" t="s">
        <v>134</v>
      </c>
      <c r="V13" s="52"/>
      <c r="W13" s="35"/>
      <c r="X13" s="35"/>
      <c r="Y13" s="89"/>
      <c r="Z13" s="16" t="s">
        <v>142</v>
      </c>
    </row>
    <row r="14" spans="1:27" s="210" customFormat="1" ht="39.75" customHeight="1" x14ac:dyDescent="0.2">
      <c r="A14" s="212" t="s">
        <v>158</v>
      </c>
      <c r="B14" s="212" t="s">
        <v>0</v>
      </c>
      <c r="C14" s="212" t="s">
        <v>1</v>
      </c>
      <c r="D14" s="213" t="s">
        <v>135</v>
      </c>
      <c r="E14" s="213" t="s">
        <v>157</v>
      </c>
      <c r="F14" s="213" t="s">
        <v>3</v>
      </c>
      <c r="G14" s="213" t="s">
        <v>152</v>
      </c>
      <c r="H14" s="213" t="s">
        <v>105</v>
      </c>
      <c r="I14" s="213" t="s">
        <v>5</v>
      </c>
      <c r="J14" s="248" t="s">
        <v>64</v>
      </c>
      <c r="K14" s="216" t="s">
        <v>136</v>
      </c>
      <c r="L14" s="264" t="s">
        <v>24</v>
      </c>
      <c r="M14" s="216" t="s">
        <v>108</v>
      </c>
      <c r="N14" s="216"/>
      <c r="O14" s="216"/>
      <c r="P14" s="216"/>
      <c r="Q14" s="217" t="s">
        <v>136</v>
      </c>
      <c r="R14" s="217" t="s">
        <v>24</v>
      </c>
      <c r="S14" s="259" t="s">
        <v>108</v>
      </c>
      <c r="T14" s="213" t="s">
        <v>136</v>
      </c>
      <c r="U14" s="213" t="s">
        <v>24</v>
      </c>
      <c r="V14" s="213" t="s">
        <v>108</v>
      </c>
      <c r="W14" s="218" t="s">
        <v>159</v>
      </c>
      <c r="X14" s="219" t="s">
        <v>6</v>
      </c>
      <c r="Y14" s="220" t="s">
        <v>7</v>
      </c>
      <c r="Z14" s="220" t="s">
        <v>140</v>
      </c>
      <c r="AA14" s="220" t="s">
        <v>141</v>
      </c>
    </row>
    <row r="15" spans="1:27" s="210" customFormat="1" ht="31.5" customHeight="1" x14ac:dyDescent="0.2">
      <c r="A15" s="196">
        <v>1</v>
      </c>
      <c r="B15" s="196"/>
      <c r="C15" s="196" t="s">
        <v>89</v>
      </c>
      <c r="D15" s="197"/>
      <c r="E15" s="197" t="s">
        <v>11</v>
      </c>
      <c r="F15" s="198" t="s">
        <v>123</v>
      </c>
      <c r="G15" s="199" t="str">
        <f>IF(COUNTIFS($C$15:C15,C15,$H$15:H15,H15)=1,
SUMIFS($I$15:$I$43,$C$15:$C$43,C15,$H$15:$H$43,H15)&amp;H15&amp;" "&amp;C15,
"")</f>
        <v>2K CFN30100W</v>
      </c>
      <c r="H15" s="250" t="s">
        <v>18</v>
      </c>
      <c r="I15" s="200">
        <v>1</v>
      </c>
      <c r="J15" s="249"/>
      <c r="K15" s="201" cm="1">
        <f t="array" ref="K15">IF(E15="untrim",_xlfn.XLOOKUP(1,(TRIM('SIZE GUIDE'!$A$3:$A$2015)=TRIM(E15))*(TRIM('SIZE GUIDE'!$B$3:$B$2015)=TRIM(F15))*(TRIM('SIZE GUIDE'!$C$3:$C$2015)=TRIM(H15)),'SIZE GUIDE'!$D$3:$D$2015),"")</f>
        <v>81</v>
      </c>
      <c r="L15" s="265" cm="1">
        <f t="array" ref="L15">IF(E15="untrim",IFERROR(INDEX('SIZE GUIDE'!$E:$E,MATCH(1,('SIZE GUIDE'!$A:$A=$E15)*('SIZE GUIDE'!$B:$B=$F15)*('SIZE GUIDE'!$C:$C=$H15),0)),""),"")</f>
        <v>77</v>
      </c>
      <c r="M15" s="202">
        <v>45.5</v>
      </c>
      <c r="N15" s="202"/>
      <c r="O15" s="202"/>
      <c r="P15" s="202"/>
      <c r="Q15" s="203"/>
      <c r="R15" s="203" t="str" cm="1">
        <f t="array" ref="R15">IF(E15="trim",IFERROR(INDEX('SIZE GUIDE'!$E:$E,MATCH(1,('SIZE GUIDE'!$A:$A=$E15)*('SIZE GUIDE'!$B:$B=$F15)*('SIZE GUIDE'!$C:$C=$H15),0)),""),"")</f>
        <v/>
      </c>
      <c r="S15" s="203"/>
      <c r="T15" s="204">
        <f t="shared" ref="T15:T34" si="0">IF(E15="untrim",K15-1.5,Q15)</f>
        <v>79.5</v>
      </c>
      <c r="U15" s="198">
        <f t="shared" ref="U15:U34" si="1">IF(E15="untrim",L15-1.5,R15)</f>
        <v>75.5</v>
      </c>
      <c r="V15" s="198">
        <f t="shared" ref="V15:V20" si="2">IF(E15="untrim",M15-0.5,S15-0.5)</f>
        <v>45</v>
      </c>
      <c r="W15" s="205">
        <f>IFERROR(T15*U15*V15/144*I15,"")</f>
        <v>1875.703125</v>
      </c>
      <c r="X15" s="206">
        <f>SUMIFS(CODE_PRICE!F:F,CODE_PRICE!B:B,C15,CODE_PRICE!A:A,$A$8)</f>
        <v>0.1895</v>
      </c>
      <c r="Y15" s="207">
        <f t="shared" ref="Y15:Y34" si="3">W15*X15</f>
        <v>355.4457421875</v>
      </c>
      <c r="Z15" s="208" t="str">
        <f>IF(COUNTIF($C$15:C15,C15)=1,C15 &amp; " - " &amp; TEXT(SUMIF($C:$C,C15,$W:$W),"0.00"),"")</f>
        <v>CFN30100W - 11233.27</v>
      </c>
      <c r="AA15" s="209">
        <f>IF(COUNTIF($C$15:C15,C15)=1,ROUND(SUMIF($C:$C,C15,$Y:$Y),2), "")</f>
        <v>2128.71</v>
      </c>
    </row>
    <row r="16" spans="1:27" s="210" customFormat="1" ht="31.5" customHeight="1" x14ac:dyDescent="0.2">
      <c r="A16" s="196">
        <f>A15+1</f>
        <v>2</v>
      </c>
      <c r="B16" s="196"/>
      <c r="C16" s="196" t="s">
        <v>89</v>
      </c>
      <c r="D16" s="197"/>
      <c r="E16" s="197" t="s">
        <v>11</v>
      </c>
      <c r="F16" s="198" t="s">
        <v>123</v>
      </c>
      <c r="G16" s="199" t="str">
        <f>IF(COUNTIFS($C$15:C16,C16,$H$15:H16,H16)=1,
SUMIFS($I$15:$I$43,$C$15:$C$43,C16,$H$15:$H$43,H16)&amp;H16&amp;" "&amp;C16,
"")</f>
        <v/>
      </c>
      <c r="H16" s="250" t="s">
        <v>18</v>
      </c>
      <c r="I16" s="200">
        <v>1</v>
      </c>
      <c r="J16" s="249"/>
      <c r="K16" s="201" cm="1">
        <f t="array" ref="K16">IF(E16="untrim",_xlfn.XLOOKUP(1,(TRIM('SIZE GUIDE'!$A$3:$A$2015)=TRIM(E16))*(TRIM('SIZE GUIDE'!$B$3:$B$2015)=TRIM(F16))*(TRIM('SIZE GUIDE'!$C$3:$C$2015)=TRIM(H16)),'SIZE GUIDE'!$D$3:$D$2015),"")</f>
        <v>81</v>
      </c>
      <c r="L16" s="265" cm="1">
        <f t="array" ref="L16">IF(E16="untrim",IFERROR(INDEX('SIZE GUIDE'!$E:$E,MATCH(1,('SIZE GUIDE'!$A:$A=$E16)*('SIZE GUIDE'!$B:$B=$F16)*('SIZE GUIDE'!$C:$C=$H16),0)),""),"")</f>
        <v>77</v>
      </c>
      <c r="M16" s="202">
        <v>45.5</v>
      </c>
      <c r="N16" s="202"/>
      <c r="O16" s="202"/>
      <c r="P16" s="202"/>
      <c r="Q16" s="203"/>
      <c r="R16" s="203" t="str" cm="1">
        <f t="array" ref="R16">IF(E16="trim",IFERROR(INDEX('SIZE GUIDE'!$E:$E,MATCH(1,('SIZE GUIDE'!$A:$A=$E16)*('SIZE GUIDE'!$B:$B=$F16)*('SIZE GUIDE'!$C:$C=$H16),0)),""),"")</f>
        <v/>
      </c>
      <c r="S16" s="203"/>
      <c r="T16" s="204">
        <f t="shared" si="0"/>
        <v>79.5</v>
      </c>
      <c r="U16" s="198">
        <f t="shared" si="1"/>
        <v>75.5</v>
      </c>
      <c r="V16" s="198">
        <f t="shared" si="2"/>
        <v>45</v>
      </c>
      <c r="W16" s="205">
        <f t="shared" ref="W16:W34" si="4">IFERROR(T16*U16*V16/144*I16,"")</f>
        <v>1875.703125</v>
      </c>
      <c r="X16" s="206">
        <f>SUMIFS(CODE_PRICE!F:F,CODE_PRICE!B:B,C16,CODE_PRICE!A:A,$A$8)</f>
        <v>0.1895</v>
      </c>
      <c r="Y16" s="207">
        <f t="shared" si="3"/>
        <v>355.4457421875</v>
      </c>
      <c r="Z16" s="208" t="str">
        <f>IF(COUNTIF($C$15:C16,C16)=1,C16 &amp; " - " &amp; TEXT(SUMIF($C:$C,C16,$W:$W),"0.00"),"")</f>
        <v/>
      </c>
      <c r="AA16" s="209" t="str">
        <f>IF(COUNTIF($C$15:C16,C16)=1,ROUND(SUMIF($C:$C,C16,$Y:$Y),2), "")</f>
        <v/>
      </c>
    </row>
    <row r="17" spans="1:37" s="210" customFormat="1" ht="31.5" customHeight="1" x14ac:dyDescent="0.2">
      <c r="A17" s="196">
        <f t="shared" ref="A17:A34" si="5">A16+1</f>
        <v>3</v>
      </c>
      <c r="B17" s="196"/>
      <c r="C17" s="196" t="s">
        <v>89</v>
      </c>
      <c r="D17" s="197"/>
      <c r="E17" s="197" t="s">
        <v>11</v>
      </c>
      <c r="F17" s="198" t="s">
        <v>123</v>
      </c>
      <c r="G17" s="199" t="str">
        <f>IF(COUNTIFS($C$15:C17,C17,$H$15:H17,H17)=1,
SUMIFS($I$15:$I$43,$C$15:$C$43,C17,$H$15:$H$43,H17)&amp;H17&amp;" "&amp;C17,
"")</f>
        <v>4Q CFN30100W</v>
      </c>
      <c r="H17" s="250" t="s">
        <v>16</v>
      </c>
      <c r="I17" s="200">
        <v>1</v>
      </c>
      <c r="J17" s="249"/>
      <c r="K17" s="201" cm="1">
        <f t="array" ref="K17">IF(E17="untrim",_xlfn.XLOOKUP(1,(TRIM('SIZE GUIDE'!$A$3:$A$2015)=TRIM(E17))*(TRIM('SIZE GUIDE'!$B$3:$B$2015)=TRIM(F17))*(TRIM('SIZE GUIDE'!$C$3:$C$2015)=TRIM(H17)),'SIZE GUIDE'!$D$3:$D$2015),"")</f>
        <v>81</v>
      </c>
      <c r="L17" s="265" cm="1">
        <f t="array" ref="L17">IF(E17="untrim",IFERROR(INDEX('SIZE GUIDE'!$E:$E,MATCH(1,('SIZE GUIDE'!$A:$A=$E17)*('SIZE GUIDE'!$B:$B=$F17)*('SIZE GUIDE'!$C:$C=$H17),0)),""),"")</f>
        <v>61</v>
      </c>
      <c r="M17" s="202">
        <v>45</v>
      </c>
      <c r="N17" s="202"/>
      <c r="O17" s="202"/>
      <c r="P17" s="202"/>
      <c r="Q17" s="203"/>
      <c r="R17" s="203" t="str" cm="1">
        <f t="array" ref="R17">IF(E17="trim",IFERROR(INDEX('SIZE GUIDE'!$E:$E,MATCH(1,('SIZE GUIDE'!$A:$A=$E17)*('SIZE GUIDE'!$B:$B=$F17)*('SIZE GUIDE'!$C:$C=$H17),0)),""),"")</f>
        <v/>
      </c>
      <c r="S17" s="203"/>
      <c r="T17" s="204">
        <f t="shared" si="0"/>
        <v>79.5</v>
      </c>
      <c r="U17" s="198">
        <f t="shared" si="1"/>
        <v>59.5</v>
      </c>
      <c r="V17" s="198">
        <f t="shared" si="2"/>
        <v>44.5</v>
      </c>
      <c r="W17" s="205">
        <f t="shared" si="4"/>
        <v>1461.7786458333333</v>
      </c>
      <c r="X17" s="206">
        <f>SUMIFS(CODE_PRICE!F:F,CODE_PRICE!B:B,C17,CODE_PRICE!A:A,$A$8)</f>
        <v>0.1895</v>
      </c>
      <c r="Y17" s="207">
        <f t="shared" si="3"/>
        <v>277.00705338541667</v>
      </c>
      <c r="Z17" s="208" t="str">
        <f>IF(COUNTIF($C$15:C17,C17)=1,C17 &amp; " - " &amp; TEXT(SUMIF($C:$C,C17,$W:$W),"0.00"),"")</f>
        <v/>
      </c>
      <c r="AA17" s="209" t="str">
        <f>IF(COUNTIF($C$15:C17,C17)=1,ROUND(SUMIF($C:$C,C17,$Y:$Y),2), "")</f>
        <v/>
      </c>
    </row>
    <row r="18" spans="1:37" s="210" customFormat="1" ht="31.5" customHeight="1" x14ac:dyDescent="0.2">
      <c r="A18" s="196">
        <f t="shared" si="5"/>
        <v>4</v>
      </c>
      <c r="B18" s="196"/>
      <c r="C18" s="196" t="s">
        <v>89</v>
      </c>
      <c r="D18" s="197"/>
      <c r="E18" s="197" t="s">
        <v>11</v>
      </c>
      <c r="F18" s="198" t="s">
        <v>123</v>
      </c>
      <c r="G18" s="199" t="str">
        <f>IF(COUNTIFS($C$15:C18,C18,$H$15:H18,H18)=1,
SUMIFS($I$15:$I$43,$C$15:$C$43,C18,$H$15:$H$43,H18)&amp;H18&amp;" "&amp;C18,
"")</f>
        <v/>
      </c>
      <c r="H18" s="250" t="s">
        <v>16</v>
      </c>
      <c r="I18" s="200">
        <v>1</v>
      </c>
      <c r="J18" s="249"/>
      <c r="K18" s="201" cm="1">
        <f t="array" ref="K18">IF(E18="untrim",_xlfn.XLOOKUP(1,(TRIM('SIZE GUIDE'!$A$3:$A$2015)=TRIM(E18))*(TRIM('SIZE GUIDE'!$B$3:$B$2015)=TRIM(F18))*(TRIM('SIZE GUIDE'!$C$3:$C$2015)=TRIM(H18)),'SIZE GUIDE'!$D$3:$D$2015),"")</f>
        <v>81</v>
      </c>
      <c r="L18" s="265" cm="1">
        <f t="array" ref="L18">IF(E18="untrim",IFERROR(INDEX('SIZE GUIDE'!$E:$E,MATCH(1,('SIZE GUIDE'!$A:$A=$E18)*('SIZE GUIDE'!$B:$B=$F18)*('SIZE GUIDE'!$C:$C=$H18),0)),""),"")</f>
        <v>61</v>
      </c>
      <c r="M18" s="202">
        <v>45.5</v>
      </c>
      <c r="N18" s="202"/>
      <c r="O18" s="202"/>
      <c r="P18" s="202"/>
      <c r="Q18" s="203"/>
      <c r="R18" s="203" t="str" cm="1">
        <f t="array" ref="R18">IF(E18="trim",IFERROR(INDEX('SIZE GUIDE'!$E:$E,MATCH(1,('SIZE GUIDE'!$A:$A=$E18)*('SIZE GUIDE'!$B:$B=$F18)*('SIZE GUIDE'!$C:$C=$H18),0)),""),"")</f>
        <v/>
      </c>
      <c r="S18" s="203"/>
      <c r="T18" s="204">
        <f t="shared" si="0"/>
        <v>79.5</v>
      </c>
      <c r="U18" s="198">
        <f t="shared" si="1"/>
        <v>59.5</v>
      </c>
      <c r="V18" s="198">
        <f t="shared" si="2"/>
        <v>45</v>
      </c>
      <c r="W18" s="205">
        <f t="shared" si="4"/>
        <v>1478.203125</v>
      </c>
      <c r="X18" s="206">
        <f>SUMIFS(CODE_PRICE!F:F,CODE_PRICE!B:B,C18,CODE_PRICE!A:A,$A$8)</f>
        <v>0.1895</v>
      </c>
      <c r="Y18" s="207">
        <f t="shared" si="3"/>
        <v>280.11949218749999</v>
      </c>
      <c r="Z18" s="208" t="str">
        <f>IF(COUNTIF($C$15:C18,C18)=1,C18 &amp; " - " &amp; TEXT(SUMIF($C:$C,C18,$W:$W),"0.00"),"")</f>
        <v/>
      </c>
      <c r="AA18" s="209" t="str">
        <f>IF(COUNTIF($C$15:C18,C18)=1,ROUND(SUMIF($C:$C,C18,$Y:$Y),2), "")</f>
        <v/>
      </c>
      <c r="AK18" s="211"/>
    </row>
    <row r="19" spans="1:37" s="210" customFormat="1" ht="31.5" customHeight="1" x14ac:dyDescent="0.2">
      <c r="A19" s="196">
        <f t="shared" si="5"/>
        <v>5</v>
      </c>
      <c r="B19" s="196"/>
      <c r="C19" s="196" t="s">
        <v>89</v>
      </c>
      <c r="D19" s="197"/>
      <c r="E19" s="197" t="s">
        <v>11</v>
      </c>
      <c r="F19" s="198" t="s">
        <v>123</v>
      </c>
      <c r="G19" s="199" t="str">
        <f>IF(COUNTIFS($C$15:C19,C19,$H$15:H19,H19)=1,
SUMIFS($I$15:$I$43,$C$15:$C$43,C19,$H$15:$H$43,H19)&amp;H19&amp;" "&amp;C19,
"")</f>
        <v/>
      </c>
      <c r="H19" s="250" t="s">
        <v>16</v>
      </c>
      <c r="I19" s="200">
        <v>1</v>
      </c>
      <c r="J19" s="249"/>
      <c r="K19" s="201" cm="1">
        <f t="array" ref="K19">IF(E19="untrim",_xlfn.XLOOKUP(1,(TRIM('SIZE GUIDE'!$A$3:$A$2015)=TRIM(E19))*(TRIM('SIZE GUIDE'!$B$3:$B$2015)=TRIM(F19))*(TRIM('SIZE GUIDE'!$C$3:$C$2015)=TRIM(H19)),'SIZE GUIDE'!$D$3:$D$2015),"")</f>
        <v>81</v>
      </c>
      <c r="L19" s="265" cm="1">
        <f t="array" ref="L19">IF(E19="untrim",IFERROR(INDEX('SIZE GUIDE'!$E:$E,MATCH(1,('SIZE GUIDE'!$A:$A=$E19)*('SIZE GUIDE'!$B:$B=$F19)*('SIZE GUIDE'!$C:$C=$H19),0)),""),"")</f>
        <v>61</v>
      </c>
      <c r="M19" s="202">
        <v>42</v>
      </c>
      <c r="N19" s="202"/>
      <c r="O19" s="202"/>
      <c r="P19" s="202"/>
      <c r="Q19" s="203"/>
      <c r="R19" s="203" t="str" cm="1">
        <f t="array" ref="R19">IF(E19="trim",IFERROR(INDEX('SIZE GUIDE'!$E:$E,MATCH(1,('SIZE GUIDE'!$A:$A=$E19)*('SIZE GUIDE'!$B:$B=$F19)*('SIZE GUIDE'!$C:$C=$H19),0)),""),"")</f>
        <v/>
      </c>
      <c r="S19" s="203"/>
      <c r="T19" s="204">
        <f t="shared" si="0"/>
        <v>79.5</v>
      </c>
      <c r="U19" s="198">
        <f t="shared" si="1"/>
        <v>59.5</v>
      </c>
      <c r="V19" s="198">
        <f t="shared" si="2"/>
        <v>41.5</v>
      </c>
      <c r="W19" s="205">
        <f t="shared" si="4"/>
        <v>1363.2317708333333</v>
      </c>
      <c r="X19" s="206">
        <f>SUMIFS(CODE_PRICE!F:F,CODE_PRICE!B:B,C19,CODE_PRICE!A:A,$A$8)</f>
        <v>0.1895</v>
      </c>
      <c r="Y19" s="207">
        <f t="shared" si="3"/>
        <v>258.33242057291665</v>
      </c>
      <c r="Z19" s="208" t="str">
        <f>IF(COUNTIF($C$15:C19,C19)=1,C19 &amp; " - " &amp; TEXT(SUMIF($C:$C,C19,$W:$W),"0.00"),"")</f>
        <v/>
      </c>
      <c r="AA19" s="209" t="str">
        <f>IF(COUNTIF($C$15:C19,C19)=1,ROUND(SUMIF($C:$C,C19,$Y:$Y),2), "")</f>
        <v/>
      </c>
    </row>
    <row r="20" spans="1:37" s="210" customFormat="1" ht="31.5" customHeight="1" x14ac:dyDescent="0.2">
      <c r="A20" s="196">
        <f t="shared" si="5"/>
        <v>6</v>
      </c>
      <c r="B20" s="196"/>
      <c r="C20" s="196" t="s">
        <v>89</v>
      </c>
      <c r="D20" s="197"/>
      <c r="E20" s="197" t="s">
        <v>11</v>
      </c>
      <c r="F20" s="198" t="s">
        <v>123</v>
      </c>
      <c r="G20" s="199" t="str">
        <f>IF(COUNTIFS($C$15:C20,C20,$H$15:H20,H20)=1,
SUMIFS($I$15:$I$43,$C$15:$C$43,C20,$H$15:$H$43,H20)&amp;H20&amp;" "&amp;C20,
"")</f>
        <v/>
      </c>
      <c r="H20" s="250" t="s">
        <v>16</v>
      </c>
      <c r="I20" s="200">
        <v>1</v>
      </c>
      <c r="J20" s="249"/>
      <c r="K20" s="201" cm="1">
        <f t="array" ref="K20">IF(E20="untrim",_xlfn.XLOOKUP(1,(TRIM('SIZE GUIDE'!$A$3:$A$2015)=TRIM(E20))*(TRIM('SIZE GUIDE'!$B$3:$B$2015)=TRIM(F20))*(TRIM('SIZE GUIDE'!$C$3:$C$2015)=TRIM(H20)),'SIZE GUIDE'!$D$3:$D$2015),"")</f>
        <v>81</v>
      </c>
      <c r="L20" s="265" cm="1">
        <f t="array" ref="L20">IF(E20="untrim",IFERROR(INDEX('SIZE GUIDE'!$E:$E,MATCH(1,('SIZE GUIDE'!$A:$A=$E20)*('SIZE GUIDE'!$B:$B=$F20)*('SIZE GUIDE'!$C:$C=$H20),0)),""),"")</f>
        <v>61</v>
      </c>
      <c r="M20" s="202">
        <v>41.5</v>
      </c>
      <c r="N20" s="202"/>
      <c r="O20" s="202"/>
      <c r="P20" s="202"/>
      <c r="Q20" s="203"/>
      <c r="R20" s="203" t="str" cm="1">
        <f t="array" ref="R20">IF(E20="trim",IFERROR(INDEX('SIZE GUIDE'!$E:$E,MATCH(1,('SIZE GUIDE'!$A:$A=$E20)*('SIZE GUIDE'!$B:$B=$F20)*('SIZE GUIDE'!$C:$C=$H20),0)),""),"")</f>
        <v/>
      </c>
      <c r="S20" s="203"/>
      <c r="T20" s="204">
        <f t="shared" si="0"/>
        <v>79.5</v>
      </c>
      <c r="U20" s="198">
        <f t="shared" si="1"/>
        <v>59.5</v>
      </c>
      <c r="V20" s="198">
        <f t="shared" si="2"/>
        <v>41</v>
      </c>
      <c r="W20" s="205">
        <f t="shared" si="4"/>
        <v>1346.8072916666667</v>
      </c>
      <c r="X20" s="206">
        <f>SUMIFS(CODE_PRICE!F:F,CODE_PRICE!B:B,C20,CODE_PRICE!A:A,$A$8)</f>
        <v>0.1895</v>
      </c>
      <c r="Y20" s="207">
        <f t="shared" si="3"/>
        <v>255.21998177083336</v>
      </c>
      <c r="Z20" s="208" t="str">
        <f>IF(COUNTIF($C$15:C20,C20)=1,C20 &amp; " - " &amp; TEXT(SUMIF($C:$C,C20,$W:$W),"0.00"),"")</f>
        <v/>
      </c>
      <c r="AA20" s="209" t="str">
        <f>IF(COUNTIF($C$15:C20,C20)=1,ROUND(SUMIF($C:$C,C20,$Y:$Y),2), "")</f>
        <v/>
      </c>
    </row>
    <row r="21" spans="1:37" s="210" customFormat="1" ht="31.5" customHeight="1" x14ac:dyDescent="0.2">
      <c r="A21" s="196">
        <f t="shared" si="5"/>
        <v>7</v>
      </c>
      <c r="B21" s="196"/>
      <c r="C21" s="196" t="s">
        <v>89</v>
      </c>
      <c r="D21" s="197"/>
      <c r="E21" s="197" t="s">
        <v>11</v>
      </c>
      <c r="F21" s="198" t="s">
        <v>123</v>
      </c>
      <c r="G21" s="199" t="str">
        <f>IF(COUNTIFS($C$15:C21,C21,$H$15:H21,H21)=1,
SUMIFS($I$15:$I$43,$C$15:$C$43,C21,$H$15:$H$43,H21)&amp;H21&amp;" "&amp;C21,
"")</f>
        <v>1F CFN30100W</v>
      </c>
      <c r="H21" s="250" t="s">
        <v>14</v>
      </c>
      <c r="I21" s="200">
        <v>1</v>
      </c>
      <c r="J21" s="249"/>
      <c r="K21" s="201" cm="1">
        <f t="array" ref="K21">IF(E21="untrim",_xlfn.XLOOKUP(1,(TRIM('SIZE GUIDE'!$A$3:$A$2015)=TRIM(E21))*(TRIM('SIZE GUIDE'!$B$3:$B$2015)=TRIM(F21))*(TRIM('SIZE GUIDE'!$C$3:$C$2015)=TRIM(H21)),'SIZE GUIDE'!$D$3:$D$2015),"")</f>
        <v>76</v>
      </c>
      <c r="L21" s="265" cm="1">
        <f t="array" ref="L21">IF(E21="untrim",IFERROR(INDEX('SIZE GUIDE'!$E:$E,MATCH(1,('SIZE GUIDE'!$A:$A=$E21)*('SIZE GUIDE'!$B:$B=$F21)*('SIZE GUIDE'!$C:$C=$H21),0)),""),"")</f>
        <v>55</v>
      </c>
      <c r="M21" s="202">
        <v>42.5</v>
      </c>
      <c r="N21" s="202"/>
      <c r="O21" s="202"/>
      <c r="P21" s="202"/>
      <c r="Q21" s="203"/>
      <c r="R21" s="203" t="str" cm="1">
        <f t="array" ref="R21">IF(E21="trim",IFERROR(INDEX('SIZE GUIDE'!$E:$E,MATCH(1,('SIZE GUIDE'!$A:$A=$E21)*('SIZE GUIDE'!$B:$B=$F21)*('SIZE GUIDE'!$C:$C=$H21),0)),""),"")</f>
        <v/>
      </c>
      <c r="S21" s="203"/>
      <c r="T21" s="204">
        <f t="shared" si="0"/>
        <v>74.5</v>
      </c>
      <c r="U21" s="198">
        <f t="shared" si="1"/>
        <v>53.5</v>
      </c>
      <c r="V21" s="198">
        <f t="shared" ref="V21:V26" si="6">IF(E21="untrim",M22-0.5,S21-0.5)</f>
        <v>42</v>
      </c>
      <c r="W21" s="205">
        <f t="shared" si="4"/>
        <v>1162.5104166666667</v>
      </c>
      <c r="X21" s="206">
        <f>SUMIFS(CODE_PRICE!F:F,CODE_PRICE!B:B,C21,CODE_PRICE!A:A,$A$8)</f>
        <v>0.1895</v>
      </c>
      <c r="Y21" s="207">
        <f t="shared" si="3"/>
        <v>220.29572395833335</v>
      </c>
      <c r="Z21" s="208" t="str">
        <f>IF(COUNTIF($C$15:C21,C21)=1,C21 &amp; " - " &amp; TEXT(SUMIF($C:$C,C21,$W:$W),"0.00"),"")</f>
        <v/>
      </c>
      <c r="AA21" s="209" t="str">
        <f>IF(COUNTIF($C$15:C21,C21)=1,ROUND(SUMIF($C:$C,C21,$Y:$Y),2), "")</f>
        <v/>
      </c>
    </row>
    <row r="22" spans="1:37" s="210" customFormat="1" ht="31.5" customHeight="1" x14ac:dyDescent="0.2">
      <c r="A22" s="196">
        <f t="shared" si="5"/>
        <v>8</v>
      </c>
      <c r="B22" s="196"/>
      <c r="C22" s="196" t="s">
        <v>89</v>
      </c>
      <c r="D22" s="197"/>
      <c r="E22" s="197" t="s">
        <v>11</v>
      </c>
      <c r="F22" s="198" t="s">
        <v>123</v>
      </c>
      <c r="G22" s="199" t="str">
        <f>IF(COUNTIFS($C$15:C22,C22,$H$15:H22,H22)=1,
SUMIFS($I$15:$I$43,$C$15:$C$43,C22,$H$15:$H$43,H22)&amp;H22&amp;" "&amp;C22,
"")</f>
        <v>1T CFN30100W</v>
      </c>
      <c r="H22" s="250" t="s">
        <v>12</v>
      </c>
      <c r="I22" s="200">
        <v>1</v>
      </c>
      <c r="J22" s="249"/>
      <c r="K22" s="201" cm="1">
        <f t="array" ref="K22">IF(E22="untrim",_xlfn.XLOOKUP(1,(TRIM('SIZE GUIDE'!$A$3:$A$2015)=TRIM(E22))*(TRIM('SIZE GUIDE'!$B$3:$B$2015)=TRIM(F22))*(TRIM('SIZE GUIDE'!$C$3:$C$2015)=TRIM(H22)),'SIZE GUIDE'!$D$3:$D$2015),"")</f>
        <v>76</v>
      </c>
      <c r="L22" s="265" cm="1">
        <f t="array" ref="L22">IF(E22="untrim",IFERROR(INDEX('SIZE GUIDE'!$E:$E,MATCH(1,('SIZE GUIDE'!$A:$A=$E22)*('SIZE GUIDE'!$B:$B=$F22)*('SIZE GUIDE'!$C:$C=$H22),0)),""),"")</f>
        <v>39</v>
      </c>
      <c r="M22" s="202">
        <v>42.5</v>
      </c>
      <c r="N22" s="202"/>
      <c r="O22" s="202"/>
      <c r="P22" s="202"/>
      <c r="Q22" s="203"/>
      <c r="R22" s="203" t="str" cm="1">
        <f t="array" ref="R22">IF(E22="trim",IFERROR(INDEX('SIZE GUIDE'!$E:$E,MATCH(1,('SIZE GUIDE'!$A:$A=$E22)*('SIZE GUIDE'!$B:$B=$F22)*('SIZE GUIDE'!$C:$C=$H22),0)),""),"")</f>
        <v/>
      </c>
      <c r="S22" s="203"/>
      <c r="T22" s="204">
        <f t="shared" si="0"/>
        <v>74.5</v>
      </c>
      <c r="U22" s="198">
        <f t="shared" si="1"/>
        <v>37.5</v>
      </c>
      <c r="V22" s="198">
        <f t="shared" si="6"/>
        <v>34.5</v>
      </c>
      <c r="W22" s="205">
        <f t="shared" si="4"/>
        <v>669.3359375</v>
      </c>
      <c r="X22" s="206">
        <f>SUMIFS(CODE_PRICE!F:F,CODE_PRICE!B:B,C22,CODE_PRICE!A:A,$A$8)</f>
        <v>0.1895</v>
      </c>
      <c r="Y22" s="207">
        <f t="shared" si="3"/>
        <v>126.83916015625</v>
      </c>
      <c r="Z22" s="208" t="str">
        <f>IF(COUNTIF($C$15:C22,C22)=1,C22 &amp; " - " &amp; TEXT(SUMIF($C:$C,C22,$W:$W),"0.00"),"")</f>
        <v/>
      </c>
      <c r="AA22" s="209" t="str">
        <f>IF(COUNTIF($C$15:C22,C22)=1,ROUND(SUMIF($C:$C,C22,$Y:$Y),2), "")</f>
        <v/>
      </c>
      <c r="AG22" s="210" t="s">
        <v>204</v>
      </c>
    </row>
    <row r="23" spans="1:37" s="210" customFormat="1" ht="31.5" customHeight="1" x14ac:dyDescent="0.2">
      <c r="A23" s="196">
        <f t="shared" si="5"/>
        <v>9</v>
      </c>
      <c r="B23" s="196"/>
      <c r="C23" s="196" t="s">
        <v>95</v>
      </c>
      <c r="D23" s="197"/>
      <c r="E23" s="197" t="s">
        <v>11</v>
      </c>
      <c r="F23" s="198" t="s">
        <v>123</v>
      </c>
      <c r="G23" s="199" t="str">
        <f>IF(COUNTIFS($C$15:C23,C23,$H$15:H23,H23)=1,
SUMIFS($I$15:$I$43,$C$15:$C$43,C23,$H$15:$H$43,H23)&amp;H23&amp;" "&amp;C23,
"")</f>
        <v>4K CFN50131W</v>
      </c>
      <c r="H23" s="250" t="s">
        <v>18</v>
      </c>
      <c r="I23" s="200">
        <v>1</v>
      </c>
      <c r="J23" s="249"/>
      <c r="K23" s="201" cm="1">
        <f t="array" ref="K23">IF(E23="untrim",_xlfn.XLOOKUP(1,(TRIM('SIZE GUIDE'!$A$3:$A$2015)=TRIM(E23))*(TRIM('SIZE GUIDE'!$B$3:$B$2015)=TRIM(F23))*(TRIM('SIZE GUIDE'!$C$3:$C$2015)=TRIM(H23)),'SIZE GUIDE'!$D$3:$D$2015),"")</f>
        <v>81</v>
      </c>
      <c r="L23" s="265" cm="1">
        <f t="array" ref="L23">IF(E23="untrim",IFERROR(INDEX('SIZE GUIDE'!$E:$E,MATCH(1,('SIZE GUIDE'!$A:$A=$E23)*('SIZE GUIDE'!$B:$B=$F23)*('SIZE GUIDE'!$C:$C=$H23),0)),""),"")</f>
        <v>77</v>
      </c>
      <c r="M23" s="202">
        <v>35</v>
      </c>
      <c r="N23" s="202"/>
      <c r="O23" s="202"/>
      <c r="P23" s="202"/>
      <c r="Q23" s="203"/>
      <c r="R23" s="203" t="str" cm="1">
        <f t="array" ref="R23">IF(E23="trim",IFERROR(INDEX('SIZE GUIDE'!$E:$E,MATCH(1,('SIZE GUIDE'!$A:$A=$E23)*('SIZE GUIDE'!$B:$B=$F23)*('SIZE GUIDE'!$C:$C=$H23),0)),""),"")</f>
        <v/>
      </c>
      <c r="S23" s="203"/>
      <c r="T23" s="204">
        <f t="shared" si="0"/>
        <v>79.5</v>
      </c>
      <c r="U23" s="198">
        <f t="shared" si="1"/>
        <v>75.5</v>
      </c>
      <c r="V23" s="198">
        <f t="shared" si="6"/>
        <v>34</v>
      </c>
      <c r="W23" s="205">
        <f t="shared" si="4"/>
        <v>1417.1979166666667</v>
      </c>
      <c r="X23" s="206">
        <f>SUMIFS(CODE_PRICE!F:F,CODE_PRICE!B:B,C23,CODE_PRICE!A:A,$A$8)</f>
        <v>0.2316</v>
      </c>
      <c r="Y23" s="207">
        <f t="shared" si="3"/>
        <v>328.22303750000003</v>
      </c>
      <c r="Z23" s="208" t="str">
        <f>IF(COUNTIF($C$15:C23,C23)=1,C23 &amp; " - " &amp; TEXT(SUMIF($C:$C,C23,$W:$W),"0.00"),"")</f>
        <v>CFN50131W - 15847.75</v>
      </c>
      <c r="AA23" s="209">
        <f>IF(COUNTIF($C$15:C23,C23)=1,ROUND(SUMIF($C:$C,C23,$Y:$Y),2), "")</f>
        <v>3670.34</v>
      </c>
    </row>
    <row r="24" spans="1:37" s="210" customFormat="1" ht="31.5" customHeight="1" x14ac:dyDescent="0.2">
      <c r="A24" s="196">
        <f t="shared" si="5"/>
        <v>10</v>
      </c>
      <c r="B24" s="196"/>
      <c r="C24" s="196" t="s">
        <v>95</v>
      </c>
      <c r="D24" s="197"/>
      <c r="E24" s="197" t="s">
        <v>11</v>
      </c>
      <c r="F24" s="198" t="s">
        <v>123</v>
      </c>
      <c r="G24" s="199" t="str">
        <f>IF(COUNTIFS($C$15:C24,C24,$H$15:H24,H24)=1,
SUMIFS($I$15:$I$43,$C$15:$C$43,C24,$H$15:$H$43,H24)&amp;H24&amp;" "&amp;C24,
"")</f>
        <v/>
      </c>
      <c r="H24" s="250" t="s">
        <v>18</v>
      </c>
      <c r="I24" s="200">
        <v>1</v>
      </c>
      <c r="J24" s="249"/>
      <c r="K24" s="201" cm="1">
        <f t="array" ref="K24">IF(E24="untrim",_xlfn.XLOOKUP(1,(TRIM('SIZE GUIDE'!$A$3:$A$2015)=TRIM(E24))*(TRIM('SIZE GUIDE'!$B$3:$B$2015)=TRIM(F24))*(TRIM('SIZE GUIDE'!$C$3:$C$2015)=TRIM(H24)),'SIZE GUIDE'!$D$3:$D$2015),"")</f>
        <v>81</v>
      </c>
      <c r="L24" s="265" cm="1">
        <f t="array" ref="L24">IF(E24="untrim",IFERROR(INDEX('SIZE GUIDE'!$E:$E,MATCH(1,('SIZE GUIDE'!$A:$A=$E24)*('SIZE GUIDE'!$B:$B=$F24)*('SIZE GUIDE'!$C:$C=$H24),0)),""),"")</f>
        <v>77</v>
      </c>
      <c r="M24" s="202">
        <v>34.5</v>
      </c>
      <c r="N24" s="202"/>
      <c r="O24" s="202"/>
      <c r="P24" s="202"/>
      <c r="Q24" s="203"/>
      <c r="R24" s="203" t="str" cm="1">
        <f t="array" ref="R24">IF(E24="trim",IFERROR(INDEX('SIZE GUIDE'!$E:$E,MATCH(1,('SIZE GUIDE'!$A:$A=$E24)*('SIZE GUIDE'!$B:$B=$F24)*('SIZE GUIDE'!$C:$C=$H24),0)),""),"")</f>
        <v/>
      </c>
      <c r="S24" s="203"/>
      <c r="T24" s="204">
        <f t="shared" si="0"/>
        <v>79.5</v>
      </c>
      <c r="U24" s="198">
        <f t="shared" si="1"/>
        <v>75.5</v>
      </c>
      <c r="V24" s="198">
        <f t="shared" si="6"/>
        <v>36.5</v>
      </c>
      <c r="W24" s="205">
        <f t="shared" si="4"/>
        <v>1521.4036458333333</v>
      </c>
      <c r="X24" s="206">
        <f>SUMIFS(CODE_PRICE!F:F,CODE_PRICE!B:B,C24,CODE_PRICE!A:A,$A$8)</f>
        <v>0.2316</v>
      </c>
      <c r="Y24" s="207">
        <f t="shared" si="3"/>
        <v>352.357084375</v>
      </c>
      <c r="Z24" s="208" t="str">
        <f>IF(COUNTIF($C$15:C24,C24)=1,C24 &amp; " - " &amp; TEXT(SUMIF($C:$C,C24,$W:$W),"0.00"),"")</f>
        <v/>
      </c>
      <c r="AA24" s="209" t="str">
        <f>IF(COUNTIF($C$15:C24,C24)=1,ROUND(SUMIF($C:$C,C24,$Y:$Y),2), "")</f>
        <v/>
      </c>
    </row>
    <row r="25" spans="1:37" s="210" customFormat="1" ht="31.5" customHeight="1" x14ac:dyDescent="0.2">
      <c r="A25" s="196">
        <f t="shared" si="5"/>
        <v>11</v>
      </c>
      <c r="B25" s="196"/>
      <c r="C25" s="196" t="s">
        <v>95</v>
      </c>
      <c r="D25" s="197"/>
      <c r="E25" s="197" t="s">
        <v>11</v>
      </c>
      <c r="F25" s="198" t="s">
        <v>123</v>
      </c>
      <c r="G25" s="199" t="str">
        <f>IF(COUNTIFS($C$15:C25,C25,$H$15:H25,H25)=1,
SUMIFS($I$15:$I$43,$C$15:$C$43,C25,$H$15:$H$43,H25)&amp;H25&amp;" "&amp;C25,
"")</f>
        <v/>
      </c>
      <c r="H25" s="250" t="s">
        <v>18</v>
      </c>
      <c r="I25" s="200">
        <v>1</v>
      </c>
      <c r="J25" s="249"/>
      <c r="K25" s="201" cm="1">
        <f t="array" ref="K25">IF(E25="untrim",_xlfn.XLOOKUP(1,(TRIM('SIZE GUIDE'!$A$3:$A$2015)=TRIM(E25))*(TRIM('SIZE GUIDE'!$B$3:$B$2015)=TRIM(F25))*(TRIM('SIZE GUIDE'!$C$3:$C$2015)=TRIM(H25)),'SIZE GUIDE'!$D$3:$D$2015),"")</f>
        <v>81</v>
      </c>
      <c r="L25" s="265" cm="1">
        <f t="array" ref="L25">IF(E25="untrim",IFERROR(INDEX('SIZE GUIDE'!$E:$E,MATCH(1,('SIZE GUIDE'!$A:$A=$E25)*('SIZE GUIDE'!$B:$B=$F25)*('SIZE GUIDE'!$C:$C=$H25),0)),""),"")</f>
        <v>77</v>
      </c>
      <c r="M25" s="202">
        <v>37</v>
      </c>
      <c r="N25" s="202"/>
      <c r="O25" s="202"/>
      <c r="P25" s="202"/>
      <c r="Q25" s="203"/>
      <c r="R25" s="203" t="str" cm="1">
        <f t="array" ref="R25">IF(E25="trim",IFERROR(INDEX('SIZE GUIDE'!$E:$E,MATCH(1,('SIZE GUIDE'!$A:$A=$E25)*('SIZE GUIDE'!$B:$B=$F25)*('SIZE GUIDE'!$C:$C=$H25),0)),""),"")</f>
        <v/>
      </c>
      <c r="S25" s="203"/>
      <c r="T25" s="204">
        <f t="shared" si="0"/>
        <v>79.5</v>
      </c>
      <c r="U25" s="198">
        <f t="shared" si="1"/>
        <v>75.5</v>
      </c>
      <c r="V25" s="198">
        <f t="shared" si="6"/>
        <v>42.5</v>
      </c>
      <c r="W25" s="205">
        <f t="shared" si="4"/>
        <v>1771.4973958333333</v>
      </c>
      <c r="X25" s="206">
        <f>SUMIFS(CODE_PRICE!F:F,CODE_PRICE!B:B,C25,CODE_PRICE!A:A,$A$8)</f>
        <v>0.2316</v>
      </c>
      <c r="Y25" s="207">
        <f t="shared" si="3"/>
        <v>410.27879687499995</v>
      </c>
      <c r="Z25" s="208" t="str">
        <f>IF(COUNTIF($C$15:C25,C25)=1,C25 &amp; " - " &amp; TEXT(SUMIF($C:$C,C25,$W:$W),"0.00"),"")</f>
        <v/>
      </c>
      <c r="AA25" s="209" t="str">
        <f>IF(COUNTIF($C$15:C25,C25)=1,ROUND(SUMIF($C:$C,C25,$Y:$Y),2), "")</f>
        <v/>
      </c>
    </row>
    <row r="26" spans="1:37" s="210" customFormat="1" ht="31.5" customHeight="1" x14ac:dyDescent="0.2">
      <c r="A26" s="196">
        <f t="shared" si="5"/>
        <v>12</v>
      </c>
      <c r="B26" s="196"/>
      <c r="C26" s="196" t="s">
        <v>95</v>
      </c>
      <c r="D26" s="197"/>
      <c r="E26" s="197" t="s">
        <v>11</v>
      </c>
      <c r="F26" s="198" t="s">
        <v>123</v>
      </c>
      <c r="G26" s="199" t="str">
        <f>IF(COUNTIFS($C$15:C26,C26,$H$15:H26,H26)=1,
SUMIFS($I$15:$I$43,$C$15:$C$43,C26,$H$15:$H$43,H26)&amp;H26&amp;" "&amp;C26,
"")</f>
        <v/>
      </c>
      <c r="H26" s="250" t="s">
        <v>18</v>
      </c>
      <c r="I26" s="200">
        <v>1</v>
      </c>
      <c r="J26" s="249"/>
      <c r="K26" s="201" cm="1">
        <f t="array" ref="K26">IF(E26="untrim",_xlfn.XLOOKUP(1,(TRIM('SIZE GUIDE'!$A$3:$A$2015)=TRIM(E26))*(TRIM('SIZE GUIDE'!$B$3:$B$2015)=TRIM(F26))*(TRIM('SIZE GUIDE'!$C$3:$C$2015)=TRIM(H26)),'SIZE GUIDE'!$D$3:$D$2015),"")</f>
        <v>81</v>
      </c>
      <c r="L26" s="265" cm="1">
        <f t="array" ref="L26">IF(E26="untrim",IFERROR(INDEX('SIZE GUIDE'!$E:$E,MATCH(1,('SIZE GUIDE'!$A:$A=$E26)*('SIZE GUIDE'!$B:$B=$F26)*('SIZE GUIDE'!$C:$C=$H26),0)),""),"")</f>
        <v>77</v>
      </c>
      <c r="M26" s="202">
        <v>43</v>
      </c>
      <c r="N26" s="202"/>
      <c r="O26" s="202"/>
      <c r="P26" s="202"/>
      <c r="Q26" s="203"/>
      <c r="R26" s="203" t="str" cm="1">
        <f t="array" ref="R26">IF(E26="trim",IFERROR(INDEX('SIZE GUIDE'!$E:$E,MATCH(1,('SIZE GUIDE'!$A:$A=$E26)*('SIZE GUIDE'!$B:$B=$F26)*('SIZE GUIDE'!$C:$C=$H26),0)),""),"")</f>
        <v/>
      </c>
      <c r="S26" s="203"/>
      <c r="T26" s="204">
        <f t="shared" si="0"/>
        <v>79.5</v>
      </c>
      <c r="U26" s="198">
        <f t="shared" si="1"/>
        <v>75.5</v>
      </c>
      <c r="V26" s="198">
        <f t="shared" si="6"/>
        <v>39.5</v>
      </c>
      <c r="W26" s="205">
        <f t="shared" si="4"/>
        <v>1646.4505208333333</v>
      </c>
      <c r="X26" s="206">
        <f>SUMIFS(CODE_PRICE!F:F,CODE_PRICE!B:B,C26,CODE_PRICE!A:A,$A$8)</f>
        <v>0.2316</v>
      </c>
      <c r="Y26" s="207">
        <f t="shared" si="3"/>
        <v>381.31794062500001</v>
      </c>
      <c r="Z26" s="208" t="str">
        <f>IF(COUNTIF($C$15:C26,C26)=1,C26 &amp; " - " &amp; TEXT(SUMIF($C:$C,C26,$W:$W),"0.00"),"")</f>
        <v/>
      </c>
      <c r="AA26" s="209" t="str">
        <f>IF(COUNTIF($C$15:C26,C26)=1,ROUND(SUMIF($C:$C,C26,$Y:$Y),2), "")</f>
        <v/>
      </c>
    </row>
    <row r="27" spans="1:37" s="210" customFormat="1" ht="31.5" customHeight="1" x14ac:dyDescent="0.2">
      <c r="A27" s="196">
        <f t="shared" si="5"/>
        <v>13</v>
      </c>
      <c r="B27" s="196"/>
      <c r="C27" s="196" t="s">
        <v>95</v>
      </c>
      <c r="D27" s="197"/>
      <c r="E27" s="197" t="s">
        <v>11</v>
      </c>
      <c r="F27" s="198" t="s">
        <v>123</v>
      </c>
      <c r="G27" s="199" t="str">
        <f>IF(COUNTIFS($C$15:C27,C27,$H$15:H27,H27)=1,
SUMIFS($I$15:$I$43,$C$15:$C$43,C27,$H$15:$H$43,H27)&amp;H27&amp;" "&amp;C27,
"")</f>
        <v>4Q CFN50131W</v>
      </c>
      <c r="H27" s="250" t="s">
        <v>16</v>
      </c>
      <c r="I27" s="200">
        <v>1</v>
      </c>
      <c r="J27" s="249"/>
      <c r="K27" s="201" cm="1">
        <f t="array" ref="K27">IF(E27="untrim",_xlfn.XLOOKUP(1,(TRIM('SIZE GUIDE'!$A$3:$A$2015)=TRIM(E27))*(TRIM('SIZE GUIDE'!$B$3:$B$2015)=TRIM(F27))*(TRIM('SIZE GUIDE'!$C$3:$C$2015)=TRIM(H27)),'SIZE GUIDE'!$D$3:$D$2015),"")</f>
        <v>81</v>
      </c>
      <c r="L27" s="265" cm="1">
        <f t="array" ref="L27">IF(E27="untrim",IFERROR(INDEX('SIZE GUIDE'!$E:$E,MATCH(1,('SIZE GUIDE'!$A:$A=$E27)*('SIZE GUIDE'!$B:$B=$F27)*('SIZE GUIDE'!$C:$C=$H27),0)),""),"")</f>
        <v>61</v>
      </c>
      <c r="M27" s="202">
        <v>40</v>
      </c>
      <c r="N27" s="202"/>
      <c r="O27" s="202"/>
      <c r="P27" s="202"/>
      <c r="Q27" s="203"/>
      <c r="R27" s="203" t="str" cm="1">
        <f t="array" ref="R27">IF(E27="trim",IFERROR(INDEX('SIZE GUIDE'!$E:$E,MATCH(1,('SIZE GUIDE'!$A:$A=$E27)*('SIZE GUIDE'!$B:$B=$F27)*('SIZE GUIDE'!$C:$C=$H27),0)),""),"")</f>
        <v/>
      </c>
      <c r="S27" s="203"/>
      <c r="T27" s="204">
        <f t="shared" si="0"/>
        <v>79.5</v>
      </c>
      <c r="U27" s="198">
        <f t="shared" si="1"/>
        <v>59.5</v>
      </c>
      <c r="V27" s="198">
        <f t="shared" ref="V27:V34" si="7">IF(E27="untrim",M27-0.5,S27-0.5)</f>
        <v>39.5</v>
      </c>
      <c r="W27" s="205">
        <f t="shared" si="4"/>
        <v>1297.5338541666667</v>
      </c>
      <c r="X27" s="206">
        <f>SUMIFS(CODE_PRICE!F:F,CODE_PRICE!B:B,C27,CODE_PRICE!A:A,$A$8)</f>
        <v>0.2316</v>
      </c>
      <c r="Y27" s="207">
        <f t="shared" si="3"/>
        <v>300.508840625</v>
      </c>
      <c r="Z27" s="208" t="str">
        <f>IF(COUNTIF($C$15:C27,C27)=1,C27 &amp; " - " &amp; TEXT(SUMIF($C:$C,C27,$W:$W),"0.00"),"")</f>
        <v/>
      </c>
      <c r="AA27" s="209" t="str">
        <f>IF(COUNTIF($C$15:C27,C27)=1,ROUND(SUMIF($C:$C,C27,$Y:$Y),2), "")</f>
        <v/>
      </c>
    </row>
    <row r="28" spans="1:37" s="210" customFormat="1" ht="31.5" customHeight="1" x14ac:dyDescent="0.2">
      <c r="A28" s="196">
        <f t="shared" si="5"/>
        <v>14</v>
      </c>
      <c r="B28" s="196"/>
      <c r="C28" s="196" t="s">
        <v>95</v>
      </c>
      <c r="D28" s="197"/>
      <c r="E28" s="197" t="s">
        <v>11</v>
      </c>
      <c r="F28" s="198" t="s">
        <v>123</v>
      </c>
      <c r="G28" s="199" t="str">
        <f>IF(COUNTIFS($C$15:C28,C28,$H$15:H28,H28)=1,
SUMIFS($I$15:$I$43,$C$15:$C$43,C28,$H$15:$H$43,H28)&amp;H28&amp;" "&amp;C28,
"")</f>
        <v/>
      </c>
      <c r="H28" s="250" t="s">
        <v>16</v>
      </c>
      <c r="I28" s="200">
        <v>1</v>
      </c>
      <c r="J28" s="249"/>
      <c r="K28" s="201" cm="1">
        <f t="array" ref="K28">IF(E28="untrim",_xlfn.XLOOKUP(1,(TRIM('SIZE GUIDE'!$A$3:$A$2015)=TRIM(E28))*(TRIM('SIZE GUIDE'!$B$3:$B$2015)=TRIM(F28))*(TRIM('SIZE GUIDE'!$C$3:$C$2015)=TRIM(H28)),'SIZE GUIDE'!$D$3:$D$2015),"")</f>
        <v>81</v>
      </c>
      <c r="L28" s="265" cm="1">
        <f t="array" ref="L28">IF(E28="untrim",IFERROR(INDEX('SIZE GUIDE'!$E:$E,MATCH(1,('SIZE GUIDE'!$A:$A=$E28)*('SIZE GUIDE'!$B:$B=$F28)*('SIZE GUIDE'!$C:$C=$H28),0)),""),"")</f>
        <v>61</v>
      </c>
      <c r="M28" s="202">
        <v>40</v>
      </c>
      <c r="N28" s="202"/>
      <c r="O28" s="202"/>
      <c r="P28" s="202"/>
      <c r="Q28" s="203"/>
      <c r="R28" s="203" t="str" cm="1">
        <f t="array" ref="R28">IF(E28="trim",IFERROR(INDEX('SIZE GUIDE'!$E:$E,MATCH(1,('SIZE GUIDE'!$A:$A=$E28)*('SIZE GUIDE'!$B:$B=$F28)*('SIZE GUIDE'!$C:$C=$H28),0)),""),"")</f>
        <v/>
      </c>
      <c r="S28" s="203"/>
      <c r="T28" s="204">
        <f t="shared" si="0"/>
        <v>79.5</v>
      </c>
      <c r="U28" s="198">
        <f t="shared" si="1"/>
        <v>59.5</v>
      </c>
      <c r="V28" s="198">
        <f t="shared" si="7"/>
        <v>39.5</v>
      </c>
      <c r="W28" s="205">
        <f t="shared" si="4"/>
        <v>1297.5338541666667</v>
      </c>
      <c r="X28" s="206">
        <f>SUMIFS(CODE_PRICE!F:F,CODE_PRICE!B:B,C28,CODE_PRICE!A:A,$A$8)</f>
        <v>0.2316</v>
      </c>
      <c r="Y28" s="207">
        <f t="shared" si="3"/>
        <v>300.508840625</v>
      </c>
      <c r="Z28" s="208" t="str">
        <f>IF(COUNTIF($C$15:C28,C28)=1,C28 &amp; " - " &amp; TEXT(SUMIF($C:$C,C28,$W:$W),"0.00"),"")</f>
        <v/>
      </c>
      <c r="AA28" s="209" t="str">
        <f>IF(COUNTIF($C$15:C28,C28)=1,ROUND(SUMIF($C:$C,C28,$Y:$Y),2), "")</f>
        <v/>
      </c>
    </row>
    <row r="29" spans="1:37" s="210" customFormat="1" ht="31.5" customHeight="1" x14ac:dyDescent="0.2">
      <c r="A29" s="196">
        <f t="shared" si="5"/>
        <v>15</v>
      </c>
      <c r="B29" s="196"/>
      <c r="C29" s="196" t="s">
        <v>95</v>
      </c>
      <c r="D29" s="197"/>
      <c r="E29" s="197" t="s">
        <v>11</v>
      </c>
      <c r="F29" s="198" t="s">
        <v>123</v>
      </c>
      <c r="G29" s="199" t="str">
        <f>IF(COUNTIFS($C$15:C29,C29,$H$15:H29,H29)=1,
SUMIFS($I$15:$I$43,$C$15:$C$43,C29,$H$15:$H$43,H29)&amp;H29&amp;" "&amp;C29,
"")</f>
        <v/>
      </c>
      <c r="H29" s="250" t="s">
        <v>16</v>
      </c>
      <c r="I29" s="200">
        <v>1</v>
      </c>
      <c r="J29" s="249"/>
      <c r="K29" s="201" cm="1">
        <f t="array" ref="K29">IF(E29="untrim",_xlfn.XLOOKUP(1,(TRIM('SIZE GUIDE'!$A$3:$A$2015)=TRIM(E29))*(TRIM('SIZE GUIDE'!$B$3:$B$2015)=TRIM(F29))*(TRIM('SIZE GUIDE'!$C$3:$C$2015)=TRIM(H29)),'SIZE GUIDE'!$D$3:$D$2015),"")</f>
        <v>81</v>
      </c>
      <c r="L29" s="265" cm="1">
        <f t="array" ref="L29">IF(E29="untrim",IFERROR(INDEX('SIZE GUIDE'!$E:$E,MATCH(1,('SIZE GUIDE'!$A:$A=$E29)*('SIZE GUIDE'!$B:$B=$F29)*('SIZE GUIDE'!$C:$C=$H29),0)),""),"")</f>
        <v>61</v>
      </c>
      <c r="M29" s="202">
        <v>41.5</v>
      </c>
      <c r="N29" s="202"/>
      <c r="O29" s="202"/>
      <c r="P29" s="202"/>
      <c r="Q29" s="203"/>
      <c r="R29" s="203" t="str" cm="1">
        <f t="array" ref="R29">IF(E29="trim",IFERROR(INDEX('SIZE GUIDE'!$E:$E,MATCH(1,('SIZE GUIDE'!$A:$A=$E29)*('SIZE GUIDE'!$B:$B=$F29)*('SIZE GUIDE'!$C:$C=$H29),0)),""),"")</f>
        <v/>
      </c>
      <c r="S29" s="203"/>
      <c r="T29" s="204">
        <f t="shared" si="0"/>
        <v>79.5</v>
      </c>
      <c r="U29" s="198">
        <f t="shared" si="1"/>
        <v>59.5</v>
      </c>
      <c r="V29" s="198">
        <f t="shared" si="7"/>
        <v>41</v>
      </c>
      <c r="W29" s="205">
        <f t="shared" si="4"/>
        <v>1346.8072916666667</v>
      </c>
      <c r="X29" s="206">
        <f>SUMIFS(CODE_PRICE!F:F,CODE_PRICE!B:B,C29,CODE_PRICE!A:A,$A$8)</f>
        <v>0.2316</v>
      </c>
      <c r="Y29" s="207">
        <f t="shared" si="3"/>
        <v>311.92056875000003</v>
      </c>
      <c r="Z29" s="208" t="str">
        <f>IF(COUNTIF($C$15:C29,C29)=1,C29 &amp; " - " &amp; TEXT(SUMIF($C:$C,C29,$W:$W),"0.00"),"")</f>
        <v/>
      </c>
      <c r="AA29" s="209" t="str">
        <f>IF(COUNTIF($C$15:C29,C29)=1,ROUND(SUMIF($C:$C,C29,$Y:$Y),2), "")</f>
        <v/>
      </c>
    </row>
    <row r="30" spans="1:37" s="210" customFormat="1" ht="31.5" customHeight="1" x14ac:dyDescent="0.2">
      <c r="A30" s="196">
        <f t="shared" si="5"/>
        <v>16</v>
      </c>
      <c r="B30" s="196"/>
      <c r="C30" s="196" t="s">
        <v>95</v>
      </c>
      <c r="D30" s="197"/>
      <c r="E30" s="197" t="s">
        <v>11</v>
      </c>
      <c r="F30" s="198" t="s">
        <v>123</v>
      </c>
      <c r="G30" s="199" t="str">
        <f>IF(COUNTIFS($C$15:C30,C30,$H$15:H30,H30)=1,
SUMIFS($I$15:$I$43,$C$15:$C$43,C30,$H$15:$H$43,H30)&amp;H30&amp;" "&amp;C30,
"")</f>
        <v/>
      </c>
      <c r="H30" s="250" t="s">
        <v>16</v>
      </c>
      <c r="I30" s="200">
        <v>1</v>
      </c>
      <c r="J30" s="249"/>
      <c r="K30" s="201" cm="1">
        <f t="array" ref="K30">IF(E30="untrim",_xlfn.XLOOKUP(1,(TRIM('SIZE GUIDE'!$A$3:$A$2015)=TRIM(E30))*(TRIM('SIZE GUIDE'!$B$3:$B$2015)=TRIM(F30))*(TRIM('SIZE GUIDE'!$C$3:$C$2015)=TRIM(H30)),'SIZE GUIDE'!$D$3:$D$2015),"")</f>
        <v>81</v>
      </c>
      <c r="L30" s="265" cm="1">
        <f t="array" ref="L30">IF(E30="untrim",IFERROR(INDEX('SIZE GUIDE'!$E:$E,MATCH(1,('SIZE GUIDE'!$A:$A=$E30)*('SIZE GUIDE'!$B:$B=$F30)*('SIZE GUIDE'!$C:$C=$H30),0)),""),"")</f>
        <v>61</v>
      </c>
      <c r="M30" s="202">
        <v>42</v>
      </c>
      <c r="N30" s="202"/>
      <c r="O30" s="202"/>
      <c r="P30" s="202"/>
      <c r="Q30" s="203"/>
      <c r="R30" s="203" t="str" cm="1">
        <f t="array" ref="R30">IF(E30="trim",IFERROR(INDEX('SIZE GUIDE'!$E:$E,MATCH(1,('SIZE GUIDE'!$A:$A=$E30)*('SIZE GUIDE'!$B:$B=$F30)*('SIZE GUIDE'!$C:$C=$H30),0)),""),"")</f>
        <v/>
      </c>
      <c r="S30" s="203"/>
      <c r="T30" s="204">
        <f t="shared" si="0"/>
        <v>79.5</v>
      </c>
      <c r="U30" s="198">
        <f t="shared" si="1"/>
        <v>59.5</v>
      </c>
      <c r="V30" s="198">
        <f t="shared" si="7"/>
        <v>41.5</v>
      </c>
      <c r="W30" s="205">
        <f t="shared" si="4"/>
        <v>1363.2317708333333</v>
      </c>
      <c r="X30" s="206">
        <f>SUMIFS(CODE_PRICE!F:F,CODE_PRICE!B:B,C30,CODE_PRICE!A:A,$A$8)</f>
        <v>0.2316</v>
      </c>
      <c r="Y30" s="207">
        <f t="shared" si="3"/>
        <v>315.72447812499996</v>
      </c>
      <c r="Z30" s="208" t="str">
        <f>IF(COUNTIF($C$15:C30,C30)=1,C30 &amp; " - " &amp; TEXT(SUMIF($C:$C,C30,$W:$W),"0.00"),"")</f>
        <v/>
      </c>
      <c r="AA30" s="209" t="str">
        <f>IF(COUNTIF($C$15:C30,C30)=1,ROUND(SUMIF($C:$C,C30,$Y:$Y),2), "")</f>
        <v/>
      </c>
    </row>
    <row r="31" spans="1:37" s="210" customFormat="1" ht="31.5" customHeight="1" x14ac:dyDescent="0.2">
      <c r="A31" s="196">
        <f t="shared" si="5"/>
        <v>17</v>
      </c>
      <c r="B31" s="196"/>
      <c r="C31" s="196" t="s">
        <v>95</v>
      </c>
      <c r="D31" s="197"/>
      <c r="E31" s="197" t="s">
        <v>11</v>
      </c>
      <c r="F31" s="198" t="s">
        <v>123</v>
      </c>
      <c r="G31" s="199" t="str">
        <f>IF(COUNTIFS($C$15:C31,C31,$H$15:H31,H31)=1,
SUMIFS($I$15:$I$43,$C$15:$C$43,C31,$H$15:$H$43,H31)&amp;H31&amp;" "&amp;C31,
"")</f>
        <v>3F CFN50131W</v>
      </c>
      <c r="H31" s="250" t="s">
        <v>14</v>
      </c>
      <c r="I31" s="200">
        <v>1</v>
      </c>
      <c r="J31" s="249"/>
      <c r="K31" s="201" cm="1">
        <f t="array" ref="K31">IF(E31="untrim",_xlfn.XLOOKUP(1,(TRIM('SIZE GUIDE'!$A$3:$A$2015)=TRIM(E31))*(TRIM('SIZE GUIDE'!$B$3:$B$2015)=TRIM(F31))*(TRIM('SIZE GUIDE'!$C$3:$C$2015)=TRIM(H31)),'SIZE GUIDE'!$D$3:$D$2015),"")</f>
        <v>76</v>
      </c>
      <c r="L31" s="265" cm="1">
        <f t="array" ref="L31">IF(E31="untrim",IFERROR(INDEX('SIZE GUIDE'!$E:$E,MATCH(1,('SIZE GUIDE'!$A:$A=$E31)*('SIZE GUIDE'!$B:$B=$F31)*('SIZE GUIDE'!$C:$C=$H31),0)),""),"")</f>
        <v>55</v>
      </c>
      <c r="M31" s="202">
        <v>41.5</v>
      </c>
      <c r="N31" s="202"/>
      <c r="O31" s="202"/>
      <c r="P31" s="202"/>
      <c r="Q31" s="203"/>
      <c r="R31" s="203" t="str" cm="1">
        <f t="array" ref="R31">IF(E31="trim",IFERROR(INDEX('SIZE GUIDE'!$E:$E,MATCH(1,('SIZE GUIDE'!$A:$A=$E31)*('SIZE GUIDE'!$B:$B=$F31)*('SIZE GUIDE'!$C:$C=$H31),0)),""),"")</f>
        <v/>
      </c>
      <c r="S31" s="203"/>
      <c r="T31" s="204">
        <f t="shared" si="0"/>
        <v>74.5</v>
      </c>
      <c r="U31" s="198">
        <f t="shared" si="1"/>
        <v>53.5</v>
      </c>
      <c r="V31" s="198">
        <f t="shared" si="7"/>
        <v>41</v>
      </c>
      <c r="W31" s="205">
        <f t="shared" si="4"/>
        <v>1134.8315972222222</v>
      </c>
      <c r="X31" s="206">
        <f>SUMIFS(CODE_PRICE!F:F,CODE_PRICE!B:B,C31,CODE_PRICE!A:A,$A$8)</f>
        <v>0.2316</v>
      </c>
      <c r="Y31" s="207">
        <f t="shared" si="3"/>
        <v>262.82699791666664</v>
      </c>
      <c r="Z31" s="208" t="str">
        <f>IF(COUNTIF($C$15:C31,C31)=1,C31 &amp; " - " &amp; TEXT(SUMIF($C:$C,C31,$W:$W),"0.00"),"")</f>
        <v/>
      </c>
      <c r="AA31" s="209" t="str">
        <f>IF(COUNTIF($C$15:C31,C31)=1,ROUND(SUMIF($C:$C,C31,$Y:$Y),2), "")</f>
        <v/>
      </c>
    </row>
    <row r="32" spans="1:37" s="210" customFormat="1" ht="31.5" customHeight="1" x14ac:dyDescent="0.2">
      <c r="A32" s="196">
        <f t="shared" si="5"/>
        <v>18</v>
      </c>
      <c r="B32" s="196"/>
      <c r="C32" s="196" t="s">
        <v>95</v>
      </c>
      <c r="D32" s="197"/>
      <c r="E32" s="197" t="s">
        <v>11</v>
      </c>
      <c r="F32" s="198" t="s">
        <v>123</v>
      </c>
      <c r="G32" s="199" t="str">
        <f>IF(COUNTIFS($C$15:C32,C32,$H$15:H32,H32)=1,
SUMIFS($I$15:$I$43,$C$15:$C$43,C32,$H$15:$H$43,H32)&amp;H32&amp;" "&amp;C32,
"")</f>
        <v/>
      </c>
      <c r="H32" s="250" t="s">
        <v>14</v>
      </c>
      <c r="I32" s="200">
        <v>1</v>
      </c>
      <c r="J32" s="249"/>
      <c r="K32" s="201" cm="1">
        <f t="array" ref="K32">IF(E32="untrim",_xlfn.XLOOKUP(1,(TRIM('SIZE GUIDE'!$A$3:$A$2015)=TRIM(E32))*(TRIM('SIZE GUIDE'!$B$3:$B$2015)=TRIM(F32))*(TRIM('SIZE GUIDE'!$C$3:$C$2015)=TRIM(H32)),'SIZE GUIDE'!$D$3:$D$2015),"")</f>
        <v>76</v>
      </c>
      <c r="L32" s="265" cm="1">
        <f t="array" ref="L32">IF(E32="untrim",IFERROR(INDEX('SIZE GUIDE'!$E:$E,MATCH(1,('SIZE GUIDE'!$A:$A=$E32)*('SIZE GUIDE'!$B:$B=$F32)*('SIZE GUIDE'!$C:$C=$H32),0)),""),"")</f>
        <v>55</v>
      </c>
      <c r="M32" s="202">
        <v>42</v>
      </c>
      <c r="N32" s="202"/>
      <c r="O32" s="202"/>
      <c r="P32" s="202"/>
      <c r="Q32" s="203"/>
      <c r="R32" s="203" t="str" cm="1">
        <f t="array" ref="R32">IF(E32="trim",IFERROR(INDEX('SIZE GUIDE'!$E:$E,MATCH(1,('SIZE GUIDE'!$A:$A=$E32)*('SIZE GUIDE'!$B:$B=$F32)*('SIZE GUIDE'!$C:$C=$H32),0)),""),"")</f>
        <v/>
      </c>
      <c r="S32" s="203"/>
      <c r="T32" s="204">
        <f t="shared" si="0"/>
        <v>74.5</v>
      </c>
      <c r="U32" s="198">
        <f t="shared" si="1"/>
        <v>53.5</v>
      </c>
      <c r="V32" s="198">
        <f t="shared" si="7"/>
        <v>41.5</v>
      </c>
      <c r="W32" s="205">
        <f t="shared" si="4"/>
        <v>1148.6710069444443</v>
      </c>
      <c r="X32" s="206">
        <f>SUMIFS(CODE_PRICE!F:F,CODE_PRICE!B:B,C32,CODE_PRICE!A:A,$A$8)</f>
        <v>0.2316</v>
      </c>
      <c r="Y32" s="207">
        <f t="shared" si="3"/>
        <v>266.03220520833332</v>
      </c>
      <c r="Z32" s="208" t="str">
        <f>IF(COUNTIF($C$15:C32,C32)=1,C32 &amp; " - " &amp; TEXT(SUMIF($C:$C,C32,$W:$W),"0.00"),"")</f>
        <v/>
      </c>
      <c r="AA32" s="209" t="str">
        <f>IF(COUNTIF($C$15:C32,C32)=1,ROUND(SUMIF($C:$C,C32,$Y:$Y),2), "")</f>
        <v/>
      </c>
    </row>
    <row r="33" spans="1:27" s="210" customFormat="1" ht="31.5" customHeight="1" x14ac:dyDescent="0.2">
      <c r="A33" s="196">
        <f t="shared" si="5"/>
        <v>19</v>
      </c>
      <c r="B33" s="196"/>
      <c r="C33" s="196" t="s">
        <v>95</v>
      </c>
      <c r="D33" s="197"/>
      <c r="E33" s="197" t="s">
        <v>11</v>
      </c>
      <c r="F33" s="198" t="s">
        <v>123</v>
      </c>
      <c r="G33" s="199" t="str">
        <f>IF(COUNTIFS($C$15:C33,C33,$H$15:H33,H33)=1,
SUMIFS($I$15:$I$43,$C$15:$C$43,C33,$H$15:$H$43,H33)&amp;H33&amp;" "&amp;C33,
"")</f>
        <v/>
      </c>
      <c r="H33" s="250" t="s">
        <v>14</v>
      </c>
      <c r="I33" s="200">
        <v>1</v>
      </c>
      <c r="J33" s="249"/>
      <c r="K33" s="201" cm="1">
        <f t="array" ref="K33">IF(E33="untrim",_xlfn.XLOOKUP(1,(TRIM('SIZE GUIDE'!$A$3:$A$2015)=TRIM(E33))*(TRIM('SIZE GUIDE'!$B$3:$B$2015)=TRIM(F33))*(TRIM('SIZE GUIDE'!$C$3:$C$2015)=TRIM(H33)),'SIZE GUIDE'!$D$3:$D$2015),"")</f>
        <v>76</v>
      </c>
      <c r="L33" s="265" cm="1">
        <f t="array" ref="L33">IF(E33="untrim",IFERROR(INDEX('SIZE GUIDE'!$E:$E,MATCH(1,('SIZE GUIDE'!$A:$A=$E33)*('SIZE GUIDE'!$B:$B=$F33)*('SIZE GUIDE'!$C:$C=$H33),0)),""),"")</f>
        <v>55</v>
      </c>
      <c r="M33" s="202">
        <v>40.5</v>
      </c>
      <c r="N33" s="202"/>
      <c r="O33" s="202"/>
      <c r="P33" s="202"/>
      <c r="Q33" s="203"/>
      <c r="R33" s="203" t="str" cm="1">
        <f t="array" ref="R33">IF(E33="trim",IFERROR(INDEX('SIZE GUIDE'!$E:$E,MATCH(1,('SIZE GUIDE'!$A:$A=$E33)*('SIZE GUIDE'!$B:$B=$F33)*('SIZE GUIDE'!$C:$C=$H33),0)),""),"")</f>
        <v/>
      </c>
      <c r="S33" s="203"/>
      <c r="T33" s="204">
        <f t="shared" si="0"/>
        <v>74.5</v>
      </c>
      <c r="U33" s="198">
        <f t="shared" si="1"/>
        <v>53.5</v>
      </c>
      <c r="V33" s="198">
        <f t="shared" si="7"/>
        <v>40</v>
      </c>
      <c r="W33" s="205">
        <f t="shared" si="4"/>
        <v>1107.1527777777778</v>
      </c>
      <c r="X33" s="206">
        <f>SUMIFS(CODE_PRICE!F:F,CODE_PRICE!B:B,C33,CODE_PRICE!A:A,$A$8)</f>
        <v>0.2316</v>
      </c>
      <c r="Y33" s="207">
        <f t="shared" si="3"/>
        <v>256.41658333333334</v>
      </c>
      <c r="Z33" s="208" t="str">
        <f>IF(COUNTIF($C$15:C33,C33)=1,C33 &amp; " - " &amp; TEXT(SUMIF($C:$C,C33,$W:$W),"0.00"),"")</f>
        <v/>
      </c>
      <c r="AA33" s="209" t="str">
        <f>IF(COUNTIF($C$15:C33,C33)=1,ROUND(SUMIF($C:$C,C33,$Y:$Y),2), "")</f>
        <v/>
      </c>
    </row>
    <row r="34" spans="1:27" s="210" customFormat="1" ht="31.5" customHeight="1" x14ac:dyDescent="0.2">
      <c r="A34" s="196">
        <f t="shared" si="5"/>
        <v>20</v>
      </c>
      <c r="B34" s="196"/>
      <c r="C34" s="196" t="s">
        <v>95</v>
      </c>
      <c r="D34" s="197"/>
      <c r="E34" s="197" t="s">
        <v>11</v>
      </c>
      <c r="F34" s="198" t="s">
        <v>123</v>
      </c>
      <c r="G34" s="199" t="str">
        <f>IF(COUNTIFS($C$15:C34,C34,$H$15:H34,H34)=1,
SUMIFS($I$15:$I$43,$C$15:$C$43,C34,$H$15:$H$43,H34)&amp;H34&amp;" "&amp;C34,
"")</f>
        <v>1T CFN50131W</v>
      </c>
      <c r="H34" s="250" t="s">
        <v>12</v>
      </c>
      <c r="I34" s="200">
        <v>1</v>
      </c>
      <c r="J34" s="249"/>
      <c r="K34" s="201" cm="1">
        <f t="array" ref="K34">IF(E34="untrim",_xlfn.XLOOKUP(1,(TRIM('SIZE GUIDE'!$A$3:$A$2015)=TRIM(E34))*(TRIM('SIZE GUIDE'!$B$3:$B$2015)=TRIM(F34))*(TRIM('SIZE GUIDE'!$C$3:$C$2015)=TRIM(H34)),'SIZE GUIDE'!$D$3:$D$2015),"")</f>
        <v>76</v>
      </c>
      <c r="L34" s="265" cm="1">
        <f t="array" ref="L34">IF(E34="untrim",IFERROR(INDEX('SIZE GUIDE'!$E:$E,MATCH(1,('SIZE GUIDE'!$A:$A=$E34)*('SIZE GUIDE'!$B:$B=$F34)*('SIZE GUIDE'!$C:$C=$H34),0)),""),"")</f>
        <v>39</v>
      </c>
      <c r="M34" s="202">
        <v>41.5</v>
      </c>
      <c r="N34" s="202"/>
      <c r="O34" s="202"/>
      <c r="P34" s="202"/>
      <c r="Q34" s="203"/>
      <c r="R34" s="203" t="str" cm="1">
        <f t="array" ref="R34">IF(E34="trim",IFERROR(INDEX('SIZE GUIDE'!$E:$E,MATCH(1,('SIZE GUIDE'!$A:$A=$E34)*('SIZE GUIDE'!$B:$B=$F34)*('SIZE GUIDE'!$C:$C=$H34),0)),""),"")</f>
        <v/>
      </c>
      <c r="S34" s="203"/>
      <c r="T34" s="204">
        <f t="shared" si="0"/>
        <v>74.5</v>
      </c>
      <c r="U34" s="198">
        <f t="shared" si="1"/>
        <v>37.5</v>
      </c>
      <c r="V34" s="198">
        <f t="shared" si="7"/>
        <v>41</v>
      </c>
      <c r="W34" s="205">
        <f t="shared" si="4"/>
        <v>795.44270833333337</v>
      </c>
      <c r="X34" s="206">
        <f>SUMIFS(CODE_PRICE!F:F,CODE_PRICE!B:B,C34,CODE_PRICE!A:A,$A$8)</f>
        <v>0.2316</v>
      </c>
      <c r="Y34" s="207">
        <f t="shared" si="3"/>
        <v>184.22453125000001</v>
      </c>
      <c r="Z34" s="208" t="str">
        <f>IF(COUNTIF($C$15:C34,C34)=1,C34 &amp; " - " &amp; TEXT(SUMIF($C:$C,C34,$W:$W),"0.00"),"")</f>
        <v/>
      </c>
      <c r="AA34" s="209" t="str">
        <f>IF(COUNTIF($C$15:C34,C34)=1,ROUND(SUMIF($C:$C,C34,$Y:$Y),2), "")</f>
        <v/>
      </c>
    </row>
    <row r="35" spans="1:27" s="210" customFormat="1" ht="31.5" hidden="1" customHeight="1" x14ac:dyDescent="0.2">
      <c r="A35" s="196"/>
      <c r="B35" s="196"/>
      <c r="C35" s="196"/>
      <c r="D35" s="197"/>
      <c r="E35" s="197"/>
      <c r="F35" s="198"/>
      <c r="G35" s="199"/>
      <c r="H35" s="250"/>
      <c r="I35" s="200"/>
      <c r="J35" s="249"/>
      <c r="K35" s="201"/>
      <c r="L35" s="265"/>
      <c r="M35" s="202"/>
      <c r="N35" s="202"/>
      <c r="O35" s="202"/>
      <c r="P35" s="202"/>
      <c r="Q35" s="203"/>
      <c r="R35" s="203"/>
      <c r="S35" s="203"/>
      <c r="T35" s="204"/>
      <c r="U35" s="198"/>
      <c r="V35" s="198"/>
      <c r="W35" s="205"/>
      <c r="X35" s="206"/>
      <c r="Y35" s="207"/>
      <c r="Z35" s="208"/>
      <c r="AA35" s="209"/>
    </row>
    <row r="36" spans="1:27" s="210" customFormat="1" ht="31.5" hidden="1" customHeight="1" x14ac:dyDescent="0.2">
      <c r="A36" s="196"/>
      <c r="B36" s="196"/>
      <c r="C36" s="196"/>
      <c r="D36" s="197"/>
      <c r="E36" s="197"/>
      <c r="F36" s="198"/>
      <c r="G36" s="199"/>
      <c r="H36" s="250"/>
      <c r="I36" s="200"/>
      <c r="J36" s="249"/>
      <c r="K36" s="201"/>
      <c r="L36" s="265"/>
      <c r="M36" s="202"/>
      <c r="N36" s="202"/>
      <c r="O36" s="202"/>
      <c r="P36" s="202"/>
      <c r="Q36" s="203"/>
      <c r="R36" s="203"/>
      <c r="S36" s="203"/>
      <c r="T36" s="204"/>
      <c r="U36" s="198"/>
      <c r="V36" s="198"/>
      <c r="W36" s="205"/>
      <c r="X36" s="206"/>
      <c r="Y36" s="207"/>
      <c r="Z36" s="208"/>
      <c r="AA36" s="209"/>
    </row>
    <row r="37" spans="1:27" s="210" customFormat="1" ht="31.5" hidden="1" customHeight="1" x14ac:dyDescent="0.2">
      <c r="A37" s="196"/>
      <c r="B37" s="196"/>
      <c r="C37" s="196"/>
      <c r="D37" s="197"/>
      <c r="E37" s="197"/>
      <c r="F37" s="198"/>
      <c r="G37" s="199"/>
      <c r="H37" s="197"/>
      <c r="I37" s="200"/>
      <c r="J37" s="249"/>
      <c r="K37" s="201"/>
      <c r="L37" s="265"/>
      <c r="M37" s="202"/>
      <c r="N37" s="202"/>
      <c r="O37" s="202"/>
      <c r="P37" s="202"/>
      <c r="Q37" s="203"/>
      <c r="R37" s="203"/>
      <c r="S37" s="203"/>
      <c r="T37" s="204"/>
      <c r="U37" s="198"/>
      <c r="V37" s="198"/>
      <c r="W37" s="205"/>
      <c r="X37" s="206"/>
      <c r="Y37" s="207"/>
      <c r="Z37" s="208"/>
      <c r="AA37" s="209"/>
    </row>
    <row r="38" spans="1:27" s="210" customFormat="1" ht="31.5" hidden="1" customHeight="1" x14ac:dyDescent="0.2">
      <c r="A38" s="196"/>
      <c r="B38" s="196"/>
      <c r="C38" s="196"/>
      <c r="D38" s="197"/>
      <c r="E38" s="197"/>
      <c r="F38" s="198"/>
      <c r="G38" s="199"/>
      <c r="H38" s="197"/>
      <c r="I38" s="200"/>
      <c r="J38" s="249"/>
      <c r="K38" s="201"/>
      <c r="L38" s="265"/>
      <c r="M38" s="202"/>
      <c r="N38" s="202"/>
      <c r="O38" s="202"/>
      <c r="P38" s="202"/>
      <c r="Q38" s="203"/>
      <c r="R38" s="203"/>
      <c r="S38" s="203"/>
      <c r="T38" s="204"/>
      <c r="U38" s="198"/>
      <c r="V38" s="198"/>
      <c r="W38" s="205"/>
      <c r="X38" s="206"/>
      <c r="Y38" s="207"/>
      <c r="Z38" s="208"/>
      <c r="AA38" s="209"/>
    </row>
    <row r="39" spans="1:27" s="210" customFormat="1" ht="31.5" hidden="1" customHeight="1" x14ac:dyDescent="0.2">
      <c r="A39" s="196"/>
      <c r="B39" s="196"/>
      <c r="C39" s="196"/>
      <c r="D39" s="197"/>
      <c r="E39" s="197"/>
      <c r="F39" s="198"/>
      <c r="G39" s="199"/>
      <c r="H39" s="197"/>
      <c r="I39" s="200"/>
      <c r="J39" s="249"/>
      <c r="K39" s="201"/>
      <c r="L39" s="265"/>
      <c r="M39" s="202"/>
      <c r="N39" s="202"/>
      <c r="O39" s="202"/>
      <c r="P39" s="202"/>
      <c r="Q39" s="203"/>
      <c r="R39" s="203"/>
      <c r="S39" s="203"/>
      <c r="T39" s="204"/>
      <c r="U39" s="198"/>
      <c r="V39" s="198"/>
      <c r="W39" s="205"/>
      <c r="X39" s="206"/>
      <c r="Y39" s="207"/>
      <c r="Z39" s="208"/>
      <c r="AA39" s="209"/>
    </row>
    <row r="40" spans="1:27" s="210" customFormat="1" ht="31.5" hidden="1" customHeight="1" x14ac:dyDescent="0.2">
      <c r="A40" s="196"/>
      <c r="B40" s="196"/>
      <c r="C40" s="196"/>
      <c r="D40" s="197"/>
      <c r="E40" s="197"/>
      <c r="F40" s="198"/>
      <c r="G40" s="199"/>
      <c r="H40" s="197"/>
      <c r="I40" s="200"/>
      <c r="J40" s="249"/>
      <c r="K40" s="201"/>
      <c r="L40" s="265"/>
      <c r="M40" s="202"/>
      <c r="N40" s="202"/>
      <c r="O40" s="202"/>
      <c r="P40" s="202"/>
      <c r="Q40" s="203"/>
      <c r="R40" s="203"/>
      <c r="S40" s="203"/>
      <c r="T40" s="204"/>
      <c r="U40" s="198"/>
      <c r="V40" s="198"/>
      <c r="W40" s="205"/>
      <c r="X40" s="206"/>
      <c r="Y40" s="207"/>
      <c r="Z40" s="208"/>
      <c r="AA40" s="209"/>
    </row>
    <row r="41" spans="1:27" s="210" customFormat="1" ht="31.5" hidden="1" customHeight="1" x14ac:dyDescent="0.2">
      <c r="A41" s="196"/>
      <c r="B41" s="196"/>
      <c r="C41" s="196"/>
      <c r="D41" s="260"/>
      <c r="E41" s="197"/>
      <c r="F41" s="198"/>
      <c r="G41" s="199"/>
      <c r="H41" s="197"/>
      <c r="I41" s="200"/>
      <c r="J41" s="249"/>
      <c r="K41" s="201"/>
      <c r="L41" s="265"/>
      <c r="M41" s="202"/>
      <c r="N41" s="202"/>
      <c r="O41" s="202"/>
      <c r="P41" s="202"/>
      <c r="Q41" s="203"/>
      <c r="R41" s="203"/>
      <c r="S41" s="203"/>
      <c r="T41" s="204"/>
      <c r="U41" s="198"/>
      <c r="V41" s="198"/>
      <c r="W41" s="205"/>
      <c r="X41" s="206"/>
      <c r="Y41" s="207"/>
      <c r="Z41" s="198"/>
      <c r="AA41" s="238"/>
    </row>
    <row r="42" spans="1:27" s="210" customFormat="1" ht="31.5" hidden="1" customHeight="1" x14ac:dyDescent="0.2">
      <c r="A42" s="196"/>
      <c r="B42" s="196"/>
      <c r="C42" s="196"/>
      <c r="D42" s="260"/>
      <c r="E42" s="197"/>
      <c r="F42" s="198"/>
      <c r="G42" s="199"/>
      <c r="H42" s="197"/>
      <c r="I42" s="200"/>
      <c r="J42" s="249"/>
      <c r="K42" s="201"/>
      <c r="L42" s="265"/>
      <c r="M42" s="202"/>
      <c r="N42" s="202"/>
      <c r="O42" s="202"/>
      <c r="P42" s="202"/>
      <c r="Q42" s="203"/>
      <c r="R42" s="203"/>
      <c r="S42" s="203"/>
      <c r="T42" s="204"/>
      <c r="U42" s="198"/>
      <c r="V42" s="198"/>
      <c r="W42" s="205"/>
      <c r="X42" s="206"/>
      <c r="Y42" s="207"/>
      <c r="Z42" s="198"/>
      <c r="AA42" s="238"/>
    </row>
    <row r="43" spans="1:27" s="210" customFormat="1" ht="31.5" hidden="1" customHeight="1" x14ac:dyDescent="0.2">
      <c r="A43" s="196"/>
      <c r="B43" s="196"/>
      <c r="C43" s="196"/>
      <c r="D43" s="260"/>
      <c r="E43" s="197"/>
      <c r="F43" s="198"/>
      <c r="G43" s="199"/>
      <c r="H43" s="197"/>
      <c r="I43" s="200"/>
      <c r="J43" s="249"/>
      <c r="K43" s="201"/>
      <c r="L43" s="265"/>
      <c r="M43" s="202"/>
      <c r="N43" s="202"/>
      <c r="O43" s="202"/>
      <c r="P43" s="202"/>
      <c r="Q43" s="203"/>
      <c r="R43" s="203"/>
      <c r="S43" s="203"/>
      <c r="T43" s="204"/>
      <c r="U43" s="198"/>
      <c r="V43" s="198"/>
      <c r="W43" s="205"/>
      <c r="X43" s="206"/>
      <c r="Y43" s="207"/>
      <c r="Z43" s="198"/>
      <c r="AA43" s="238"/>
    </row>
    <row r="44" spans="1:27" s="284" customFormat="1" ht="31.5" hidden="1" customHeight="1" x14ac:dyDescent="0.2">
      <c r="A44" s="270"/>
      <c r="B44" s="270"/>
      <c r="C44" s="270"/>
      <c r="D44" s="271"/>
      <c r="E44" s="272"/>
      <c r="F44" s="273"/>
      <c r="G44" s="274"/>
      <c r="H44" s="197"/>
      <c r="I44" s="275"/>
      <c r="J44" s="276"/>
      <c r="K44" s="277"/>
      <c r="L44" s="278"/>
      <c r="M44" s="279"/>
      <c r="N44" s="279"/>
      <c r="O44" s="279"/>
      <c r="P44" s="279"/>
      <c r="Q44" s="277"/>
      <c r="R44" s="277"/>
      <c r="S44" s="277"/>
      <c r="T44" s="277"/>
      <c r="U44" s="273"/>
      <c r="V44" s="273"/>
      <c r="W44" s="280"/>
      <c r="X44" s="281"/>
      <c r="Y44" s="282"/>
      <c r="Z44" s="273"/>
      <c r="AA44" s="283"/>
    </row>
    <row r="45" spans="1:27" s="284" customFormat="1" ht="31.5" hidden="1" customHeight="1" x14ac:dyDescent="0.2">
      <c r="A45" s="270"/>
      <c r="B45" s="270"/>
      <c r="C45" s="270"/>
      <c r="D45" s="271"/>
      <c r="E45" s="272"/>
      <c r="F45" s="273"/>
      <c r="G45" s="274"/>
      <c r="H45" s="197"/>
      <c r="I45" s="275"/>
      <c r="J45" s="276"/>
      <c r="K45" s="277"/>
      <c r="L45" s="278"/>
      <c r="M45" s="279"/>
      <c r="N45" s="279"/>
      <c r="O45" s="279"/>
      <c r="P45" s="279"/>
      <c r="Q45" s="277"/>
      <c r="R45" s="277"/>
      <c r="S45" s="277"/>
      <c r="T45" s="277"/>
      <c r="U45" s="273"/>
      <c r="V45" s="273"/>
      <c r="W45" s="280"/>
      <c r="X45" s="281"/>
      <c r="Y45" s="282"/>
      <c r="Z45" s="273"/>
      <c r="AA45" s="283"/>
    </row>
    <row r="46" spans="1:27" s="210" customFormat="1" ht="31.5" customHeight="1" x14ac:dyDescent="0.2">
      <c r="A46" s="212"/>
      <c r="B46" s="212"/>
      <c r="C46" s="212"/>
      <c r="D46" s="212"/>
      <c r="E46" s="213"/>
      <c r="F46" s="212"/>
      <c r="G46" s="212"/>
      <c r="H46" s="214" t="s">
        <v>155</v>
      </c>
      <c r="I46" s="215">
        <f>SUM(I13:I43)</f>
        <v>20</v>
      </c>
      <c r="J46" s="248"/>
      <c r="K46" s="216"/>
      <c r="L46" s="264"/>
      <c r="M46" s="216"/>
      <c r="N46" s="216"/>
      <c r="O46" s="216"/>
      <c r="P46" s="216"/>
      <c r="Q46" s="217"/>
      <c r="R46" s="217"/>
      <c r="S46" s="217"/>
      <c r="T46" s="213"/>
      <c r="U46" s="213"/>
      <c r="V46" s="213"/>
      <c r="W46" s="218">
        <f>SUM(W13:W45)</f>
        <v>27081.027777777777</v>
      </c>
      <c r="X46" s="219"/>
      <c r="Y46" s="220">
        <f>SUM(Y13:Y45)</f>
        <v>5799.0452216145832</v>
      </c>
      <c r="Z46" s="219"/>
      <c r="AA46" s="220"/>
    </row>
    <row r="47" spans="1:27" s="210" customFormat="1" ht="31.5" customHeight="1" x14ac:dyDescent="0.2">
      <c r="A47" s="196"/>
      <c r="B47" s="196"/>
      <c r="C47" s="196"/>
      <c r="D47" s="197"/>
      <c r="E47" s="197"/>
      <c r="F47" s="198"/>
      <c r="G47" s="199"/>
      <c r="H47" s="221" t="s">
        <v>156</v>
      </c>
      <c r="I47" s="222"/>
      <c r="J47" s="250"/>
      <c r="K47" s="204"/>
      <c r="L47" s="266"/>
      <c r="M47" s="223"/>
      <c r="N47" s="223"/>
      <c r="O47" s="223"/>
      <c r="P47" s="223"/>
      <c r="Q47" s="204"/>
      <c r="R47" s="204"/>
      <c r="S47" s="204"/>
      <c r="T47" s="224"/>
      <c r="U47" s="224"/>
      <c r="V47" s="224"/>
      <c r="W47" s="205"/>
      <c r="X47" s="224"/>
      <c r="Y47" s="207"/>
      <c r="Z47" s="224"/>
      <c r="AA47" s="207"/>
    </row>
    <row r="48" spans="1:27" s="210" customFormat="1" ht="31.5" customHeight="1" x14ac:dyDescent="0.2">
      <c r="A48" s="212"/>
      <c r="B48" s="212"/>
      <c r="C48" s="212"/>
      <c r="D48" s="213"/>
      <c r="E48" s="213"/>
      <c r="F48" s="213"/>
      <c r="G48" s="213"/>
      <c r="H48" s="214" t="s">
        <v>162</v>
      </c>
      <c r="I48" s="215">
        <f>SUM(I15:I43)</f>
        <v>20</v>
      </c>
      <c r="J48" s="248"/>
      <c r="K48" s="216"/>
      <c r="L48" s="264"/>
      <c r="M48" s="216"/>
      <c r="N48" s="216"/>
      <c r="O48" s="216"/>
      <c r="P48" s="216"/>
      <c r="Q48" s="217"/>
      <c r="R48" s="217"/>
      <c r="S48" s="217"/>
      <c r="T48" s="213"/>
      <c r="U48" s="213"/>
      <c r="V48" s="213"/>
      <c r="W48" s="218">
        <f>SUM(W15:W45)</f>
        <v>27081.027777777777</v>
      </c>
      <c r="X48" s="219"/>
      <c r="Y48" s="220">
        <f>+Y46+Y47</f>
        <v>5799.0452216145832</v>
      </c>
      <c r="Z48" s="219"/>
      <c r="AA48" s="220"/>
    </row>
    <row r="49" spans="1:27" s="228" customFormat="1" ht="15" customHeight="1" x14ac:dyDescent="0.25">
      <c r="A49" s="225"/>
      <c r="B49" s="225"/>
      <c r="C49" s="225"/>
      <c r="D49" s="225"/>
      <c r="E49" s="225"/>
      <c r="F49" s="226"/>
      <c r="G49" s="225"/>
      <c r="H49" s="227"/>
      <c r="I49" s="227"/>
      <c r="J49" s="251"/>
      <c r="L49" s="267"/>
      <c r="Y49" s="229"/>
      <c r="AA49" s="230"/>
    </row>
    <row r="50" spans="1:27" s="228" customFormat="1" ht="15" customHeight="1" x14ac:dyDescent="0.25">
      <c r="A50" s="225" t="s">
        <v>218</v>
      </c>
      <c r="B50" s="225"/>
      <c r="C50" s="225"/>
      <c r="D50" s="225"/>
      <c r="E50" s="225"/>
      <c r="F50" s="226"/>
      <c r="G50" s="225"/>
      <c r="H50" s="227"/>
      <c r="I50" s="227"/>
      <c r="J50" s="251"/>
      <c r="L50" s="267"/>
      <c r="Y50" s="229"/>
      <c r="AA50" s="230"/>
    </row>
    <row r="51" spans="1:27" s="228" customFormat="1" ht="15" customHeight="1" x14ac:dyDescent="0.25">
      <c r="A51" s="225"/>
      <c r="B51" s="225"/>
      <c r="C51" s="225"/>
      <c r="D51" s="225"/>
      <c r="E51" s="225"/>
      <c r="F51" s="226"/>
      <c r="G51" s="225"/>
      <c r="H51" s="227"/>
      <c r="I51" s="227"/>
      <c r="J51" s="251"/>
      <c r="L51" s="267"/>
      <c r="Y51" s="229"/>
      <c r="AA51" s="230"/>
    </row>
    <row r="52" spans="1:27" s="228" customFormat="1" ht="15" customHeight="1" x14ac:dyDescent="0.25">
      <c r="A52" s="225" t="s">
        <v>219</v>
      </c>
      <c r="B52" s="225"/>
      <c r="C52" s="225"/>
      <c r="D52" s="225"/>
      <c r="E52" s="225"/>
      <c r="F52" s="226"/>
      <c r="G52" s="225"/>
      <c r="H52" s="227"/>
      <c r="I52" s="227"/>
      <c r="J52" s="251"/>
      <c r="L52" s="267"/>
      <c r="Y52" s="229"/>
      <c r="AA52" s="230"/>
    </row>
    <row r="53" spans="1:27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252"/>
      <c r="K53" s="35"/>
      <c r="L53" s="268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89"/>
    </row>
    <row r="54" spans="1:27" ht="15" customHeight="1" x14ac:dyDescent="0.25">
      <c r="A54" s="48"/>
      <c r="B54" s="48"/>
      <c r="C54" s="48"/>
      <c r="D54" s="48"/>
      <c r="E54" s="48"/>
      <c r="F54" s="84"/>
      <c r="G54" s="48"/>
      <c r="H54" s="85"/>
      <c r="I54" s="85"/>
      <c r="J54" s="252"/>
      <c r="K54" s="35"/>
      <c r="L54" s="268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89"/>
    </row>
    <row r="55" spans="1:27" ht="15" customHeight="1" x14ac:dyDescent="0.25">
      <c r="A55" s="86"/>
      <c r="B55" s="318"/>
      <c r="C55" s="318"/>
      <c r="D55" s="318"/>
      <c r="E55" s="318"/>
      <c r="F55" s="318"/>
      <c r="G55" s="318"/>
      <c r="H55" s="318"/>
      <c r="I55" s="318"/>
      <c r="J55" s="318"/>
      <c r="K55" s="35"/>
      <c r="L55" s="268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89"/>
    </row>
    <row r="56" spans="1:27" ht="15" customHeight="1" x14ac:dyDescent="0.25">
      <c r="A56" s="86"/>
      <c r="B56" s="319"/>
      <c r="C56" s="319"/>
      <c r="D56" s="319"/>
      <c r="E56" s="319"/>
      <c r="F56" s="319"/>
      <c r="G56" s="319"/>
      <c r="H56" s="319"/>
      <c r="I56" s="319"/>
      <c r="J56" s="319"/>
      <c r="K56" s="35"/>
      <c r="L56" s="268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89"/>
    </row>
  </sheetData>
  <mergeCells count="5">
    <mergeCell ref="A7:E7"/>
    <mergeCell ref="F7:G7"/>
    <mergeCell ref="U9:V9"/>
    <mergeCell ref="B55:J55"/>
    <mergeCell ref="B56:J56"/>
  </mergeCells>
  <pageMargins left="0" right="0" top="1" bottom="0" header="0.511811023622047" footer="0.511811023622047"/>
  <pageSetup paperSize="9" scale="36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colBreaks count="2" manualBreakCount="2">
    <brk id="4" max="1048575" man="1"/>
    <brk id="6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B03DEAD-ED71-4D75-BEFD-52DB3EC87AD5}">
          <x14:formula1>
            <xm:f>'SIZE GUIDE'!$B:$B</xm:f>
          </x14:formula1>
          <xm:sqref>G46 F15:F48</xm:sqref>
        </x14:dataValidation>
        <x14:dataValidation type="list" errorStyle="information" allowBlank="1" showInputMessage="1" xr:uid="{42BD93A7-53BC-4098-A385-412E1A2AE7E6}">
          <x14:formula1>
            <xm:f>CODE_MASTER_AS!$A$3:$A$14</xm:f>
          </x14:formula1>
          <xm:sqref>C47:C48 F46:G46 C15:C45</xm:sqref>
        </x14:dataValidation>
        <x14:dataValidation type="list" allowBlank="1" xr:uid="{25CC6AEF-EC74-4DF1-A774-A60D934E5B38}">
          <x14:formula1>
            <xm:f>LISTS!$B$2:$B$8</xm:f>
          </x14:formula1>
          <x14:formula2>
            <xm:f>0</xm:f>
          </x14:formula2>
          <xm:sqref>H37:H48</xm:sqref>
        </x14:dataValidation>
        <x14:dataValidation type="list" allowBlank="1" xr:uid="{A9DF0287-8781-48E0-8AAE-C583F105F643}">
          <x14:formula1>
            <xm:f>'SIZE GUIDE'!$A$3:$A$38</xm:f>
          </x14:formula1>
          <xm:sqref>E15:E48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B508C-CEBE-4874-9BF7-85EE659E3EB8}">
  <sheetPr codeName="Sheet32">
    <pageSetUpPr fitToPage="1"/>
  </sheetPr>
  <dimension ref="A1:AI36"/>
  <sheetViews>
    <sheetView showGridLines="0" view="pageBreakPreview" topLeftCell="A6" zoomScale="89" zoomScaleNormal="68" zoomScaleSheetLayoutView="89" workbookViewId="0">
      <selection activeCell="Z22" sqref="Z22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22.83203125" style="16" customWidth="1"/>
    <col min="4" max="4" width="15.1640625" style="16" hidden="1" customWidth="1"/>
    <col min="5" max="5" width="16.83203125" style="16" customWidth="1"/>
    <col min="6" max="6" width="11.83203125" style="16" hidden="1" customWidth="1"/>
    <col min="7" max="7" width="19.6640625" style="16" customWidth="1"/>
    <col min="8" max="8" width="10.6640625" style="16" customWidth="1"/>
    <col min="9" max="9" width="11.33203125" style="16" customWidth="1"/>
    <col min="10" max="16" width="10.6640625" style="16" hidden="1" customWidth="1"/>
    <col min="17" max="19" width="10.6640625" style="16" customWidth="1"/>
    <col min="20" max="21" width="14.6640625" style="16" customWidth="1"/>
    <col min="22" max="22" width="14.6640625" style="98" customWidth="1"/>
    <col min="23" max="23" width="39.83203125" style="16" hidden="1" customWidth="1"/>
    <col min="24" max="24" width="18.33203125" style="23" hidden="1" customWidth="1"/>
    <col min="25" max="28" width="8.6640625" style="16" customWidth="1"/>
    <col min="29" max="16384" width="8.6640625" style="16"/>
  </cols>
  <sheetData>
    <row r="1" spans="1:35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9"/>
      <c r="K1" s="29"/>
      <c r="L1" s="29"/>
      <c r="M1" s="29"/>
      <c r="N1" s="27"/>
      <c r="O1" s="27"/>
      <c r="P1" s="121"/>
      <c r="Q1" s="13"/>
      <c r="R1" s="13"/>
      <c r="S1" s="13"/>
      <c r="T1" s="13"/>
      <c r="U1" s="13"/>
      <c r="V1" s="22"/>
      <c r="W1" s="13"/>
      <c r="X1" s="22"/>
    </row>
    <row r="2" spans="1:35" s="14" customFormat="1" ht="33.75" customHeight="1" x14ac:dyDescent="0.2">
      <c r="A2" s="13"/>
      <c r="B2" s="13"/>
      <c r="C2" s="13"/>
      <c r="D2" s="13"/>
      <c r="E2" s="13"/>
      <c r="F2" s="13"/>
      <c r="J2" s="30"/>
      <c r="K2" s="31"/>
      <c r="L2" s="29"/>
      <c r="M2" s="32" t="s">
        <v>161</v>
      </c>
      <c r="N2" s="27"/>
      <c r="O2" s="27"/>
      <c r="P2" s="28" t="s">
        <v>160</v>
      </c>
      <c r="R2" s="20"/>
      <c r="S2" s="21"/>
      <c r="U2" s="13"/>
      <c r="V2" s="20" t="s">
        <v>151</v>
      </c>
      <c r="W2" s="20"/>
      <c r="X2" s="22"/>
    </row>
    <row r="3" spans="1:35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37"/>
      <c r="K3" s="37"/>
      <c r="L3" s="37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35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37"/>
      <c r="K4" s="37"/>
      <c r="L4" s="37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35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37"/>
      <c r="K5" s="37"/>
      <c r="L5" s="37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35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37"/>
      <c r="K6" s="37"/>
      <c r="L6" s="37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35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5"/>
      <c r="I7" s="35"/>
      <c r="J7" s="37"/>
      <c r="K7" s="37"/>
      <c r="L7" s="37"/>
      <c r="M7" s="37"/>
      <c r="N7" s="38"/>
      <c r="O7" s="38"/>
      <c r="P7" s="38"/>
      <c r="Q7" s="43" t="s">
        <v>147</v>
      </c>
      <c r="R7" s="43"/>
      <c r="S7" s="43"/>
      <c r="T7" s="43"/>
      <c r="U7" s="43"/>
      <c r="V7" s="43" t="s">
        <v>148</v>
      </c>
      <c r="W7" s="43"/>
      <c r="X7" s="43"/>
    </row>
    <row r="8" spans="1:35" ht="15" customHeight="1" x14ac:dyDescent="0.25">
      <c r="A8" s="44" t="s">
        <v>207</v>
      </c>
      <c r="B8" s="45"/>
      <c r="C8" s="45"/>
      <c r="D8" s="46"/>
      <c r="E8" s="46"/>
      <c r="F8" s="36"/>
      <c r="G8" s="46"/>
      <c r="H8" s="35"/>
      <c r="I8" s="35"/>
      <c r="J8" s="37"/>
      <c r="K8" s="37"/>
      <c r="L8" s="37"/>
      <c r="M8" s="37"/>
      <c r="N8" s="38"/>
      <c r="O8" s="38"/>
      <c r="P8" s="38"/>
      <c r="Q8" s="105" t="s">
        <v>320</v>
      </c>
      <c r="R8" s="87"/>
      <c r="S8" s="106"/>
      <c r="T8" s="46"/>
      <c r="U8" s="107"/>
      <c r="V8" s="108">
        <v>46217</v>
      </c>
      <c r="W8" s="13"/>
      <c r="X8" s="22"/>
    </row>
    <row r="9" spans="1:35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37"/>
      <c r="K9" s="37"/>
      <c r="L9" s="37"/>
      <c r="M9" s="37"/>
      <c r="N9" s="38"/>
      <c r="O9" s="38"/>
      <c r="P9" s="38"/>
      <c r="Q9" s="86"/>
      <c r="R9" s="320"/>
      <c r="S9" s="320"/>
      <c r="T9" s="46"/>
      <c r="U9" s="107"/>
      <c r="V9" s="33"/>
      <c r="W9" s="13"/>
      <c r="X9" s="22"/>
    </row>
    <row r="10" spans="1:35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37"/>
      <c r="K10" s="37"/>
      <c r="L10" s="37"/>
      <c r="M10" s="37"/>
      <c r="N10" s="38"/>
      <c r="O10" s="38"/>
      <c r="P10" s="38"/>
      <c r="Q10" s="42" t="s">
        <v>149</v>
      </c>
      <c r="R10" s="43"/>
      <c r="S10" s="43"/>
      <c r="T10" s="43"/>
      <c r="U10" s="43"/>
      <c r="V10" s="43" t="s">
        <v>150</v>
      </c>
      <c r="W10" s="43"/>
      <c r="X10" s="43"/>
    </row>
    <row r="11" spans="1:35" ht="15" customHeight="1" x14ac:dyDescent="0.25">
      <c r="A11" s="188" t="s">
        <v>288</v>
      </c>
      <c r="B11" s="34"/>
      <c r="C11" s="35"/>
      <c r="D11" s="35"/>
      <c r="E11" s="46"/>
      <c r="F11" s="46"/>
      <c r="G11" s="46"/>
      <c r="H11" s="35"/>
      <c r="I11" s="35"/>
      <c r="J11" s="37"/>
      <c r="K11" s="37"/>
      <c r="L11" s="37"/>
      <c r="M11" s="37"/>
      <c r="N11" s="38"/>
      <c r="O11" s="38"/>
      <c r="P11" s="38"/>
      <c r="Q11" s="105" t="s">
        <v>317</v>
      </c>
      <c r="R11" s="86"/>
      <c r="S11" s="86"/>
      <c r="T11" s="46"/>
      <c r="U11" s="107"/>
      <c r="V11" s="86"/>
      <c r="W11" s="13"/>
      <c r="X11" s="22"/>
    </row>
    <row r="12" spans="1:35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37"/>
      <c r="K12" s="37"/>
      <c r="L12" s="37"/>
      <c r="M12" s="37"/>
      <c r="N12" s="38"/>
      <c r="O12" s="38"/>
      <c r="P12" s="38"/>
      <c r="Q12" s="48"/>
      <c r="R12" s="48"/>
      <c r="S12" s="48"/>
      <c r="T12" s="48"/>
      <c r="U12" s="47"/>
      <c r="V12" s="49"/>
      <c r="W12" s="13"/>
      <c r="X12" s="22"/>
    </row>
    <row r="13" spans="1:35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5"/>
      <c r="K13" s="50"/>
      <c r="L13" s="50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35" s="17" customFormat="1" ht="41.25" customHeight="1" x14ac:dyDescent="0.2">
      <c r="A14" s="53" t="s">
        <v>158</v>
      </c>
      <c r="B14" s="53" t="s">
        <v>0</v>
      </c>
      <c r="C14" s="53" t="s">
        <v>1</v>
      </c>
      <c r="D14" s="54" t="s">
        <v>135</v>
      </c>
      <c r="E14" s="54" t="s">
        <v>157</v>
      </c>
      <c r="F14" s="54" t="s">
        <v>3</v>
      </c>
      <c r="G14" s="54" t="s">
        <v>152</v>
      </c>
      <c r="H14" s="54" t="s">
        <v>105</v>
      </c>
      <c r="I14" s="54" t="s">
        <v>5</v>
      </c>
      <c r="J14" s="55" t="s">
        <v>64</v>
      </c>
      <c r="K14" s="55" t="s">
        <v>136</v>
      </c>
      <c r="L14" s="55" t="s">
        <v>24</v>
      </c>
      <c r="M14" s="55" t="s">
        <v>108</v>
      </c>
      <c r="N14" s="56" t="s">
        <v>136</v>
      </c>
      <c r="O14" s="56" t="s">
        <v>24</v>
      </c>
      <c r="P14" s="122" t="s">
        <v>108</v>
      </c>
      <c r="Q14" s="54" t="s">
        <v>136</v>
      </c>
      <c r="R14" s="54" t="s">
        <v>24</v>
      </c>
      <c r="S14" s="54" t="s">
        <v>108</v>
      </c>
      <c r="T14" s="90" t="s">
        <v>159</v>
      </c>
      <c r="U14" s="91" t="s">
        <v>6</v>
      </c>
      <c r="V14" s="92" t="s">
        <v>7</v>
      </c>
      <c r="W14" s="53" t="s">
        <v>140</v>
      </c>
      <c r="X14" s="26" t="s">
        <v>141</v>
      </c>
    </row>
    <row r="15" spans="1:35" s="17" customFormat="1" ht="36" customHeight="1" x14ac:dyDescent="0.2">
      <c r="A15" s="57">
        <v>1</v>
      </c>
      <c r="B15" s="57" t="str" cm="1">
        <f t="array" ref="B15">_xlfn.LET(_xlpm.r,_xlfn.XLOOKUP(1,
(TRIM(CODE_PRICE!$A$4:$A$2003)=TRIM($C$4))*
(TRIM(CODE_PRICE!$B$4:$B$2003)=TRIM(C15)),
CODE_PRICE!$C$4:$C$2003,
""),
IF(OR(_xlpm.r="",_xlpm.r=0),"",_xlpm.r))</f>
        <v/>
      </c>
      <c r="C15" s="57" t="s">
        <v>89</v>
      </c>
      <c r="D15" s="58" t="str">
        <f>_xlfn.XLOOKUP(B15,CODE_PRICE!C:C,CODE_PRICE!D:D,"")</f>
        <v/>
      </c>
      <c r="E15" s="58" t="s">
        <v>11</v>
      </c>
      <c r="F15" s="59" t="s">
        <v>213</v>
      </c>
      <c r="G15" s="60" t="str">
        <f>IF(COUNTIFS($C$15:C15,C15,$H$15:H15,H15)=1,
SUMIFS($I$15:$I$25,$C$15:$C$25,C15,$H$15:$H$25,H15)&amp;H15&amp;" "&amp;C15,
"")</f>
        <v>10S CFN30100W</v>
      </c>
      <c r="H15" s="58" t="s">
        <v>22</v>
      </c>
      <c r="I15" s="61">
        <v>1</v>
      </c>
      <c r="J15" s="158"/>
      <c r="K15" s="158" cm="1">
        <f t="array" ref="K15">IF(E15="untrim",_xlfn.XLOOKUP(1,(TRIM('SIZE GUIDE'!$A$3:$A$2015)=TRIM(E15))*(TRIM('SIZE GUIDE'!$B$3:$B$2015)=TRIM(F15))*(TRIM('SIZE GUIDE'!$C$3:$C$2015)=TRIM(H15)),'SIZE GUIDE'!$D$3:$D$2015),"")</f>
        <v>108</v>
      </c>
      <c r="L15" s="168" cm="1">
        <f t="array" ref="L15">IF(E15="untrim",IFERROR(INDEX('SIZE GUIDE'!$E:$E,MATCH(1,('SIZE GUIDE'!$A:$A=$E15)*('SIZE GUIDE'!$B:$B=$F15)*('SIZE GUIDE'!$C:$C=$H15),0)),""),"")</f>
        <v>81</v>
      </c>
      <c r="M15" s="158">
        <v>44</v>
      </c>
      <c r="N15" s="65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65" t="str" cm="1">
        <f t="array" ref="O15">IF(E15="trim",IFERROR(INDEX('SIZE GUIDE'!$E:$E,MATCH(1,('SIZE GUIDE'!$A:$A=$E15)*('SIZE GUIDE'!$B:$B=$F15)*('SIZE GUIDE'!$C:$C=$H15),0)),""),"")</f>
        <v/>
      </c>
      <c r="P15" s="65"/>
      <c r="Q15" s="258">
        <f>K15</f>
        <v>108</v>
      </c>
      <c r="R15" s="258">
        <f>L15</f>
        <v>81</v>
      </c>
      <c r="S15" s="258">
        <f>IF(E15="untrim",M15-0.5,P15-0.5)</f>
        <v>43.5</v>
      </c>
      <c r="T15" s="93">
        <f t="shared" ref="T15:T24" si="0">IFERROR(Q15*R15*S15/144*I15,"")</f>
        <v>2642.625</v>
      </c>
      <c r="U15" s="94">
        <f>SUMIFS(CODE_PRICE!F:F,CODE_PRICE!B:B,C15,CODE_PRICE!A:A,$A$8)</f>
        <v>0.1968</v>
      </c>
      <c r="V15" s="95">
        <f>T15*U15</f>
        <v>520.06860000000006</v>
      </c>
      <c r="W15" s="102" t="str">
        <f>IF(COUNTIF($C$15:C15,C15)=1,C15 &amp; " - " &amp; TEXT(SUMIF($C:$C,C15,$T:$T),"0.00"),"")</f>
        <v>CFN30100W - 23236.88</v>
      </c>
      <c r="X15" s="103">
        <f>IF(COUNTIF($C$15:C15,C15)=1,ROUND(SUMIF($C:$C,C15,$V:$V),2), "")</f>
        <v>4573.0200000000004</v>
      </c>
    </row>
    <row r="16" spans="1:35" s="17" customFormat="1" ht="36" customHeight="1" x14ac:dyDescent="0.2">
      <c r="A16" s="57">
        <f>A15+1</f>
        <v>2</v>
      </c>
      <c r="B16" s="57" t="str" cm="1">
        <f t="array" ref="B16">_xlfn.LET(_xlpm.r,_xlfn.XLOOKUP(1,
(TRIM(CODE_PRICE!$A$4:$A$2003)=TRIM($C$4))*
(TRIM(CODE_PRICE!$B$4:$B$2003)=TRIM(C16)),
CODE_PRICE!$C$4:$C$2003,
""),
IF(OR(_xlpm.r="",_xlpm.r=0),"",_xlpm.r))</f>
        <v/>
      </c>
      <c r="C16" s="57" t="s">
        <v>89</v>
      </c>
      <c r="D16" s="58" t="str">
        <f>_xlfn.XLOOKUP(B16,CODE_PRICE!C:C,CODE_PRICE!D:D,"")</f>
        <v/>
      </c>
      <c r="E16" s="58" t="s">
        <v>11</v>
      </c>
      <c r="F16" s="59" t="s">
        <v>213</v>
      </c>
      <c r="G16" s="60" t="str">
        <f>IF(COUNTIFS($C$15:C16,C16,$H$15:H16,H16)=1,
SUMIFS($I$15:$I$25,$C$15:$C$25,C16,$H$15:$H$25,H16)&amp;H16&amp;" "&amp;C16,
"")</f>
        <v/>
      </c>
      <c r="H16" s="58" t="s">
        <v>22</v>
      </c>
      <c r="I16" s="61">
        <v>1</v>
      </c>
      <c r="J16" s="158"/>
      <c r="K16" s="158" cm="1">
        <f t="array" ref="K16">IF(E16="untrim",_xlfn.XLOOKUP(1,(TRIM('SIZE GUIDE'!$A$3:$A$2015)=TRIM(E16))*(TRIM('SIZE GUIDE'!$B$3:$B$2015)=TRIM(F16))*(TRIM('SIZE GUIDE'!$C$3:$C$2015)=TRIM(H16)),'SIZE GUIDE'!$D$3:$D$2015),"")</f>
        <v>108</v>
      </c>
      <c r="L16" s="168" cm="1">
        <f t="array" ref="L16">IF(E16="untrim",IFERROR(INDEX('SIZE GUIDE'!$E:$E,MATCH(1,('SIZE GUIDE'!$A:$A=$E16)*('SIZE GUIDE'!$B:$B=$F16)*('SIZE GUIDE'!$C:$C=$H16),0)),""),"")</f>
        <v>81</v>
      </c>
      <c r="M16" s="158">
        <v>39</v>
      </c>
      <c r="N16" s="65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65" t="str" cm="1">
        <f t="array" ref="O16">IF(E16="trim",IFERROR(INDEX('SIZE GUIDE'!$E:$E,MATCH(1,('SIZE GUIDE'!$A:$A=$E16)*('SIZE GUIDE'!$B:$B=$F16)*('SIZE GUIDE'!$C:$C=$H16),0)),""),"")</f>
        <v/>
      </c>
      <c r="P16" s="65"/>
      <c r="Q16" s="258">
        <f t="shared" ref="Q16:R24" si="1">K16</f>
        <v>108</v>
      </c>
      <c r="R16" s="258">
        <f t="shared" si="1"/>
        <v>81</v>
      </c>
      <c r="S16" s="258">
        <f>IF(E16="untrim",M16-0.5,P16-0.5)</f>
        <v>38.5</v>
      </c>
      <c r="T16" s="93">
        <f t="shared" si="0"/>
        <v>2338.875</v>
      </c>
      <c r="U16" s="94">
        <f>SUMIFS(CODE_PRICE!F:F,CODE_PRICE!B:B,C16,CODE_PRICE!A:A,$A$8)</f>
        <v>0.1968</v>
      </c>
      <c r="V16" s="95">
        <f t="shared" ref="V16:V24" si="2">T16*U16</f>
        <v>460.29059999999998</v>
      </c>
      <c r="W16" s="102" t="str">
        <f>IF(COUNTIF($C$15:C16,C16)=1,C16 &amp; " - " &amp; TEXT(SUMIF($C:$C,C16,$T:$T),"0.00"),"")</f>
        <v/>
      </c>
      <c r="X16" s="103" t="str">
        <f>IF(COUNTIF($C$15:C16,C16)=1,ROUND(SUMIF($C:$C,C16,$V:$V),2), "")</f>
        <v/>
      </c>
      <c r="AI16" s="17">
        <v>23</v>
      </c>
    </row>
    <row r="17" spans="1:24" s="17" customFormat="1" ht="36" customHeight="1" x14ac:dyDescent="0.2">
      <c r="A17" s="57">
        <f t="shared" ref="A17:A23" si="3">A16+1</f>
        <v>3</v>
      </c>
      <c r="B17" s="57" t="str" cm="1">
        <f t="array" ref="B17">_xlfn.LET(_xlpm.r,_xlfn.XLOOKUP(1,
(TRIM(CODE_PRICE!$A$4:$A$2003)=TRIM($C$4))*
(TRIM(CODE_PRICE!$B$4:$B$2003)=TRIM(C17)),
CODE_PRICE!$C$4:$C$2003,
""),
IF(OR(_xlpm.r="",_xlpm.r=0),"",_xlpm.r))</f>
        <v/>
      </c>
      <c r="C17" s="57" t="s">
        <v>89</v>
      </c>
      <c r="D17" s="58" t="str">
        <f>_xlfn.XLOOKUP(B17,CODE_PRICE!C:C,CODE_PRICE!D:D,"")</f>
        <v/>
      </c>
      <c r="E17" s="58" t="s">
        <v>11</v>
      </c>
      <c r="F17" s="59" t="s">
        <v>213</v>
      </c>
      <c r="G17" s="60" t="str">
        <f>IF(COUNTIFS($C$15:C17,C17,$H$15:H17,H17)=1,
SUMIFS($I$15:$I$25,$C$15:$C$25,C17,$H$15:$H$25,H17)&amp;H17&amp;" "&amp;C17,
"")</f>
        <v/>
      </c>
      <c r="H17" s="58" t="s">
        <v>22</v>
      </c>
      <c r="I17" s="61">
        <v>1</v>
      </c>
      <c r="J17" s="158"/>
      <c r="K17" s="158" cm="1">
        <f t="array" ref="K17">IF(E17="untrim",_xlfn.XLOOKUP(1,(TRIM('SIZE GUIDE'!$A$3:$A$2015)=TRIM(E17))*(TRIM('SIZE GUIDE'!$B$3:$B$2015)=TRIM(F17))*(TRIM('SIZE GUIDE'!$C$3:$C$2015)=TRIM(H17)),'SIZE GUIDE'!$D$3:$D$2015),"")</f>
        <v>108</v>
      </c>
      <c r="L17" s="168" cm="1">
        <f t="array" ref="L17">IF(E17="untrim",IFERROR(INDEX('SIZE GUIDE'!$E:$E,MATCH(1,('SIZE GUIDE'!$A:$A=$E17)*('SIZE GUIDE'!$B:$B=$F17)*('SIZE GUIDE'!$C:$C=$H17),0)),""),"")</f>
        <v>81</v>
      </c>
      <c r="M17" s="158">
        <v>32</v>
      </c>
      <c r="N17" s="65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65" t="str" cm="1">
        <f t="array" ref="O17">IF(E17="trim",IFERROR(INDEX('SIZE GUIDE'!$E:$E,MATCH(1,('SIZE GUIDE'!$A:$A=$E17)*('SIZE GUIDE'!$B:$B=$F17)*('SIZE GUIDE'!$C:$C=$H17),0)),""),"")</f>
        <v/>
      </c>
      <c r="P17" s="65"/>
      <c r="Q17" s="258">
        <f t="shared" si="1"/>
        <v>108</v>
      </c>
      <c r="R17" s="258">
        <f t="shared" si="1"/>
        <v>81</v>
      </c>
      <c r="S17" s="258">
        <f>IF(E17="untrim",M17-0.5,P17-0.5)</f>
        <v>31.5</v>
      </c>
      <c r="T17" s="93">
        <f t="shared" si="0"/>
        <v>1913.625</v>
      </c>
      <c r="U17" s="94">
        <f>SUMIFS(CODE_PRICE!F:F,CODE_PRICE!B:B,C17,CODE_PRICE!A:A,$A$8)</f>
        <v>0.1968</v>
      </c>
      <c r="V17" s="95">
        <f t="shared" si="2"/>
        <v>376.60140000000001</v>
      </c>
      <c r="W17" s="102" t="str">
        <f>IF(COUNTIF($C$15:C17,C17)=1,C17 &amp; " - " &amp; TEXT(SUMIF($C:$C,C17,$T:$T),"0.00"),"")</f>
        <v/>
      </c>
      <c r="X17" s="103" t="str">
        <f>IF(COUNTIF($C$15:C17,C17)=1,ROUND(SUMIF($C:$C,C17,$V:$V),2), "")</f>
        <v/>
      </c>
    </row>
    <row r="18" spans="1:24" s="17" customFormat="1" ht="36" customHeight="1" x14ac:dyDescent="0.2">
      <c r="A18" s="57">
        <f t="shared" si="3"/>
        <v>4</v>
      </c>
      <c r="B18" s="57" t="str" cm="1">
        <f t="array" ref="B18">_xlfn.LET(_xlpm.r,_xlfn.XLOOKUP(1,
(TRIM(CODE_PRICE!$A$4:$A$2003)=TRIM($C$4))*
(TRIM(CODE_PRICE!$B$4:$B$2003)=TRIM(C18)),
CODE_PRICE!$C$4:$C$2003,
""),
IF(OR(_xlpm.r="",_xlpm.r=0),"",_xlpm.r))</f>
        <v/>
      </c>
      <c r="C18" s="57" t="s">
        <v>89</v>
      </c>
      <c r="D18" s="58" t="str">
        <f>_xlfn.XLOOKUP(B18,CODE_PRICE!C:C,CODE_PRICE!D:D,"")</f>
        <v/>
      </c>
      <c r="E18" s="58" t="s">
        <v>11</v>
      </c>
      <c r="F18" s="59" t="s">
        <v>213</v>
      </c>
      <c r="G18" s="60" t="str">
        <f>IF(COUNTIFS($C$15:C18,C18,$H$15:H18,H18)=1,
SUMIFS($I$15:$I$25,$C$15:$C$25,C18,$H$15:$H$25,H18)&amp;H18&amp;" "&amp;C18,
"")</f>
        <v/>
      </c>
      <c r="H18" s="58" t="s">
        <v>22</v>
      </c>
      <c r="I18" s="61">
        <v>1</v>
      </c>
      <c r="J18" s="158"/>
      <c r="K18" s="158" cm="1">
        <f t="array" ref="K18">IF(E18="untrim",_xlfn.XLOOKUP(1,(TRIM('SIZE GUIDE'!$A$3:$A$2015)=TRIM(E18))*(TRIM('SIZE GUIDE'!$B$3:$B$2015)=TRIM(F18))*(TRIM('SIZE GUIDE'!$C$3:$C$2015)=TRIM(H18)),'SIZE GUIDE'!$D$3:$D$2015),"")</f>
        <v>108</v>
      </c>
      <c r="L18" s="168" cm="1">
        <f t="array" ref="L18">IF(E18="untrim",IFERROR(INDEX('SIZE GUIDE'!$E:$E,MATCH(1,('SIZE GUIDE'!$A:$A=$E18)*('SIZE GUIDE'!$B:$B=$F18)*('SIZE GUIDE'!$C:$C=$H18),0)),""),"")</f>
        <v>81</v>
      </c>
      <c r="M18" s="158">
        <v>32</v>
      </c>
      <c r="N18" s="65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65" t="str" cm="1">
        <f t="array" ref="O18">IF(E18="trim",IFERROR(INDEX('SIZE GUIDE'!$E:$E,MATCH(1,('SIZE GUIDE'!$A:$A=$E18)*('SIZE GUIDE'!$B:$B=$F18)*('SIZE GUIDE'!$C:$C=$H18),0)),""),"")</f>
        <v/>
      </c>
      <c r="P18" s="65"/>
      <c r="Q18" s="258">
        <f t="shared" si="1"/>
        <v>108</v>
      </c>
      <c r="R18" s="258">
        <f t="shared" si="1"/>
        <v>81</v>
      </c>
      <c r="S18" s="258">
        <f t="shared" ref="S18:S24" si="4">IF(E18="untrim",M18-0.5,P18-0.5)</f>
        <v>31.5</v>
      </c>
      <c r="T18" s="93">
        <f t="shared" si="0"/>
        <v>1913.625</v>
      </c>
      <c r="U18" s="94">
        <f>SUMIFS(CODE_PRICE!F:F,CODE_PRICE!B:B,C18,CODE_PRICE!A:A,$A$8)</f>
        <v>0.1968</v>
      </c>
      <c r="V18" s="95">
        <f t="shared" si="2"/>
        <v>376.60140000000001</v>
      </c>
      <c r="W18" s="102" t="str">
        <f>IF(COUNTIF($C$15:C18,C18)=1,C18 &amp; " - " &amp; TEXT(SUMIF($C:$C,C18,$T:$T),"0.00"),"")</f>
        <v/>
      </c>
      <c r="X18" s="103" t="str">
        <f>IF(COUNTIF($C$15:C18,C18)=1,ROUND(SUMIF($C:$C,C18,$V:$V),2), "")</f>
        <v/>
      </c>
    </row>
    <row r="19" spans="1:24" s="17" customFormat="1" ht="36" customHeight="1" x14ac:dyDescent="0.2">
      <c r="A19" s="57">
        <f t="shared" si="3"/>
        <v>5</v>
      </c>
      <c r="B19" s="57" t="str" cm="1">
        <f t="array" ref="B19">_xlfn.LET(_xlpm.r,_xlfn.XLOOKUP(1,
(TRIM(CODE_PRICE!$A$4:$A$2003)=TRIM($C$4))*
(TRIM(CODE_PRICE!$B$4:$B$2003)=TRIM(C19)),
CODE_PRICE!$C$4:$C$2003,
""),
IF(OR(_xlpm.r="",_xlpm.r=0),"",_xlpm.r))</f>
        <v/>
      </c>
      <c r="C19" s="57" t="s">
        <v>89</v>
      </c>
      <c r="D19" s="58" t="str">
        <f>_xlfn.XLOOKUP(B19,CODE_PRICE!C:C,CODE_PRICE!D:D,"")</f>
        <v/>
      </c>
      <c r="E19" s="58" t="s">
        <v>11</v>
      </c>
      <c r="F19" s="59" t="s">
        <v>213</v>
      </c>
      <c r="G19" s="60" t="str">
        <f>IF(COUNTIFS($C$15:C19,C19,$H$15:H19,H19)=1,
SUMIFS($I$15:$I$25,$C$15:$C$25,C19,$H$15:$H$25,H19)&amp;H19&amp;" "&amp;C19,
"")</f>
        <v/>
      </c>
      <c r="H19" s="58" t="s">
        <v>22</v>
      </c>
      <c r="I19" s="61">
        <v>1</v>
      </c>
      <c r="J19" s="158"/>
      <c r="K19" s="158" cm="1">
        <f t="array" ref="K19">IF(E19="untrim",_xlfn.XLOOKUP(1,(TRIM('SIZE GUIDE'!$A$3:$A$2015)=TRIM(E19))*(TRIM('SIZE GUIDE'!$B$3:$B$2015)=TRIM(F19))*(TRIM('SIZE GUIDE'!$C$3:$C$2015)=TRIM(H19)),'SIZE GUIDE'!$D$3:$D$2015),"")</f>
        <v>108</v>
      </c>
      <c r="L19" s="168" cm="1">
        <f t="array" ref="L19">IF(E19="untrim",IFERROR(INDEX('SIZE GUIDE'!$E:$E,MATCH(1,('SIZE GUIDE'!$A:$A=$E19)*('SIZE GUIDE'!$B:$B=$F19)*('SIZE GUIDE'!$C:$C=$H19),0)),""),"")</f>
        <v>81</v>
      </c>
      <c r="M19" s="158">
        <v>41.5</v>
      </c>
      <c r="N19" s="65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65" t="str" cm="1">
        <f t="array" ref="O19">IF(E19="trim",IFERROR(INDEX('SIZE GUIDE'!$E:$E,MATCH(1,('SIZE GUIDE'!$A:$A=$E19)*('SIZE GUIDE'!$B:$B=$F19)*('SIZE GUIDE'!$C:$C=$H19),0)),""),"")</f>
        <v/>
      </c>
      <c r="P19" s="65"/>
      <c r="Q19" s="258">
        <f t="shared" si="1"/>
        <v>108</v>
      </c>
      <c r="R19" s="258">
        <f t="shared" si="1"/>
        <v>81</v>
      </c>
      <c r="S19" s="258">
        <f t="shared" si="4"/>
        <v>41</v>
      </c>
      <c r="T19" s="93">
        <f t="shared" si="0"/>
        <v>2490.75</v>
      </c>
      <c r="U19" s="94">
        <f>SUMIFS(CODE_PRICE!F:F,CODE_PRICE!B:B,C19,CODE_PRICE!A:A,$A$8)</f>
        <v>0.1968</v>
      </c>
      <c r="V19" s="95">
        <f t="shared" si="2"/>
        <v>490.17959999999999</v>
      </c>
      <c r="W19" s="102" t="str">
        <f>IF(COUNTIF($C$15:C19,C19)=1,C19 &amp; " - " &amp; TEXT(SUMIF($C:$C,C19,$T:$T),"0.00"),"")</f>
        <v/>
      </c>
      <c r="X19" s="103" t="str">
        <f>IF(COUNTIF($C$15:C19,C19)=1,ROUND(SUMIF($C:$C,C19,$V:$V),2), "")</f>
        <v/>
      </c>
    </row>
    <row r="20" spans="1:24" s="17" customFormat="1" ht="36" customHeight="1" x14ac:dyDescent="0.2">
      <c r="A20" s="57">
        <f t="shared" si="3"/>
        <v>6</v>
      </c>
      <c r="B20" s="57" t="str" cm="1">
        <f t="array" ref="B20">_xlfn.LET(_xlpm.r,_xlfn.XLOOKUP(1,
(TRIM(CODE_PRICE!$A$4:$A$2003)=TRIM($C$4))*
(TRIM(CODE_PRICE!$B$4:$B$2003)=TRIM(C20)),
CODE_PRICE!$C$4:$C$2003,
""),
IF(OR(_xlpm.r="",_xlpm.r=0),"",_xlpm.r))</f>
        <v/>
      </c>
      <c r="C20" s="57" t="s">
        <v>89</v>
      </c>
      <c r="D20" s="58" t="str">
        <f>_xlfn.XLOOKUP(B20,CODE_PRICE!C:C,CODE_PRICE!D:D,"")</f>
        <v/>
      </c>
      <c r="E20" s="58" t="s">
        <v>11</v>
      </c>
      <c r="F20" s="59" t="s">
        <v>213</v>
      </c>
      <c r="G20" s="60" t="str">
        <f>IF(COUNTIFS($C$15:C20,C20,$H$15:H20,H20)=1,
SUMIFS($I$15:$I$25,$C$15:$C$25,C20,$H$15:$H$25,H20)&amp;H20&amp;" "&amp;C20,
"")</f>
        <v/>
      </c>
      <c r="H20" s="58" t="s">
        <v>22</v>
      </c>
      <c r="I20" s="61">
        <v>1</v>
      </c>
      <c r="J20" s="158"/>
      <c r="K20" s="158" cm="1">
        <f t="array" ref="K20">IF(E20="untrim",_xlfn.XLOOKUP(1,(TRIM('SIZE GUIDE'!$A$3:$A$2015)=TRIM(E20))*(TRIM('SIZE GUIDE'!$B$3:$B$2015)=TRIM(F20))*(TRIM('SIZE GUIDE'!$C$3:$C$2015)=TRIM(H20)),'SIZE GUIDE'!$D$3:$D$2015),"")</f>
        <v>108</v>
      </c>
      <c r="L20" s="168" cm="1">
        <f t="array" ref="L20">IF(E20="untrim",IFERROR(INDEX('SIZE GUIDE'!$E:$E,MATCH(1,('SIZE GUIDE'!$A:$A=$E20)*('SIZE GUIDE'!$B:$B=$F20)*('SIZE GUIDE'!$C:$C=$H20),0)),""),"")</f>
        <v>81</v>
      </c>
      <c r="M20" s="158">
        <v>36</v>
      </c>
      <c r="N20" s="65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65" t="str" cm="1">
        <f t="array" ref="O20">IF(E20="trim",IFERROR(INDEX('SIZE GUIDE'!$E:$E,MATCH(1,('SIZE GUIDE'!$A:$A=$E20)*('SIZE GUIDE'!$B:$B=$F20)*('SIZE GUIDE'!$C:$C=$H20),0)),""),"")</f>
        <v/>
      </c>
      <c r="P20" s="65"/>
      <c r="Q20" s="258">
        <f t="shared" si="1"/>
        <v>108</v>
      </c>
      <c r="R20" s="258">
        <f t="shared" si="1"/>
        <v>81</v>
      </c>
      <c r="S20" s="258">
        <f t="shared" si="4"/>
        <v>35.5</v>
      </c>
      <c r="T20" s="93">
        <f t="shared" si="0"/>
        <v>2156.625</v>
      </c>
      <c r="U20" s="94">
        <f>SUMIFS(CODE_PRICE!F:F,CODE_PRICE!B:B,C20,CODE_PRICE!A:A,$A$8)</f>
        <v>0.1968</v>
      </c>
      <c r="V20" s="95">
        <f t="shared" si="2"/>
        <v>424.42380000000003</v>
      </c>
      <c r="W20" s="102" t="str">
        <f>IF(COUNTIF($C$15:C20,C20)=1,C20 &amp; " - " &amp; TEXT(SUMIF($C:$C,C20,$T:$T),"0.00"),"")</f>
        <v/>
      </c>
      <c r="X20" s="103" t="str">
        <f>IF(COUNTIF($C$15:C20,C20)=1,ROUND(SUMIF($C:$C,C20,$V:$V),2), "")</f>
        <v/>
      </c>
    </row>
    <row r="21" spans="1:24" s="17" customFormat="1" ht="36" customHeight="1" x14ac:dyDescent="0.2">
      <c r="A21" s="57">
        <f t="shared" si="3"/>
        <v>7</v>
      </c>
      <c r="B21" s="57" t="str" cm="1">
        <f t="array" ref="B21">_xlfn.LET(_xlpm.r,_xlfn.XLOOKUP(1,
(TRIM(CODE_PRICE!$A$4:$A$2003)=TRIM($C$4))*
(TRIM(CODE_PRICE!$B$4:$B$2003)=TRIM(C21)),
CODE_PRICE!$C$4:$C$2003,
""),
IF(OR(_xlpm.r="",_xlpm.r=0),"",_xlpm.r))</f>
        <v/>
      </c>
      <c r="C21" s="57" t="s">
        <v>89</v>
      </c>
      <c r="D21" s="58" t="str">
        <f>_xlfn.XLOOKUP(B21,CODE_PRICE!C:C,CODE_PRICE!D:D,"")</f>
        <v/>
      </c>
      <c r="E21" s="58" t="s">
        <v>11</v>
      </c>
      <c r="F21" s="59" t="s">
        <v>213</v>
      </c>
      <c r="G21" s="60" t="str">
        <f>IF(COUNTIFS($C$15:C21,C21,$H$15:H21,H21)=1,
SUMIFS($I$15:$I$25,$C$15:$C$25,C21,$H$15:$H$25,H21)&amp;H21&amp;" "&amp;C21,
"")</f>
        <v/>
      </c>
      <c r="H21" s="58" t="s">
        <v>22</v>
      </c>
      <c r="I21" s="61">
        <v>1</v>
      </c>
      <c r="J21" s="158"/>
      <c r="K21" s="158" cm="1">
        <f t="array" ref="K21">IF(E21="untrim",_xlfn.XLOOKUP(1,(TRIM('SIZE GUIDE'!$A$3:$A$2015)=TRIM(E21))*(TRIM('SIZE GUIDE'!$B$3:$B$2015)=TRIM(F21))*(TRIM('SIZE GUIDE'!$C$3:$C$2015)=TRIM(H21)),'SIZE GUIDE'!$D$3:$D$2015),"")</f>
        <v>108</v>
      </c>
      <c r="L21" s="168" cm="1">
        <f t="array" ref="L21">IF(E21="untrim",IFERROR(INDEX('SIZE GUIDE'!$E:$E,MATCH(1,('SIZE GUIDE'!$A:$A=$E21)*('SIZE GUIDE'!$B:$B=$F21)*('SIZE GUIDE'!$C:$C=$H21),0)),""),"")</f>
        <v>81</v>
      </c>
      <c r="M21" s="158">
        <v>42</v>
      </c>
      <c r="N21" s="65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65" t="str" cm="1">
        <f t="array" ref="O21">IF(E21="trim",IFERROR(INDEX('SIZE GUIDE'!$E:$E,MATCH(1,('SIZE GUIDE'!$A:$A=$E21)*('SIZE GUIDE'!$B:$B=$F21)*('SIZE GUIDE'!$C:$C=$H21),0)),""),"")</f>
        <v/>
      </c>
      <c r="P21" s="65"/>
      <c r="Q21" s="258">
        <f t="shared" si="1"/>
        <v>108</v>
      </c>
      <c r="R21" s="258">
        <f t="shared" si="1"/>
        <v>81</v>
      </c>
      <c r="S21" s="258">
        <f t="shared" si="4"/>
        <v>41.5</v>
      </c>
      <c r="T21" s="93">
        <f t="shared" si="0"/>
        <v>2521.125</v>
      </c>
      <c r="U21" s="94">
        <f>SUMIFS(CODE_PRICE!F:F,CODE_PRICE!B:B,C21,CODE_PRICE!A:A,$A$8)</f>
        <v>0.1968</v>
      </c>
      <c r="V21" s="95">
        <f t="shared" si="2"/>
        <v>496.1574</v>
      </c>
      <c r="W21" s="102" t="str">
        <f>IF(COUNTIF($C$15:C21,C21)=1,C21 &amp; " - " &amp; TEXT(SUMIF($C:$C,C21,$T:$T),"0.00"),"")</f>
        <v/>
      </c>
      <c r="X21" s="103" t="str">
        <f>IF(COUNTIF($C$15:C21,C21)=1,ROUND(SUMIF($C:$C,C21,$V:$V),2), "")</f>
        <v/>
      </c>
    </row>
    <row r="22" spans="1:24" s="17" customFormat="1" ht="36" customHeight="1" x14ac:dyDescent="0.2">
      <c r="A22" s="57">
        <f t="shared" si="3"/>
        <v>8</v>
      </c>
      <c r="B22" s="57" t="str" cm="1">
        <f t="array" ref="B22">_xlfn.LET(_xlpm.r,_xlfn.XLOOKUP(1,
(TRIM(CODE_PRICE!$A$4:$A$2003)=TRIM($C$4))*
(TRIM(CODE_PRICE!$B$4:$B$2003)=TRIM(C22)),
CODE_PRICE!$C$4:$C$2003,
""),
IF(OR(_xlpm.r="",_xlpm.r=0),"",_xlpm.r))</f>
        <v/>
      </c>
      <c r="C22" s="57" t="s">
        <v>89</v>
      </c>
      <c r="D22" s="58" t="str">
        <f>_xlfn.XLOOKUP(B22,CODE_PRICE!C:C,CODE_PRICE!D:D,"")</f>
        <v/>
      </c>
      <c r="E22" s="58" t="s">
        <v>11</v>
      </c>
      <c r="F22" s="59" t="s">
        <v>213</v>
      </c>
      <c r="G22" s="60" t="str">
        <f>IF(COUNTIFS($C$15:C22,C22,$H$15:H22,H22)=1,
SUMIFS($I$15:$I$25,$C$15:$C$25,C22,$H$15:$H$25,H22)&amp;H22&amp;" "&amp;C22,
"")</f>
        <v/>
      </c>
      <c r="H22" s="58" t="s">
        <v>22</v>
      </c>
      <c r="I22" s="61">
        <v>1</v>
      </c>
      <c r="J22" s="158"/>
      <c r="K22" s="158" cm="1">
        <f t="array" ref="K22">IF(E22="untrim",_xlfn.XLOOKUP(1,(TRIM('SIZE GUIDE'!$A$3:$A$2015)=TRIM(E22))*(TRIM('SIZE GUIDE'!$B$3:$B$2015)=TRIM(F22))*(TRIM('SIZE GUIDE'!$C$3:$C$2015)=TRIM(H22)),'SIZE GUIDE'!$D$3:$D$2015),"")</f>
        <v>108</v>
      </c>
      <c r="L22" s="168" cm="1">
        <f t="array" ref="L22">IF(E22="untrim",IFERROR(INDEX('SIZE GUIDE'!$E:$E,MATCH(1,('SIZE GUIDE'!$A:$A=$E22)*('SIZE GUIDE'!$B:$B=$F22)*('SIZE GUIDE'!$C:$C=$H22),0)),""),"")</f>
        <v>81</v>
      </c>
      <c r="M22" s="158">
        <v>44</v>
      </c>
      <c r="N22" s="65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65" t="str" cm="1">
        <f t="array" ref="O22">IF(E22="trim",IFERROR(INDEX('SIZE GUIDE'!$E:$E,MATCH(1,('SIZE GUIDE'!$A:$A=$E22)*('SIZE GUIDE'!$B:$B=$F22)*('SIZE GUIDE'!$C:$C=$H22),0)),""),"")</f>
        <v/>
      </c>
      <c r="P22" s="65"/>
      <c r="Q22" s="258">
        <f t="shared" si="1"/>
        <v>108</v>
      </c>
      <c r="R22" s="258">
        <f t="shared" si="1"/>
        <v>81</v>
      </c>
      <c r="S22" s="258">
        <f t="shared" si="4"/>
        <v>43.5</v>
      </c>
      <c r="T22" s="93">
        <f t="shared" si="0"/>
        <v>2642.625</v>
      </c>
      <c r="U22" s="94">
        <f>SUMIFS(CODE_PRICE!F:F,CODE_PRICE!B:B,C22,CODE_PRICE!A:A,$A$8)</f>
        <v>0.1968</v>
      </c>
      <c r="V22" s="95">
        <f t="shared" si="2"/>
        <v>520.06860000000006</v>
      </c>
      <c r="W22" s="102" t="str">
        <f>IF(COUNTIF($C$15:C22,C22)=1,C22 &amp; " - " &amp; TEXT(SUMIF($C:$C,C22,$T:$T),"0.00"),"")</f>
        <v/>
      </c>
      <c r="X22" s="103" t="e" cm="1" vm="1">
        <f t="array" aca="1" ref="X22" ca="1">A:J=IF(COUNTIF($C$15:C22,C22)=1,ROUND(SUMIF($C:$C,C22,$V:$V),2), "")</f>
        <v>#VALUE!</v>
      </c>
    </row>
    <row r="23" spans="1:24" s="17" customFormat="1" ht="36" customHeight="1" x14ac:dyDescent="0.2">
      <c r="A23" s="57">
        <f t="shared" si="3"/>
        <v>9</v>
      </c>
      <c r="B23" s="57" t="str" cm="1">
        <f t="array" ref="B23">_xlfn.LET(_xlpm.r,_xlfn.XLOOKUP(1,
(TRIM(CODE_PRICE!$A$4:$A$2003)=TRIM($C$4))*
(TRIM(CODE_PRICE!$B$4:$B$2003)=TRIM(C23)),
CODE_PRICE!$C$4:$C$2003,
""),
IF(OR(_xlpm.r="",_xlpm.r=0),"",_xlpm.r))</f>
        <v/>
      </c>
      <c r="C23" s="57" t="s">
        <v>89</v>
      </c>
      <c r="D23" s="58" t="str">
        <f>_xlfn.XLOOKUP(B23,CODE_PRICE!C:C,CODE_PRICE!D:D,"")</f>
        <v/>
      </c>
      <c r="E23" s="58" t="s">
        <v>11</v>
      </c>
      <c r="F23" s="59" t="s">
        <v>213</v>
      </c>
      <c r="G23" s="60" t="str">
        <f>IF(COUNTIFS($C$15:C23,C23,$H$15:H23,H23)=1,
SUMIFS($I$15:$I$25,$C$15:$C$25,C23,$H$15:$H$25,H23)&amp;H23&amp;" "&amp;C23,
"")</f>
        <v/>
      </c>
      <c r="H23" s="58" t="s">
        <v>22</v>
      </c>
      <c r="I23" s="61">
        <v>1</v>
      </c>
      <c r="J23" s="158"/>
      <c r="K23" s="158" cm="1">
        <f t="array" ref="K23">IF(E23="untrim",_xlfn.XLOOKUP(1,(TRIM('SIZE GUIDE'!$A$3:$A$2015)=TRIM(E23))*(TRIM('SIZE GUIDE'!$B$3:$B$2015)=TRIM(F23))*(TRIM('SIZE GUIDE'!$C$3:$C$2015)=TRIM(H23)),'SIZE GUIDE'!$D$3:$D$2015),"")</f>
        <v>108</v>
      </c>
      <c r="L23" s="168" cm="1">
        <f t="array" ref="L23">IF(E23="untrim",IFERROR(INDEX('SIZE GUIDE'!$E:$E,MATCH(1,('SIZE GUIDE'!$A:$A=$E23)*('SIZE GUIDE'!$B:$B=$F23)*('SIZE GUIDE'!$C:$C=$H23),0)),""),"")</f>
        <v>81</v>
      </c>
      <c r="M23" s="158">
        <v>36</v>
      </c>
      <c r="N23" s="65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65" t="str" cm="1">
        <f t="array" ref="O23">IF(E23="trim",IFERROR(INDEX('SIZE GUIDE'!$E:$E,MATCH(1,('SIZE GUIDE'!$A:$A=$E23)*('SIZE GUIDE'!$B:$B=$F23)*('SIZE GUIDE'!$C:$C=$H23),0)),""),"")</f>
        <v/>
      </c>
      <c r="P23" s="65"/>
      <c r="Q23" s="258">
        <f t="shared" si="1"/>
        <v>108</v>
      </c>
      <c r="R23" s="258">
        <f t="shared" si="1"/>
        <v>81</v>
      </c>
      <c r="S23" s="258">
        <f t="shared" si="4"/>
        <v>35.5</v>
      </c>
      <c r="T23" s="93">
        <f t="shared" si="0"/>
        <v>2156.625</v>
      </c>
      <c r="U23" s="94">
        <f>SUMIFS(CODE_PRICE!F:F,CODE_PRICE!B:B,C23,CODE_PRICE!A:A,$A$8)</f>
        <v>0.1968</v>
      </c>
      <c r="V23" s="95">
        <f t="shared" si="2"/>
        <v>424.42380000000003</v>
      </c>
      <c r="W23" s="102" t="str">
        <f>IF(COUNTIF($C$15:C23,C23)=1,C23 &amp; " - " &amp; TEXT(SUMIF($C:$C,C23,$T:$T),"0.00"),"")</f>
        <v/>
      </c>
      <c r="X23" s="103" t="str">
        <f>IF(COUNTIF($C$15:C23,C23)=1,ROUND(SUMIF($C:$C,C23,$V:$V),2), "")</f>
        <v/>
      </c>
    </row>
    <row r="24" spans="1:24" s="17" customFormat="1" ht="36" customHeight="1" x14ac:dyDescent="0.2">
      <c r="A24" s="57">
        <f>A23+1</f>
        <v>10</v>
      </c>
      <c r="B24" s="57" t="str" cm="1">
        <f t="array" ref="B24">_xlfn.LET(_xlpm.r,_xlfn.XLOOKUP(1,
(TRIM(CODE_PRICE!$A$4:$A$2003)=TRIM($C$4))*
(TRIM(CODE_PRICE!$B$4:$B$2003)=TRIM(C24)),
CODE_PRICE!$C$4:$C$2003,
""),
IF(OR(_xlpm.r="",_xlpm.r=0),"",_xlpm.r))</f>
        <v/>
      </c>
      <c r="C24" s="57" t="s">
        <v>89</v>
      </c>
      <c r="D24" s="58" t="str">
        <f>_xlfn.XLOOKUP(B24,CODE_PRICE!C:C,CODE_PRICE!D:D,"")</f>
        <v/>
      </c>
      <c r="E24" s="58" t="s">
        <v>11</v>
      </c>
      <c r="F24" s="59" t="s">
        <v>213</v>
      </c>
      <c r="G24" s="60" t="str">
        <f>IF(COUNTIFS($C$15:C24,C24,$H$15:H24,H24)=1,
SUMIFS($I$15:$I$25,$C$15:$C$25,C24,$H$15:$H$25,H24)&amp;H24&amp;" "&amp;C24,
"")</f>
        <v/>
      </c>
      <c r="H24" s="58" t="s">
        <v>22</v>
      </c>
      <c r="I24" s="61">
        <v>1</v>
      </c>
      <c r="J24" s="158"/>
      <c r="K24" s="158" cm="1">
        <f t="array" ref="K24">IF(E24="untrim",_xlfn.XLOOKUP(1,(TRIM('SIZE GUIDE'!$A$3:$A$2015)=TRIM(E24))*(TRIM('SIZE GUIDE'!$B$3:$B$2015)=TRIM(F24))*(TRIM('SIZE GUIDE'!$C$3:$C$2015)=TRIM(H24)),'SIZE GUIDE'!$D$3:$D$2015),"")</f>
        <v>108</v>
      </c>
      <c r="L24" s="168" cm="1">
        <f t="array" ref="L24">IF(E24="untrim",IFERROR(INDEX('SIZE GUIDE'!$E:$E,MATCH(1,('SIZE GUIDE'!$A:$A=$E24)*('SIZE GUIDE'!$B:$B=$F24)*('SIZE GUIDE'!$C:$C=$H24),0)),""),"")</f>
        <v>81</v>
      </c>
      <c r="M24" s="158">
        <v>41</v>
      </c>
      <c r="N24" s="65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65" t="str" cm="1">
        <f t="array" ref="O24">IF(E24="trim",IFERROR(INDEX('SIZE GUIDE'!$E:$E,MATCH(1,('SIZE GUIDE'!$A:$A=$E24)*('SIZE GUIDE'!$B:$B=$F24)*('SIZE GUIDE'!$C:$C=$H24),0)),""),"")</f>
        <v/>
      </c>
      <c r="P24" s="65"/>
      <c r="Q24" s="258">
        <f t="shared" si="1"/>
        <v>108</v>
      </c>
      <c r="R24" s="258">
        <f t="shared" si="1"/>
        <v>81</v>
      </c>
      <c r="S24" s="258">
        <f t="shared" si="4"/>
        <v>40.5</v>
      </c>
      <c r="T24" s="93">
        <f t="shared" si="0"/>
        <v>2460.375</v>
      </c>
      <c r="U24" s="94">
        <f>SUMIFS(CODE_PRICE!F:F,CODE_PRICE!B:B,C24,CODE_PRICE!A:A,$A$8)</f>
        <v>0.1968</v>
      </c>
      <c r="V24" s="95">
        <f t="shared" si="2"/>
        <v>484.20179999999999</v>
      </c>
      <c r="W24" s="102" t="str">
        <f>IF(COUNTIF($C$15:C24,C24)=1,C24 &amp; " - " &amp; TEXT(SUMIF($C:$C,C24,$T:$T),"0.00"),"")</f>
        <v/>
      </c>
      <c r="X24" s="103" t="str">
        <f>IF(COUNTIF($C$15:C24,C24)=1,ROUND(SUMIF($C:$C,C24,$V:$V),2), "")</f>
        <v/>
      </c>
    </row>
    <row r="25" spans="1:24" s="17" customFormat="1" ht="36" hidden="1" customHeight="1" x14ac:dyDescent="0.2">
      <c r="A25" s="57"/>
      <c r="B25" s="57"/>
      <c r="C25" s="57"/>
      <c r="D25" s="58"/>
      <c r="E25" s="58"/>
      <c r="F25" s="59"/>
      <c r="G25" s="60"/>
      <c r="H25" s="58"/>
      <c r="I25" s="61"/>
      <c r="J25" s="158"/>
      <c r="K25" s="158"/>
      <c r="L25" s="168"/>
      <c r="M25" s="158"/>
      <c r="N25" s="65"/>
      <c r="O25" s="65"/>
      <c r="P25" s="65"/>
      <c r="Q25" s="258"/>
      <c r="R25" s="258"/>
      <c r="S25" s="258"/>
      <c r="T25" s="93"/>
      <c r="U25" s="94"/>
      <c r="V25" s="95"/>
      <c r="W25" s="102"/>
      <c r="X25" s="103"/>
    </row>
    <row r="26" spans="1:24" s="17" customFormat="1" ht="41.25" customHeight="1" thickBot="1" x14ac:dyDescent="0.25">
      <c r="A26" s="53"/>
      <c r="B26" s="53"/>
      <c r="C26" s="53"/>
      <c r="D26" s="53"/>
      <c r="E26" s="67"/>
      <c r="F26" s="68"/>
      <c r="G26" s="68"/>
      <c r="H26" s="69" t="s">
        <v>155</v>
      </c>
      <c r="I26" s="70">
        <f>SUM(I15:I25)</f>
        <v>10</v>
      </c>
      <c r="J26" s="55"/>
      <c r="K26" s="55"/>
      <c r="L26" s="55"/>
      <c r="M26" s="55"/>
      <c r="N26" s="56"/>
      <c r="O26" s="56"/>
      <c r="P26" s="122"/>
      <c r="Q26" s="67"/>
      <c r="R26" s="67"/>
      <c r="S26" s="67"/>
      <c r="T26" s="96">
        <f>SUM(T15:T25)</f>
        <v>23236.875</v>
      </c>
      <c r="U26" s="97"/>
      <c r="V26" s="92">
        <f>SUM(V15:V25)</f>
        <v>4573.0170000000007</v>
      </c>
      <c r="W26" s="109">
        <f>T26</f>
        <v>23236.875</v>
      </c>
      <c r="X26" s="104" t="e" vm="2">
        <f ca="1">SUM(X15:X25)</f>
        <v>#VALUE!</v>
      </c>
    </row>
    <row r="27" spans="1:24" s="17" customFormat="1" ht="41.25" customHeight="1" x14ac:dyDescent="0.2">
      <c r="A27" s="57"/>
      <c r="B27" s="71"/>
      <c r="C27" s="71"/>
      <c r="D27" s="72"/>
      <c r="E27" s="72"/>
      <c r="F27" s="73"/>
      <c r="G27" s="74"/>
      <c r="H27" s="75" t="s">
        <v>156</v>
      </c>
      <c r="I27" s="76"/>
      <c r="J27" s="77"/>
      <c r="K27" s="78"/>
      <c r="L27" s="79"/>
      <c r="M27" s="78"/>
      <c r="N27" s="78"/>
      <c r="O27" s="78"/>
      <c r="P27" s="78"/>
      <c r="Q27" s="80"/>
      <c r="R27" s="80"/>
      <c r="S27" s="80"/>
      <c r="T27" s="81"/>
      <c r="U27" s="82"/>
      <c r="V27" s="83"/>
      <c r="W27" s="19"/>
      <c r="X27" s="25"/>
    </row>
    <row r="28" spans="1:24" s="17" customFormat="1" ht="41.25" customHeight="1" thickBot="1" x14ac:dyDescent="0.25">
      <c r="A28" s="53"/>
      <c r="B28" s="53"/>
      <c r="C28" s="68"/>
      <c r="D28" s="67"/>
      <c r="E28" s="67"/>
      <c r="F28" s="67"/>
      <c r="G28" s="67"/>
      <c r="H28" s="69" t="s">
        <v>162</v>
      </c>
      <c r="I28" s="70">
        <f>I26</f>
        <v>10</v>
      </c>
      <c r="J28" s="55"/>
      <c r="K28" s="55"/>
      <c r="L28" s="55"/>
      <c r="M28" s="55"/>
      <c r="N28" s="56"/>
      <c r="O28" s="56"/>
      <c r="P28" s="122"/>
      <c r="Q28" s="67"/>
      <c r="R28" s="67"/>
      <c r="S28" s="67"/>
      <c r="T28" s="96">
        <f>T26</f>
        <v>23236.875</v>
      </c>
      <c r="U28" s="97"/>
      <c r="V28" s="92">
        <f>+V26+V27</f>
        <v>4573.0170000000007</v>
      </c>
      <c r="W28" s="109">
        <f>W26</f>
        <v>23236.875</v>
      </c>
      <c r="X28" s="104" t="e" vm="2">
        <f ca="1">X26</f>
        <v>#VALUE!</v>
      </c>
    </row>
    <row r="29" spans="1:24" ht="15" customHeight="1" x14ac:dyDescent="0.25">
      <c r="A29" s="48"/>
      <c r="B29" s="48"/>
      <c r="C29" s="48"/>
      <c r="D29" s="48"/>
      <c r="E29" s="48"/>
      <c r="F29" s="84"/>
      <c r="G29" s="48"/>
      <c r="H29" s="85"/>
      <c r="I29" s="85"/>
      <c r="J29" s="8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89"/>
    </row>
    <row r="30" spans="1:24" ht="15" customHeight="1" x14ac:dyDescent="0.25">
      <c r="A30" s="48" t="s">
        <v>153</v>
      </c>
      <c r="B30" s="48"/>
      <c r="C30" s="48"/>
      <c r="D30" s="48"/>
      <c r="E30" s="48"/>
      <c r="F30" s="84"/>
      <c r="G30" s="48"/>
      <c r="H30" s="85"/>
      <c r="I30" s="85"/>
      <c r="J30" s="8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89"/>
    </row>
    <row r="31" spans="1:24" ht="15" customHeight="1" x14ac:dyDescent="0.25">
      <c r="A31" s="48"/>
      <c r="B31" s="48"/>
      <c r="C31" s="48"/>
      <c r="D31" s="48"/>
      <c r="E31" s="48"/>
      <c r="F31" s="84"/>
      <c r="G31" s="48"/>
      <c r="H31" s="85"/>
      <c r="I31" s="85"/>
      <c r="J31" s="8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89"/>
    </row>
    <row r="32" spans="1:24" ht="15" customHeight="1" x14ac:dyDescent="0.25">
      <c r="A32" s="48" t="s">
        <v>154</v>
      </c>
      <c r="B32" s="48"/>
      <c r="C32" s="48"/>
      <c r="D32" s="48"/>
      <c r="E32" s="48"/>
      <c r="F32" s="84"/>
      <c r="G32" s="48"/>
      <c r="H32" s="85"/>
      <c r="I32" s="85"/>
      <c r="J32" s="8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89"/>
    </row>
    <row r="33" spans="1:25" ht="15" customHeight="1" x14ac:dyDescent="0.25">
      <c r="A33" s="48"/>
      <c r="B33" s="48"/>
      <c r="C33" s="48"/>
      <c r="D33" s="48"/>
      <c r="E33" s="48"/>
      <c r="F33" s="84"/>
      <c r="G33" s="48"/>
      <c r="H33" s="85"/>
      <c r="I33" s="85"/>
      <c r="J33" s="8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89"/>
    </row>
    <row r="34" spans="1:25" ht="15" customHeight="1" x14ac:dyDescent="0.25">
      <c r="A34" s="48"/>
      <c r="B34" s="48"/>
      <c r="C34" s="48"/>
      <c r="D34" s="48"/>
      <c r="E34" s="48"/>
      <c r="F34" s="84"/>
      <c r="G34" s="48"/>
      <c r="H34" s="85"/>
      <c r="I34" s="85"/>
      <c r="J34" s="8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89"/>
    </row>
    <row r="35" spans="1:25" ht="15" customHeight="1" x14ac:dyDescent="0.25">
      <c r="A35" s="86"/>
      <c r="B35" s="318"/>
      <c r="C35" s="318"/>
      <c r="D35" s="318"/>
      <c r="E35" s="318"/>
      <c r="F35" s="318"/>
      <c r="G35" s="318"/>
      <c r="H35" s="318"/>
      <c r="I35" s="318"/>
      <c r="J35" s="318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89"/>
    </row>
    <row r="36" spans="1:25" ht="15" customHeight="1" x14ac:dyDescent="0.25">
      <c r="A36" s="86"/>
      <c r="B36" s="319"/>
      <c r="C36" s="319"/>
      <c r="D36" s="319"/>
      <c r="E36" s="319"/>
      <c r="F36" s="319"/>
      <c r="G36" s="319"/>
      <c r="H36" s="319"/>
      <c r="I36" s="319"/>
      <c r="J36" s="319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89"/>
      <c r="X36" s="16"/>
      <c r="Y36" s="23"/>
    </row>
  </sheetData>
  <mergeCells count="5">
    <mergeCell ref="A7:E7"/>
    <mergeCell ref="F7:G7"/>
    <mergeCell ref="R9:S9"/>
    <mergeCell ref="B35:J35"/>
    <mergeCell ref="B36:J36"/>
  </mergeCells>
  <pageMargins left="0" right="0" top="1" bottom="0" header="0.511811023622047" footer="0.511811023622047"/>
  <pageSetup paperSize="9" scale="56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2E253314-17D9-41FF-AE76-046DE71E4276}">
          <x14:formula1>
            <xm:f>LISTS!$B$2:$B$8</xm:f>
          </x14:formula1>
          <x14:formula2>
            <xm:f>0</xm:f>
          </x14:formula2>
          <xm:sqref>H15:H28</xm:sqref>
        </x14:dataValidation>
        <x14:dataValidation type="list" allowBlank="1" xr:uid="{8B08E7C1-53B0-45BA-918A-38C195A62759}">
          <x14:formula1>
            <xm:f>'SIZE GUIDE'!$A$3:$A$38</xm:f>
          </x14:formula1>
          <xm:sqref>E15:E28</xm:sqref>
        </x14:dataValidation>
        <x14:dataValidation type="list" allowBlank="1" showInputMessage="1" showErrorMessage="1" xr:uid="{29DAF435-E728-4F6E-B624-E7961CE10BD9}">
          <x14:formula1>
            <xm:f>'SIZE GUIDE'!$B:$B</xm:f>
          </x14:formula1>
          <xm:sqref>G26 F15:F28</xm:sqref>
        </x14:dataValidation>
        <x14:dataValidation type="list" errorStyle="information" allowBlank="1" showInputMessage="1" xr:uid="{BC8F9E37-CAA5-4203-94E0-B1460D6A3029}">
          <x14:formula1>
            <xm:f>CODE_MASTER_AS!$A$3:$A$14</xm:f>
          </x14:formula1>
          <xm:sqref>F26:G26 C27:C28 C15:C25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BCE76-74F0-46E6-8613-7AE1BF5B462E}">
  <sheetPr codeName="Sheet33">
    <pageSetUpPr fitToPage="1"/>
  </sheetPr>
  <dimension ref="A1:AC60"/>
  <sheetViews>
    <sheetView showGridLines="0" view="pageBreakPreview" topLeftCell="A9" zoomScale="89" zoomScaleNormal="68" zoomScaleSheetLayoutView="89" workbookViewId="0">
      <selection activeCell="X22" sqref="X22:X26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6.5" style="16" customWidth="1"/>
    <col min="4" max="4" width="13.83203125" style="16" customWidth="1"/>
    <col min="5" max="5" width="15.1640625" style="16" customWidth="1"/>
    <col min="6" max="6" width="10.5" style="16" customWidth="1"/>
    <col min="7" max="7" width="13.6640625" style="16" hidden="1" customWidth="1"/>
    <col min="8" max="8" width="18.5" style="16" customWidth="1"/>
    <col min="9" max="9" width="8.5" style="16" customWidth="1"/>
    <col min="10" max="10" width="8" style="16" customWidth="1"/>
    <col min="11" max="17" width="10.6640625" style="16" hidden="1" customWidth="1"/>
    <col min="18" max="20" width="8.1640625" style="16" customWidth="1"/>
    <col min="21" max="22" width="12.5" style="16" customWidth="1"/>
    <col min="23" max="23" width="13.1640625" style="98" customWidth="1"/>
    <col min="24" max="24" width="47" style="16" customWidth="1"/>
    <col min="25" max="25" width="15.33203125" style="23" hidden="1" customWidth="1"/>
    <col min="26" max="16384" width="8.6640625" style="16"/>
  </cols>
  <sheetData>
    <row r="1" spans="1:29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13"/>
      <c r="K1" s="29"/>
      <c r="L1" s="29"/>
      <c r="M1" s="29"/>
      <c r="N1" s="29"/>
      <c r="O1" s="27"/>
      <c r="P1" s="27"/>
      <c r="Q1" s="27"/>
      <c r="R1" s="13"/>
      <c r="S1" s="13"/>
      <c r="T1" s="13"/>
      <c r="U1" s="13"/>
      <c r="V1" s="13"/>
      <c r="W1" s="22"/>
      <c r="X1" s="13"/>
      <c r="Y1" s="22"/>
    </row>
    <row r="2" spans="1:29" s="14" customFormat="1" ht="33.75" customHeight="1" x14ac:dyDescent="0.2">
      <c r="A2" s="13"/>
      <c r="B2" s="13"/>
      <c r="C2" s="13"/>
      <c r="D2" s="13"/>
      <c r="E2" s="13"/>
      <c r="F2" s="13"/>
      <c r="G2" s="13"/>
      <c r="K2" s="30"/>
      <c r="L2" s="31"/>
      <c r="M2" s="29"/>
      <c r="N2" s="32" t="s">
        <v>161</v>
      </c>
      <c r="O2" s="27"/>
      <c r="P2" s="27"/>
      <c r="Q2" s="28" t="s">
        <v>160</v>
      </c>
      <c r="S2" s="20"/>
      <c r="T2" s="21"/>
      <c r="V2" s="13"/>
      <c r="X2" s="20" t="s">
        <v>151</v>
      </c>
      <c r="Y2" s="22"/>
    </row>
    <row r="3" spans="1:29" ht="15" customHeight="1" x14ac:dyDescent="0.25">
      <c r="A3" s="33" t="s">
        <v>144</v>
      </c>
      <c r="B3" s="34"/>
      <c r="C3" s="35"/>
      <c r="D3" s="35"/>
      <c r="E3" s="35"/>
      <c r="F3" s="35"/>
      <c r="G3" s="36"/>
      <c r="H3" s="35"/>
      <c r="I3" s="35"/>
      <c r="J3" s="35"/>
      <c r="K3" s="37"/>
      <c r="L3" s="37"/>
      <c r="M3" s="37"/>
      <c r="N3" s="37"/>
      <c r="O3" s="38"/>
      <c r="P3" s="38"/>
      <c r="Q3" s="38"/>
      <c r="R3" s="39"/>
      <c r="S3" s="39"/>
      <c r="T3" s="39"/>
      <c r="U3" s="35"/>
      <c r="V3" s="36"/>
      <c r="W3" s="39"/>
      <c r="X3" s="13"/>
      <c r="Y3" s="22"/>
    </row>
    <row r="4" spans="1:29" ht="21" customHeight="1" x14ac:dyDescent="0.25">
      <c r="A4" s="33" t="s">
        <v>145</v>
      </c>
      <c r="B4" s="34"/>
      <c r="C4" s="40"/>
      <c r="D4" s="40"/>
      <c r="E4" s="35"/>
      <c r="F4" s="35"/>
      <c r="G4" s="36"/>
      <c r="H4" s="35"/>
      <c r="I4" s="35"/>
      <c r="J4" s="35"/>
      <c r="K4" s="37"/>
      <c r="L4" s="37"/>
      <c r="M4" s="37"/>
      <c r="N4" s="37"/>
      <c r="O4" s="38"/>
      <c r="P4" s="38"/>
      <c r="Q4" s="38"/>
      <c r="R4" s="39"/>
      <c r="S4" s="39"/>
      <c r="T4" s="39"/>
      <c r="U4" s="35"/>
      <c r="V4" s="36"/>
      <c r="W4" s="39"/>
      <c r="X4" s="13"/>
      <c r="Y4" s="22"/>
    </row>
    <row r="5" spans="1:29" ht="21" customHeight="1" x14ac:dyDescent="0.25">
      <c r="A5" s="33" t="s">
        <v>146</v>
      </c>
      <c r="B5" s="34"/>
      <c r="C5" s="34"/>
      <c r="D5" s="34"/>
      <c r="E5" s="35"/>
      <c r="F5" s="35"/>
      <c r="G5" s="36"/>
      <c r="H5" s="35"/>
      <c r="I5" s="35"/>
      <c r="J5" s="35"/>
      <c r="K5" s="37"/>
      <c r="L5" s="37"/>
      <c r="M5" s="37"/>
      <c r="N5" s="37"/>
      <c r="O5" s="38"/>
      <c r="P5" s="38"/>
      <c r="Q5" s="38"/>
      <c r="R5" s="39"/>
      <c r="S5" s="39"/>
      <c r="T5" s="39"/>
      <c r="U5" s="35"/>
      <c r="V5" s="36"/>
      <c r="W5" s="39"/>
      <c r="X5" s="13"/>
      <c r="Y5" s="22"/>
    </row>
    <row r="6" spans="1:29" ht="21" customHeight="1" x14ac:dyDescent="0.25">
      <c r="A6" s="41"/>
      <c r="B6" s="34"/>
      <c r="C6" s="34"/>
      <c r="D6" s="34"/>
      <c r="E6" s="35"/>
      <c r="F6" s="35"/>
      <c r="G6" s="36"/>
      <c r="H6" s="35"/>
      <c r="I6" s="35"/>
      <c r="J6" s="35"/>
      <c r="K6" s="37"/>
      <c r="L6" s="37"/>
      <c r="M6" s="37"/>
      <c r="N6" s="37"/>
      <c r="O6" s="38"/>
      <c r="P6" s="38"/>
      <c r="Q6" s="38"/>
      <c r="R6" s="39"/>
      <c r="S6" s="39"/>
      <c r="T6" s="39"/>
      <c r="U6" s="35"/>
      <c r="V6" s="36"/>
      <c r="W6" s="39"/>
      <c r="X6" s="13"/>
      <c r="Y6" s="22"/>
    </row>
    <row r="7" spans="1:29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16"/>
      <c r="I7" s="35"/>
      <c r="J7" s="35"/>
      <c r="K7" s="37"/>
      <c r="L7" s="37"/>
      <c r="M7" s="37"/>
      <c r="N7" s="37"/>
      <c r="O7" s="38"/>
      <c r="P7" s="38"/>
      <c r="Q7" s="38"/>
      <c r="R7" s="43" t="s">
        <v>147</v>
      </c>
      <c r="S7" s="43"/>
      <c r="T7" s="43"/>
      <c r="U7" s="43"/>
      <c r="V7" s="43"/>
      <c r="W7" s="43" t="s">
        <v>148</v>
      </c>
      <c r="X7" s="43"/>
      <c r="Y7" s="43"/>
    </row>
    <row r="8" spans="1:29" ht="15" customHeight="1" x14ac:dyDescent="0.25">
      <c r="A8" s="44" t="s">
        <v>103</v>
      </c>
      <c r="B8" s="45"/>
      <c r="C8" s="45"/>
      <c r="D8" s="45"/>
      <c r="E8" s="46"/>
      <c r="F8" s="46"/>
      <c r="G8" s="36"/>
      <c r="H8" s="46"/>
      <c r="I8" s="35"/>
      <c r="J8" s="35"/>
      <c r="K8" s="37"/>
      <c r="L8" s="37"/>
      <c r="M8" s="37"/>
      <c r="N8" s="37"/>
      <c r="O8" s="38"/>
      <c r="P8" s="38"/>
      <c r="Q8" s="38"/>
      <c r="R8" s="105" t="s">
        <v>319</v>
      </c>
      <c r="S8" s="87"/>
      <c r="T8" s="106"/>
      <c r="U8" s="46"/>
      <c r="V8" s="107"/>
      <c r="W8" s="108">
        <v>46217</v>
      </c>
      <c r="X8" s="13"/>
      <c r="Y8" s="22"/>
    </row>
    <row r="9" spans="1:29" ht="15" customHeight="1" x14ac:dyDescent="0.25">
      <c r="A9" s="46"/>
      <c r="B9" s="45"/>
      <c r="C9" s="46"/>
      <c r="D9" s="46"/>
      <c r="E9" s="35"/>
      <c r="F9" s="46"/>
      <c r="G9" s="36"/>
      <c r="H9" s="46"/>
      <c r="I9" s="35"/>
      <c r="J9" s="35"/>
      <c r="K9" s="37"/>
      <c r="L9" s="37"/>
      <c r="M9" s="37"/>
      <c r="N9" s="37"/>
      <c r="O9" s="38"/>
      <c r="P9" s="38"/>
      <c r="Q9" s="38"/>
      <c r="R9" s="86"/>
      <c r="S9" s="320"/>
      <c r="T9" s="320"/>
      <c r="U9" s="46"/>
      <c r="V9" s="107"/>
      <c r="W9" s="33"/>
      <c r="X9" s="13"/>
      <c r="Y9" s="22"/>
    </row>
    <row r="10" spans="1:29" ht="15" customHeight="1" x14ac:dyDescent="0.25">
      <c r="A10" s="46"/>
      <c r="B10" s="45"/>
      <c r="C10" s="46"/>
      <c r="D10" s="46"/>
      <c r="E10" s="35"/>
      <c r="F10" s="46"/>
      <c r="G10" s="36"/>
      <c r="H10" s="46"/>
      <c r="I10" s="35"/>
      <c r="J10" s="35"/>
      <c r="K10" s="37"/>
      <c r="L10" s="37"/>
      <c r="M10" s="37"/>
      <c r="N10" s="37"/>
      <c r="O10" s="38"/>
      <c r="P10" s="38"/>
      <c r="Q10" s="38"/>
      <c r="R10" s="42" t="s">
        <v>149</v>
      </c>
      <c r="S10" s="43"/>
      <c r="T10" s="43"/>
      <c r="U10" s="43"/>
      <c r="V10" s="43"/>
      <c r="W10" s="43" t="s">
        <v>150</v>
      </c>
      <c r="X10" s="43"/>
      <c r="Y10" s="43"/>
    </row>
    <row r="11" spans="1:29" ht="15" customHeight="1" x14ac:dyDescent="0.25">
      <c r="A11" s="46"/>
      <c r="B11" s="34"/>
      <c r="C11" s="35"/>
      <c r="D11" s="35"/>
      <c r="E11" s="35"/>
      <c r="F11" s="46"/>
      <c r="G11" s="46"/>
      <c r="H11" s="46"/>
      <c r="I11" s="35"/>
      <c r="J11" s="35"/>
      <c r="K11" s="37"/>
      <c r="L11" s="37"/>
      <c r="M11" s="37"/>
      <c r="N11" s="37"/>
      <c r="O11" s="38"/>
      <c r="P11" s="38"/>
      <c r="Q11" s="38"/>
      <c r="R11" s="105" t="s">
        <v>309</v>
      </c>
      <c r="S11" s="86"/>
      <c r="T11" s="86"/>
      <c r="U11" s="46"/>
      <c r="V11" s="107"/>
      <c r="W11" s="86"/>
      <c r="X11" s="13"/>
      <c r="Y11" s="22"/>
    </row>
    <row r="12" spans="1:29" ht="15" customHeight="1" x14ac:dyDescent="0.25">
      <c r="A12" s="189" t="s">
        <v>231</v>
      </c>
      <c r="B12" s="34"/>
      <c r="C12" s="35"/>
      <c r="D12" s="35"/>
      <c r="E12" s="35"/>
      <c r="F12" s="46"/>
      <c r="G12" s="46"/>
      <c r="H12" s="46"/>
      <c r="I12" s="35"/>
      <c r="J12" s="35"/>
      <c r="K12" s="37"/>
      <c r="L12" s="37"/>
      <c r="M12" s="37"/>
      <c r="N12" s="37"/>
      <c r="O12" s="38"/>
      <c r="P12" s="38"/>
      <c r="Q12" s="38"/>
      <c r="R12" s="105" t="s">
        <v>264</v>
      </c>
      <c r="S12" s="48"/>
      <c r="T12" s="86"/>
      <c r="U12" s="46"/>
      <c r="V12" s="107"/>
      <c r="W12" s="86"/>
      <c r="X12" s="13"/>
      <c r="Y12" s="22"/>
    </row>
    <row r="13" spans="1:29" ht="15" customHeight="1" x14ac:dyDescent="0.25">
      <c r="A13" s="188" t="s">
        <v>246</v>
      </c>
      <c r="B13" s="34"/>
      <c r="C13" s="35"/>
      <c r="D13" s="35"/>
      <c r="E13" s="35"/>
      <c r="F13" s="46"/>
      <c r="G13" s="46"/>
      <c r="H13" s="46"/>
      <c r="I13" s="35"/>
      <c r="J13" s="35"/>
      <c r="K13" s="37"/>
      <c r="L13" s="37"/>
      <c r="M13" s="37"/>
      <c r="N13" s="37"/>
      <c r="O13" s="38"/>
      <c r="P13" s="38"/>
      <c r="Q13" s="38"/>
      <c r="R13" s="105" t="s">
        <v>318</v>
      </c>
      <c r="S13" s="35"/>
      <c r="T13" s="48"/>
      <c r="U13" s="48"/>
      <c r="V13" s="47"/>
      <c r="W13" s="49"/>
      <c r="X13" s="13"/>
      <c r="Y13" s="22"/>
    </row>
    <row r="14" spans="1:29" ht="15" customHeight="1" x14ac:dyDescent="0.25">
      <c r="A14" s="46"/>
      <c r="B14" s="34"/>
      <c r="C14" s="35"/>
      <c r="D14" s="35"/>
      <c r="E14" s="35"/>
      <c r="F14" s="46"/>
      <c r="G14" s="46"/>
      <c r="H14" s="46"/>
      <c r="I14" s="35"/>
      <c r="J14" s="35"/>
      <c r="K14" s="37"/>
      <c r="L14" s="37"/>
      <c r="M14" s="37"/>
      <c r="N14" s="37"/>
      <c r="O14" s="38"/>
      <c r="P14" s="38"/>
      <c r="Q14" s="38"/>
      <c r="R14" s="48"/>
      <c r="S14" s="48"/>
      <c r="T14" s="48"/>
      <c r="U14" s="48"/>
      <c r="V14" s="47"/>
      <c r="W14" s="49"/>
      <c r="X14" s="13"/>
      <c r="Y14" s="22"/>
    </row>
    <row r="15" spans="1:29" ht="15" hidden="1" customHeight="1" x14ac:dyDescent="0.25">
      <c r="A15" s="35"/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50"/>
      <c r="M15" s="50" t="s">
        <v>137</v>
      </c>
      <c r="N15" s="50"/>
      <c r="O15" s="51"/>
      <c r="P15" s="51" t="s">
        <v>138</v>
      </c>
      <c r="Q15" s="51"/>
      <c r="R15" s="52"/>
      <c r="S15" s="52" t="s">
        <v>134</v>
      </c>
      <c r="T15" s="52"/>
      <c r="U15" s="35"/>
      <c r="V15" s="35"/>
      <c r="W15" s="89"/>
      <c r="X15" s="16" t="s">
        <v>142</v>
      </c>
    </row>
    <row r="16" spans="1:29" s="17" customFormat="1" ht="41.25" customHeight="1" x14ac:dyDescent="0.2">
      <c r="A16" s="53" t="s">
        <v>158</v>
      </c>
      <c r="B16" s="53" t="s">
        <v>0</v>
      </c>
      <c r="C16" s="53" t="s">
        <v>1</v>
      </c>
      <c r="D16" s="54" t="s">
        <v>217</v>
      </c>
      <c r="E16" s="54" t="s">
        <v>135</v>
      </c>
      <c r="F16" s="54" t="s">
        <v>157</v>
      </c>
      <c r="G16" s="54" t="s">
        <v>3</v>
      </c>
      <c r="H16" s="54" t="s">
        <v>152</v>
      </c>
      <c r="I16" s="54" t="s">
        <v>105</v>
      </c>
      <c r="J16" s="54" t="s">
        <v>5</v>
      </c>
      <c r="K16" s="55" t="s">
        <v>64</v>
      </c>
      <c r="L16" s="55" t="s">
        <v>136</v>
      </c>
      <c r="M16" s="55" t="s">
        <v>24</v>
      </c>
      <c r="N16" s="55" t="s">
        <v>108</v>
      </c>
      <c r="O16" s="56" t="s">
        <v>136</v>
      </c>
      <c r="P16" s="56" t="s">
        <v>24</v>
      </c>
      <c r="Q16" s="56" t="s">
        <v>108</v>
      </c>
      <c r="R16" s="54" t="s">
        <v>136</v>
      </c>
      <c r="S16" s="54" t="s">
        <v>24</v>
      </c>
      <c r="T16" s="54" t="s">
        <v>108</v>
      </c>
      <c r="U16" s="131" t="s">
        <v>159</v>
      </c>
      <c r="V16" s="91" t="s">
        <v>6</v>
      </c>
      <c r="W16" s="92" t="s">
        <v>7</v>
      </c>
      <c r="X16" s="53" t="s">
        <v>214</v>
      </c>
      <c r="Y16" s="53" t="s">
        <v>141</v>
      </c>
      <c r="AC16" s="16"/>
    </row>
    <row r="17" spans="1:25" s="17" customFormat="1" ht="36" customHeight="1" x14ac:dyDescent="0.2">
      <c r="A17" s="57">
        <v>1</v>
      </c>
      <c r="B17" s="57" t="str" cm="1">
        <f t="array" ref="B17">_xlfn.LET(_xlpm.r,_xlfn.XLOOKUP(1,
(TRIM(CODE_PRICE!$A$4:$A$2003)=TRIM($C$4))*
(TRIM(CODE_PRICE!$B$4:$B$2003)=TRIM(C17)),
CODE_PRICE!$C$4:$C$2003,
""),
IF(OR(_xlpm.r="",_xlpm.r=0),"",_xlpm.r))</f>
        <v/>
      </c>
      <c r="C17" s="57" t="s">
        <v>99</v>
      </c>
      <c r="D17" s="57" t="str" cm="1">
        <f t="array" ref="D17">IFERROR(
_xlfn.XLOOKUP(1,
(CODE_PRICE!$A$3:$A$1003=$A$8)*
(CODE_PRICE!$B$3:$B$1003=C17),
CODE_PRICE!$C$3:$C$1003
),
"")</f>
        <v>FM1515</v>
      </c>
      <c r="E17" s="57" t="s">
        <v>309</v>
      </c>
      <c r="F17" s="58" t="s">
        <v>11</v>
      </c>
      <c r="G17" s="59" t="s">
        <v>123</v>
      </c>
      <c r="H17" s="60" t="str">
        <f>IF(COUNTIFS($C$17:C17,C17,$I$17:I17,I17)=1,
SUMIFS($J$17:$J$49,$C$17:$C$49,C17,$I$17:$I$49,I17)&amp;I17&amp;" "&amp;C17,
"")</f>
        <v>2S CFN17138W</v>
      </c>
      <c r="I17" s="58" t="s">
        <v>22</v>
      </c>
      <c r="J17" s="61">
        <v>1</v>
      </c>
      <c r="K17" s="62"/>
      <c r="L17" s="63">
        <v>108</v>
      </c>
      <c r="M17" s="257">
        <v>81</v>
      </c>
      <c r="N17" s="64">
        <v>36</v>
      </c>
      <c r="O17" s="65"/>
      <c r="P17" s="65" t="str" cm="1">
        <f t="array" ref="P17">IF(F17="trim",IFERROR(INDEX('SIZE GUIDE'!$E:$E,MATCH(1,('SIZE GUIDE'!$A:$A=$F17)*('SIZE GUIDE'!$B:$B=$G17)*('SIZE GUIDE'!$C:$C=$I17),0)),""),"")</f>
        <v/>
      </c>
      <c r="Q17" s="65"/>
      <c r="R17" s="59">
        <v>107</v>
      </c>
      <c r="S17" s="59">
        <f t="shared" ref="S17:S26" si="0">M17</f>
        <v>81</v>
      </c>
      <c r="T17" s="258">
        <f t="shared" ref="T17:T26" si="1">IF(F17="untrim",N17-0.5,Q17-0.5)</f>
        <v>35.5</v>
      </c>
      <c r="U17" s="93">
        <f t="shared" ref="U17:U26" si="2">IFERROR(R17*S17*T17/144*J17,"")</f>
        <v>2136.65625</v>
      </c>
      <c r="V17" s="99">
        <f>SUMIFS(CODE_PRICE!F:F,CODE_PRICE!B:B,'DICKSON-W29_01'!C17,CODE_PRICE!A:A,'DICKSON-W29_01'!$A$8)</f>
        <v>0.28249999999999997</v>
      </c>
      <c r="W17" s="95">
        <f>U17*V17</f>
        <v>603.60539062499993</v>
      </c>
      <c r="X17" s="244" t="str">
        <f>IF(OR(E17="",C17=""),"",IF(COUNTIFS($E$17:E17,E17,$C$17:C17,C17)=1,E17&amp;" - "&amp;C17&amp;" - "&amp;SUMIFS($J$17:$J$5002,$E$17:$E$5002,E17,$C$17:$C$5002,C17)&amp;I17&amp;" - "&amp;TEXT(SUMIFS($U$17:$U$5002,$E$17:$E$5002,E17,$C$17:$C$5002,C17),"0.00")&amp;" Bf",""))</f>
        <v>11-73002 - CFN17138W - 2S - 4183.03 Bf</v>
      </c>
      <c r="Y17" s="103">
        <f>IF(COUNTIF($C$17:C17,C17)=1,ROUND(SUMIF($C:$C,C17,$W:$W),2), "")</f>
        <v>1181.71</v>
      </c>
    </row>
    <row r="18" spans="1:25" s="17" customFormat="1" ht="36" customHeight="1" x14ac:dyDescent="0.2">
      <c r="A18" s="57">
        <f>A17+1</f>
        <v>2</v>
      </c>
      <c r="B18" s="57" t="str" cm="1">
        <f t="array" ref="B18">_xlfn.LET(_xlpm.r,_xlfn.XLOOKUP(1,
(TRIM(CODE_PRICE!$A$4:$A$2003)=TRIM($C$4))*
(TRIM(CODE_PRICE!$B$4:$B$2003)=TRIM(C18)),
CODE_PRICE!$C$4:$C$2003,
""),
IF(OR(_xlpm.r="",_xlpm.r=0),"",_xlpm.r))</f>
        <v/>
      </c>
      <c r="C18" s="57" t="s">
        <v>99</v>
      </c>
      <c r="D18" s="57" t="str" cm="1">
        <f t="array" ref="D18">IFERROR(
_xlfn.XLOOKUP(1,
(CODE_PRICE!$A$3:$A$1003=$A$8)*
(CODE_PRICE!$B$3:$B$1003=C18),
CODE_PRICE!$C$3:$C$1003
),
"")</f>
        <v>FM1515</v>
      </c>
      <c r="E18" s="57" t="s">
        <v>309</v>
      </c>
      <c r="F18" s="58" t="s">
        <v>11</v>
      </c>
      <c r="G18" s="59" t="s">
        <v>123</v>
      </c>
      <c r="H18" s="60" t="str">
        <f>IF(COUNTIFS($C$17:C18,C18,$I$17:I18,I18)=1,
SUMIFS($J$17:$J$49,$C$17:$C$49,C18,$I$17:$I$49,I18)&amp;I18&amp;" "&amp;C18,
"")</f>
        <v/>
      </c>
      <c r="I18" s="58" t="s">
        <v>22</v>
      </c>
      <c r="J18" s="61">
        <v>1</v>
      </c>
      <c r="K18" s="62"/>
      <c r="L18" s="63">
        <v>108</v>
      </c>
      <c r="M18" s="257">
        <v>81</v>
      </c>
      <c r="N18" s="64">
        <v>34.5</v>
      </c>
      <c r="O18" s="65"/>
      <c r="P18" s="65" t="str" cm="1">
        <f t="array" ref="P18">IF(F18="trim",IFERROR(INDEX('SIZE GUIDE'!$E:$E,MATCH(1,('SIZE GUIDE'!$A:$A=$F18)*('SIZE GUIDE'!$B:$B=$G18)*('SIZE GUIDE'!$C:$C=$I18),0)),""),"")</f>
        <v/>
      </c>
      <c r="Q18" s="65"/>
      <c r="R18" s="59">
        <v>107</v>
      </c>
      <c r="S18" s="59">
        <f t="shared" si="0"/>
        <v>81</v>
      </c>
      <c r="T18" s="258">
        <f t="shared" si="1"/>
        <v>34</v>
      </c>
      <c r="U18" s="93">
        <f t="shared" si="2"/>
        <v>2046.375</v>
      </c>
      <c r="V18" s="99">
        <f>SUMIFS(CODE_PRICE!F:F,CODE_PRICE!B:B,'DICKSON-W29_01'!C18,CODE_PRICE!A:A,'DICKSON-W29_01'!$A$8)</f>
        <v>0.28249999999999997</v>
      </c>
      <c r="W18" s="95">
        <f t="shared" ref="W18:W26" si="3">U18*V18</f>
        <v>578.10093749999999</v>
      </c>
      <c r="X18" s="244" t="str">
        <f>IF(OR(E18="",C18=""),"",IF(COUNTIFS($E$17:E18,E18,$C$17:C18,C18)=1,E18&amp;" - "&amp;C18&amp;" - "&amp;SUMIFS($J$17:$J$5002,$E$17:$E$5002,E18,$C$17:$C$5002,C18)&amp;I18&amp;" - "&amp;TEXT(SUMIFS($U$17:$U$5002,$E$17:$E$5002,E18,$C$17:$C$5002,C18),"0.00")&amp;" Bf",""))</f>
        <v/>
      </c>
      <c r="Y18" s="24" t="str">
        <f>IF(COUNTIF($C$17:C18,C18)=1,ROUND(SUMIF($C:$C,C18,$W:$W),2), "")</f>
        <v/>
      </c>
    </row>
    <row r="19" spans="1:25" s="17" customFormat="1" ht="36" customHeight="1" x14ac:dyDescent="0.2">
      <c r="A19" s="57">
        <f t="shared" ref="A19:A26" si="4">A18+1</f>
        <v>3</v>
      </c>
      <c r="B19" s="57" t="str" cm="1">
        <f t="array" ref="B19">_xlfn.LET(_xlpm.r,_xlfn.XLOOKUP(1,
(TRIM(CODE_PRICE!$A$4:$A$2003)=TRIM($C$4))*
(TRIM(CODE_PRICE!$B$4:$B$2003)=TRIM(C19)),
CODE_PRICE!$C$4:$C$2003,
""),
IF(OR(_xlpm.r="",_xlpm.r=0),"",_xlpm.r))</f>
        <v/>
      </c>
      <c r="C19" s="57" t="s">
        <v>97</v>
      </c>
      <c r="D19" s="57" t="str" cm="1">
        <f t="array" ref="D19">IFERROR(
_xlfn.XLOOKUP(1,
(CODE_PRICE!$A$3:$A$1003=$A$8)*
(CODE_PRICE!$B$3:$B$1003=C19),
CODE_PRICE!$C$3:$C$1003
),
"")</f>
        <v>FM1836</v>
      </c>
      <c r="E19" s="57" t="s">
        <v>264</v>
      </c>
      <c r="F19" s="58" t="s">
        <v>11</v>
      </c>
      <c r="G19" s="59" t="s">
        <v>123</v>
      </c>
      <c r="H19" s="60" t="str">
        <f>IF(COUNTIFS($C$17:C19,C19,$I$17:I19,I19)=1,
SUMIFS($J$17:$J$49,$C$17:$C$49,C19,$I$17:$I$49,I19)&amp;I19&amp;" "&amp;C19,
"")</f>
        <v>8S CFN39180W</v>
      </c>
      <c r="I19" s="58" t="s">
        <v>22</v>
      </c>
      <c r="J19" s="61">
        <v>1</v>
      </c>
      <c r="K19" s="62"/>
      <c r="L19" s="63">
        <v>108</v>
      </c>
      <c r="M19" s="257">
        <v>81</v>
      </c>
      <c r="N19" s="64">
        <v>37.5</v>
      </c>
      <c r="O19" s="65"/>
      <c r="P19" s="65" t="str" cm="1">
        <f t="array" ref="P19">IF(F19="trim",IFERROR(INDEX('SIZE GUIDE'!$E:$E,MATCH(1,('SIZE GUIDE'!$A:$A=$F19)*('SIZE GUIDE'!$B:$B=$G19)*('SIZE GUIDE'!$C:$C=$I19),0)),""),"")</f>
        <v/>
      </c>
      <c r="Q19" s="65"/>
      <c r="R19" s="59">
        <v>107</v>
      </c>
      <c r="S19" s="59">
        <f t="shared" si="0"/>
        <v>81</v>
      </c>
      <c r="T19" s="258">
        <f t="shared" si="1"/>
        <v>37</v>
      </c>
      <c r="U19" s="93">
        <f t="shared" si="2"/>
        <v>2226.9375</v>
      </c>
      <c r="V19" s="99">
        <f>SUMIFS(CODE_PRICE!F:F,CODE_PRICE!B:B,'DICKSON-W29_01'!C19,CODE_PRICE!A:A,'DICKSON-W29_01'!$A$8)</f>
        <v>0.32900000000000001</v>
      </c>
      <c r="W19" s="95">
        <f t="shared" si="3"/>
        <v>732.66243750000001</v>
      </c>
      <c r="X19" s="244" t="str">
        <f>IF(OR(E19="",C19=""),"",IF(COUNTIFS($E$17:E19,E19,$C$17:C19,C19)=1,E19&amp;" - "&amp;C19&amp;" - "&amp;SUMIFS($J$17:$J$5002,$E$17:$E$5002,E19,$C$17:$C$5002,C19)&amp;I19&amp;" - "&amp;TEXT(SUMIFS($U$17:$U$5002,$E$17:$E$5002,E19,$C$17:$C$5002,C19),"0.00")&amp;" Bf",""))</f>
        <v>11-73000 - CFN39180W - 2S - 4423.78 Bf</v>
      </c>
      <c r="Y19" s="24">
        <f>IF(COUNTIF($C$17:C19,C19)=1,ROUND(SUMIF($C:$C,C19,$W:$W),2), "")</f>
        <v>5910.8</v>
      </c>
    </row>
    <row r="20" spans="1:25" s="17" customFormat="1" ht="36" customHeight="1" x14ac:dyDescent="0.2">
      <c r="A20" s="57">
        <f t="shared" si="4"/>
        <v>4</v>
      </c>
      <c r="B20" s="57" t="str" cm="1">
        <f t="array" ref="B20">_xlfn.LET(_xlpm.r,_xlfn.XLOOKUP(1,
(TRIM(CODE_PRICE!$A$4:$A$2003)=TRIM($C$4))*
(TRIM(CODE_PRICE!$B$4:$B$2003)=TRIM(C20)),
CODE_PRICE!$C$4:$C$2003,
""),
IF(OR(_xlpm.r="",_xlpm.r=0),"",_xlpm.r))</f>
        <v/>
      </c>
      <c r="C20" s="57" t="s">
        <v>97</v>
      </c>
      <c r="D20" s="57" t="str" cm="1">
        <f t="array" ref="D20">IFERROR(
_xlfn.XLOOKUP(1,
(CODE_PRICE!$A$3:$A$1003=$A$8)*
(CODE_PRICE!$B$3:$B$1003=C20),
CODE_PRICE!$C$3:$C$1003
),
"")</f>
        <v>FM1836</v>
      </c>
      <c r="E20" s="57" t="s">
        <v>264</v>
      </c>
      <c r="F20" s="58" t="s">
        <v>11</v>
      </c>
      <c r="G20" s="59" t="s">
        <v>123</v>
      </c>
      <c r="H20" s="60" t="str">
        <f>IF(COUNTIFS($C$17:C20,C20,$I$17:I20,I20)=1,
SUMIFS($J$17:$J$49,$C$17:$C$49,C20,$I$17:$I$49,I20)&amp;I20&amp;" "&amp;C20,
"")</f>
        <v/>
      </c>
      <c r="I20" s="58" t="s">
        <v>22</v>
      </c>
      <c r="J20" s="61">
        <v>1</v>
      </c>
      <c r="K20" s="62"/>
      <c r="L20" s="63">
        <v>108</v>
      </c>
      <c r="M20" s="257">
        <v>81</v>
      </c>
      <c r="N20" s="64">
        <v>37</v>
      </c>
      <c r="O20" s="65"/>
      <c r="P20" s="65" t="str" cm="1">
        <f t="array" ref="P20">IF(F20="trim",IFERROR(INDEX('SIZE GUIDE'!$E:$E,MATCH(1,('SIZE GUIDE'!$A:$A=$F20)*('SIZE GUIDE'!$B:$B=$G20)*('SIZE GUIDE'!$C:$C=$I20),0)),""),"")</f>
        <v/>
      </c>
      <c r="Q20" s="65"/>
      <c r="R20" s="59">
        <v>107</v>
      </c>
      <c r="S20" s="59">
        <f t="shared" si="0"/>
        <v>81</v>
      </c>
      <c r="T20" s="258">
        <f t="shared" si="1"/>
        <v>36.5</v>
      </c>
      <c r="U20" s="154">
        <f t="shared" si="2"/>
        <v>2196.84375</v>
      </c>
      <c r="V20" s="99">
        <f>SUMIFS(CODE_PRICE!F:F,CODE_PRICE!B:B,'DICKSON-W29_01'!C20,CODE_PRICE!A:A,'DICKSON-W29_01'!$A$8)</f>
        <v>0.32900000000000001</v>
      </c>
      <c r="W20" s="155">
        <f t="shared" si="3"/>
        <v>722.76159375000009</v>
      </c>
      <c r="X20" s="244" t="str">
        <f>IF(OR(E20="",C20=""),"",IF(COUNTIFS($E$17:E20,E20,$C$17:C20,C20)=1,E20&amp;" - "&amp;C20&amp;" - "&amp;SUMIFS($J$17:$J$5002,$E$17:$E$5002,E20,$C$17:$C$5002,C20)&amp;I20&amp;" - "&amp;TEXT(SUMIFS($U$17:$U$5002,$E$17:$E$5002,E20,$C$17:$C$5002,C20),"0.00")&amp;" Bf",""))</f>
        <v/>
      </c>
      <c r="Y20" s="157" t="str">
        <f>IF(COUNTIF($C$17:C20,C20)=1,ROUND(SUMIF($C:$C,C20,$W:$W),2), "")</f>
        <v/>
      </c>
    </row>
    <row r="21" spans="1:25" s="17" customFormat="1" ht="36" customHeight="1" x14ac:dyDescent="0.2">
      <c r="A21" s="57">
        <f t="shared" si="4"/>
        <v>5</v>
      </c>
      <c r="B21" s="57" t="str" cm="1">
        <f t="array" ref="B21">_xlfn.LET(_xlpm.r,_xlfn.XLOOKUP(1,
(TRIM(CODE_PRICE!$A$4:$A$2003)=TRIM($C$4))*
(TRIM(CODE_PRICE!$B$4:$B$2003)=TRIM(C21)),
CODE_PRICE!$C$4:$C$2003,
""),
IF(OR(_xlpm.r="",_xlpm.r=0),"",_xlpm.r))</f>
        <v/>
      </c>
      <c r="C21" s="57" t="s">
        <v>97</v>
      </c>
      <c r="D21" s="57" t="str" cm="1">
        <f t="array" ref="D21">IFERROR(
_xlfn.XLOOKUP(1,
(CODE_PRICE!$A$3:$A$1003=$A$8)*
(CODE_PRICE!$B$3:$B$1003=C21),
CODE_PRICE!$C$3:$C$1003
),
"")</f>
        <v>FM1836</v>
      </c>
      <c r="E21" s="57" t="s">
        <v>318</v>
      </c>
      <c r="F21" s="58" t="s">
        <v>11</v>
      </c>
      <c r="G21" s="59" t="s">
        <v>123</v>
      </c>
      <c r="H21" s="60" t="str">
        <f>IF(COUNTIFS($C$17:C21,C21,$I$17:I21,I21)=1,
SUMIFS($J$17:$J$49,$C$17:$C$49,C21,$I$17:$I$49,I21)&amp;I21&amp;" "&amp;C21,
"")</f>
        <v/>
      </c>
      <c r="I21" s="58" t="s">
        <v>22</v>
      </c>
      <c r="J21" s="61">
        <v>1</v>
      </c>
      <c r="K21" s="62"/>
      <c r="L21" s="63">
        <v>108</v>
      </c>
      <c r="M21" s="257">
        <v>81</v>
      </c>
      <c r="N21" s="64">
        <v>43</v>
      </c>
      <c r="O21" s="65"/>
      <c r="P21" s="65" t="str" cm="1">
        <f t="array" ref="P21">IF(F21="trim",IFERROR(INDEX('SIZE GUIDE'!$E:$E,MATCH(1,('SIZE GUIDE'!$A:$A=$F21)*('SIZE GUIDE'!$B:$B=$G21)*('SIZE GUIDE'!$C:$C=$I21),0)),""),"")</f>
        <v/>
      </c>
      <c r="Q21" s="65"/>
      <c r="R21" s="59">
        <v>107</v>
      </c>
      <c r="S21" s="59">
        <f t="shared" si="0"/>
        <v>81</v>
      </c>
      <c r="T21" s="258">
        <f t="shared" si="1"/>
        <v>42.5</v>
      </c>
      <c r="U21" s="154">
        <f t="shared" si="2"/>
        <v>2557.96875</v>
      </c>
      <c r="V21" s="99">
        <f>SUMIFS(CODE_PRICE!F:F,CODE_PRICE!B:B,'DICKSON-W29_01'!C21,CODE_PRICE!A:A,'DICKSON-W29_01'!$A$8)</f>
        <v>0.32900000000000001</v>
      </c>
      <c r="W21" s="155">
        <f t="shared" si="3"/>
        <v>841.57171875000006</v>
      </c>
      <c r="X21" s="244" t="str">
        <f>IF(OR(E21="",C21=""),"",IF(COUNTIFS($E$17:E21,E21,$C$17:C21,C21)=1,E21&amp;" - "&amp;C21&amp;" - "&amp;SUMIFS($J$17:$J$5002,$E$17:$E$5002,E21,$C$17:$C$5002,C21)&amp;I21&amp;" - "&amp;TEXT(SUMIFS($U$17:$U$5002,$E$17:$E$5002,E21,$C$17:$C$5002,C21),"0.00")&amp;" Bf",""))</f>
        <v>11-71387 - CFN39180W - 6S - 13542.19 Bf</v>
      </c>
      <c r="Y21" s="157" t="str">
        <f>IF(COUNTIF($C$17:C21,C21)=1,ROUND(SUMIF($C:$C,C21,$W:$W),2), "")</f>
        <v/>
      </c>
    </row>
    <row r="22" spans="1:25" s="17" customFormat="1" ht="36" customHeight="1" x14ac:dyDescent="0.2">
      <c r="A22" s="57">
        <f t="shared" si="4"/>
        <v>6</v>
      </c>
      <c r="B22" s="57" t="str" cm="1">
        <f t="array" ref="B22">_xlfn.LET(_xlpm.r,_xlfn.XLOOKUP(1,
(TRIM(CODE_PRICE!$A$4:$A$2003)=TRIM($C$4))*
(TRIM(CODE_PRICE!$B$4:$B$2003)=TRIM(C22)),
CODE_PRICE!$C$4:$C$2003,
""),
IF(OR(_xlpm.r="",_xlpm.r=0),"",_xlpm.r))</f>
        <v/>
      </c>
      <c r="C22" s="57" t="s">
        <v>97</v>
      </c>
      <c r="D22" s="57" t="str" cm="1">
        <f t="array" ref="D22">IFERROR(
_xlfn.XLOOKUP(1,
(CODE_PRICE!$A$3:$A$1003=$A$8)*
(CODE_PRICE!$B$3:$B$1003=C22),
CODE_PRICE!$C$3:$C$1003
),
"")</f>
        <v>FM1836</v>
      </c>
      <c r="E22" s="57" t="s">
        <v>318</v>
      </c>
      <c r="F22" s="58" t="s">
        <v>11</v>
      </c>
      <c r="G22" s="59" t="s">
        <v>123</v>
      </c>
      <c r="H22" s="60" t="str">
        <f>IF(COUNTIFS($C$17:C22,C22,$I$17:I22,I22)=1,
SUMIFS($J$17:$J$49,$C$17:$C$49,C22,$I$17:$I$49,I22)&amp;I22&amp;" "&amp;C22,
"")</f>
        <v/>
      </c>
      <c r="I22" s="58" t="s">
        <v>22</v>
      </c>
      <c r="J22" s="61">
        <v>1</v>
      </c>
      <c r="K22" s="62"/>
      <c r="L22" s="63">
        <v>108</v>
      </c>
      <c r="M22" s="257">
        <v>81</v>
      </c>
      <c r="N22" s="64">
        <v>42</v>
      </c>
      <c r="O22" s="65"/>
      <c r="P22" s="65" t="str" cm="1">
        <f t="array" ref="P22">IF(F22="trim",IFERROR(INDEX('SIZE GUIDE'!$E:$E,MATCH(1,('SIZE GUIDE'!$A:$A=$F22)*('SIZE GUIDE'!$B:$B=$G22)*('SIZE GUIDE'!$C:$C=$I22),0)),""),"")</f>
        <v/>
      </c>
      <c r="Q22" s="65"/>
      <c r="R22" s="59">
        <v>107</v>
      </c>
      <c r="S22" s="59">
        <f t="shared" si="0"/>
        <v>81</v>
      </c>
      <c r="T22" s="258">
        <f t="shared" si="1"/>
        <v>41.5</v>
      </c>
      <c r="U22" s="154">
        <f t="shared" si="2"/>
        <v>2497.78125</v>
      </c>
      <c r="V22" s="99">
        <f>SUMIFS(CODE_PRICE!F:F,CODE_PRICE!B:B,'DICKSON-W29_01'!C22,CODE_PRICE!A:A,'DICKSON-W29_01'!$A$8)</f>
        <v>0.32900000000000001</v>
      </c>
      <c r="W22" s="155">
        <f t="shared" si="3"/>
        <v>821.77003124999999</v>
      </c>
      <c r="X22" s="244" t="str">
        <f>IF(OR(E22="",C22=""),"",IF(COUNTIFS($E$17:E22,E22,$C$17:C22,C22)=1,E22&amp;" - "&amp;C22&amp;" - "&amp;SUMIFS($J$17:$J$5002,$E$17:$E$5002,E22,$C$17:$C$5002,C22)&amp;I22&amp;" - "&amp;TEXT(SUMIFS($U$17:$U$5002,$E$17:$E$5002,E22,$C$17:$C$5002,C22),"0.00")&amp;" Bf",""))</f>
        <v/>
      </c>
      <c r="Y22" s="157" t="str">
        <f>IF(COUNTIF($C$17:C22,C22)=1,ROUND(SUMIF($C:$C,C22,$W:$W),2), "")</f>
        <v/>
      </c>
    </row>
    <row r="23" spans="1:25" s="17" customFormat="1" ht="36" customHeight="1" x14ac:dyDescent="0.2">
      <c r="A23" s="57">
        <f t="shared" si="4"/>
        <v>7</v>
      </c>
      <c r="B23" s="57" t="str" cm="1">
        <f t="array" ref="B23">_xlfn.LET(_xlpm.r,_xlfn.XLOOKUP(1,
(TRIM(CODE_PRICE!$A$4:$A$2003)=TRIM($C$4))*
(TRIM(CODE_PRICE!$B$4:$B$2003)=TRIM(C23)),
CODE_PRICE!$C$4:$C$2003,
""),
IF(OR(_xlpm.r="",_xlpm.r=0),"",_xlpm.r))</f>
        <v/>
      </c>
      <c r="C23" s="57" t="s">
        <v>97</v>
      </c>
      <c r="D23" s="57" t="str" cm="1">
        <f t="array" ref="D23">IFERROR(
_xlfn.XLOOKUP(1,
(CODE_PRICE!$A$3:$A$1003=$A$8)*
(CODE_PRICE!$B$3:$B$1003=C23),
CODE_PRICE!$C$3:$C$1003
),
"")</f>
        <v>FM1836</v>
      </c>
      <c r="E23" s="57" t="s">
        <v>318</v>
      </c>
      <c r="F23" s="58" t="s">
        <v>11</v>
      </c>
      <c r="G23" s="59" t="s">
        <v>123</v>
      </c>
      <c r="H23" s="60" t="str">
        <f>IF(COUNTIFS($C$17:C23,C23,$I$17:I23,I23)=1,
SUMIFS($J$17:$J$49,$C$17:$C$49,C23,$I$17:$I$49,I23)&amp;I23&amp;" "&amp;C23,
"")</f>
        <v/>
      </c>
      <c r="I23" s="58" t="s">
        <v>22</v>
      </c>
      <c r="J23" s="61">
        <v>1</v>
      </c>
      <c r="K23" s="62"/>
      <c r="L23" s="63">
        <v>108</v>
      </c>
      <c r="M23" s="257">
        <v>81</v>
      </c>
      <c r="N23" s="64">
        <v>42.5</v>
      </c>
      <c r="O23" s="65"/>
      <c r="P23" s="65" t="str" cm="1">
        <f t="array" ref="P23">IF(F23="trim",IFERROR(INDEX('SIZE GUIDE'!$E:$E,MATCH(1,('SIZE GUIDE'!$A:$A=$F23)*('SIZE GUIDE'!$B:$B=$G23)*('SIZE GUIDE'!$C:$C=$I23),0)),""),"")</f>
        <v/>
      </c>
      <c r="Q23" s="65"/>
      <c r="R23" s="59">
        <v>107</v>
      </c>
      <c r="S23" s="59">
        <f t="shared" si="0"/>
        <v>81</v>
      </c>
      <c r="T23" s="258">
        <f t="shared" si="1"/>
        <v>42</v>
      </c>
      <c r="U23" s="154">
        <f t="shared" si="2"/>
        <v>2527.875</v>
      </c>
      <c r="V23" s="99">
        <f>SUMIFS(CODE_PRICE!F:F,CODE_PRICE!B:B,'DICKSON-W29_01'!C23,CODE_PRICE!A:A,'DICKSON-W29_01'!$A$8)</f>
        <v>0.32900000000000001</v>
      </c>
      <c r="W23" s="155">
        <f t="shared" si="3"/>
        <v>831.67087500000002</v>
      </c>
      <c r="X23" s="244" t="str">
        <f>IF(OR(E23="",C23=""),"",IF(COUNTIFS($E$17:E23,E23,$C$17:C23,C23)=1,E23&amp;" - "&amp;C23&amp;" - "&amp;SUMIFS($J$17:$J$5002,$E$17:$E$5002,E23,$C$17:$C$5002,C23)&amp;I23&amp;" - "&amp;TEXT(SUMIFS($U$17:$U$5002,$E$17:$E$5002,E23,$C$17:$C$5002,C23),"0.00")&amp;" Bf",""))</f>
        <v/>
      </c>
      <c r="Y23" s="157" t="str">
        <f>IF(COUNTIF($C$17:C23,C23)=1,ROUND(SUMIF($C:$C,C23,$W:$W),2), "")</f>
        <v/>
      </c>
    </row>
    <row r="24" spans="1:25" s="17" customFormat="1" ht="36" customHeight="1" x14ac:dyDescent="0.2">
      <c r="A24" s="57">
        <f t="shared" si="4"/>
        <v>8</v>
      </c>
      <c r="B24" s="57" t="str" cm="1">
        <f t="array" ref="B24">_xlfn.LET(_xlpm.r,_xlfn.XLOOKUP(1,
(TRIM(CODE_PRICE!$A$4:$A$2003)=TRIM($C$4))*
(TRIM(CODE_PRICE!$B$4:$B$2003)=TRIM(C24)),
CODE_PRICE!$C$4:$C$2003,
""),
IF(OR(_xlpm.r="",_xlpm.r=0),"",_xlpm.r))</f>
        <v/>
      </c>
      <c r="C24" s="57" t="s">
        <v>97</v>
      </c>
      <c r="D24" s="57" t="str" cm="1">
        <f t="array" ref="D24">IFERROR(
_xlfn.XLOOKUP(1,
(CODE_PRICE!$A$3:$A$1003=$A$8)*
(CODE_PRICE!$B$3:$B$1003=C24),
CODE_PRICE!$C$3:$C$1003
),
"")</f>
        <v>FM1836</v>
      </c>
      <c r="E24" s="57" t="s">
        <v>318</v>
      </c>
      <c r="F24" s="58" t="s">
        <v>11</v>
      </c>
      <c r="G24" s="59" t="s">
        <v>123</v>
      </c>
      <c r="H24" s="60" t="str">
        <f>IF(COUNTIFS($C$17:C24,C24,$I$17:I24,I24)=1,
SUMIFS($J$17:$J$49,$C$17:$C$49,C24,$I$17:$I$49,I24)&amp;I24&amp;" "&amp;C24,
"")</f>
        <v/>
      </c>
      <c r="I24" s="58" t="s">
        <v>22</v>
      </c>
      <c r="J24" s="61">
        <v>1</v>
      </c>
      <c r="K24" s="62"/>
      <c r="L24" s="63">
        <v>108</v>
      </c>
      <c r="M24" s="257">
        <v>81</v>
      </c>
      <c r="N24" s="64">
        <v>35.5</v>
      </c>
      <c r="O24" s="65"/>
      <c r="P24" s="65" t="str" cm="1">
        <f t="array" ref="P24">IF(F24="trim",IFERROR(INDEX('SIZE GUIDE'!$E:$E,MATCH(1,('SIZE GUIDE'!$A:$A=$F24)*('SIZE GUIDE'!$B:$B=$G24)*('SIZE GUIDE'!$C:$C=$I24),0)),""),"")</f>
        <v/>
      </c>
      <c r="Q24" s="65"/>
      <c r="R24" s="59">
        <v>107</v>
      </c>
      <c r="S24" s="59">
        <f t="shared" si="0"/>
        <v>81</v>
      </c>
      <c r="T24" s="258">
        <f t="shared" si="1"/>
        <v>35</v>
      </c>
      <c r="U24" s="154">
        <f t="shared" si="2"/>
        <v>2106.5625</v>
      </c>
      <c r="V24" s="99">
        <f>SUMIFS(CODE_PRICE!F:F,CODE_PRICE!B:B,'DICKSON-W29_01'!C24,CODE_PRICE!A:A,'DICKSON-W29_01'!$A$8)</f>
        <v>0.32900000000000001</v>
      </c>
      <c r="W24" s="155">
        <f t="shared" si="3"/>
        <v>693.05906249999998</v>
      </c>
      <c r="X24" s="244" t="str">
        <f>IF(OR(E24="",C24=""),"",IF(COUNTIFS($E$17:E24,E24,$C$17:C24,C24)=1,E24&amp;" - "&amp;C24&amp;" - "&amp;SUMIFS($J$17:$J$5002,$E$17:$E$5002,E24,$C$17:$C$5002,C24)&amp;I24&amp;" - "&amp;TEXT(SUMIFS($U$17:$U$5002,$E$17:$E$5002,E24,$C$17:$C$5002,C24),"0.00")&amp;" Bf",""))</f>
        <v/>
      </c>
      <c r="Y24" s="243" t="str">
        <f>IF(COUNTIF($C$17:C24,C24)=1,ROUND(SUMIF($C:$C,C24,$W:$W),2), "")</f>
        <v/>
      </c>
    </row>
    <row r="25" spans="1:25" s="17" customFormat="1" ht="36" customHeight="1" x14ac:dyDescent="0.2">
      <c r="A25" s="57">
        <f t="shared" si="4"/>
        <v>9</v>
      </c>
      <c r="B25" s="57" t="str" cm="1">
        <f t="array" ref="B25">_xlfn.LET(_xlpm.r,_xlfn.XLOOKUP(1,
(TRIM(CODE_PRICE!$A$4:$A$2003)=TRIM($C$4))*
(TRIM(CODE_PRICE!$B$4:$B$2003)=TRIM(C25)),
CODE_PRICE!$C$4:$C$2003,
""),
IF(OR(_xlpm.r="",_xlpm.r=0),"",_xlpm.r))</f>
        <v/>
      </c>
      <c r="C25" s="57" t="s">
        <v>97</v>
      </c>
      <c r="D25" s="57" t="str" cm="1">
        <f t="array" ref="D25">IFERROR(
_xlfn.XLOOKUP(1,
(CODE_PRICE!$A$3:$A$1003=$A$8)*
(CODE_PRICE!$B$3:$B$1003=C25),
CODE_PRICE!$C$3:$C$1003
),
"")</f>
        <v>FM1836</v>
      </c>
      <c r="E25" s="57" t="s">
        <v>318</v>
      </c>
      <c r="F25" s="58" t="s">
        <v>11</v>
      </c>
      <c r="G25" s="59" t="s">
        <v>123</v>
      </c>
      <c r="H25" s="60" t="str">
        <f>IF(COUNTIFS($C$17:C25,C25,$I$17:I25,I25)=1,
SUMIFS($J$17:$J$49,$C$17:$C$49,C25,$I$17:$I$49,I25)&amp;I25&amp;" "&amp;C25,
"")</f>
        <v/>
      </c>
      <c r="I25" s="58" t="s">
        <v>22</v>
      </c>
      <c r="J25" s="61">
        <v>1</v>
      </c>
      <c r="K25" s="62"/>
      <c r="L25" s="63">
        <v>108</v>
      </c>
      <c r="M25" s="257">
        <v>81</v>
      </c>
      <c r="N25" s="64">
        <v>30</v>
      </c>
      <c r="O25" s="65"/>
      <c r="P25" s="65" t="str" cm="1">
        <f t="array" ref="P25">IF(F25="trim",IFERROR(INDEX('SIZE GUIDE'!$E:$E,MATCH(1,('SIZE GUIDE'!$A:$A=$F25)*('SIZE GUIDE'!$B:$B=$G25)*('SIZE GUIDE'!$C:$C=$I25),0)),""),"")</f>
        <v/>
      </c>
      <c r="Q25" s="65"/>
      <c r="R25" s="59">
        <v>107</v>
      </c>
      <c r="S25" s="59">
        <f t="shared" si="0"/>
        <v>81</v>
      </c>
      <c r="T25" s="258">
        <f t="shared" si="1"/>
        <v>29.5</v>
      </c>
      <c r="U25" s="154">
        <f t="shared" si="2"/>
        <v>1775.53125</v>
      </c>
      <c r="V25" s="99">
        <f>SUMIFS(CODE_PRICE!F:F,CODE_PRICE!B:B,'DICKSON-W29_01'!C25,CODE_PRICE!A:A,'DICKSON-W29_01'!$A$8)</f>
        <v>0.32900000000000001</v>
      </c>
      <c r="W25" s="155">
        <f t="shared" si="3"/>
        <v>584.14978125000005</v>
      </c>
      <c r="X25" s="244" t="str">
        <f>IF(OR(E25="",C25=""),"",IF(COUNTIFS($E$17:E25,E25,$C$17:C25,C25)=1,E25&amp;" - "&amp;C25&amp;" - "&amp;SUMIFS($J$17:$J$5002,$E$17:$E$5002,E25,$C$17:$C$5002,C25)&amp;I25&amp;" - "&amp;TEXT(SUMIFS($U$17:$U$5002,$E$17:$E$5002,E25,$C$17:$C$5002,C25),"0.00")&amp;" Bf",""))</f>
        <v/>
      </c>
      <c r="Y25" s="157" t="str">
        <f>IF(COUNTIF($C$17:C25,C25)=1,ROUND(SUMIF($C:$C,C25,$W:$W),2), "")</f>
        <v/>
      </c>
    </row>
    <row r="26" spans="1:25" s="17" customFormat="1" ht="36" customHeight="1" x14ac:dyDescent="0.2">
      <c r="A26" s="57">
        <f t="shared" si="4"/>
        <v>10</v>
      </c>
      <c r="B26" s="57" t="str" cm="1">
        <f t="array" ref="B26">_xlfn.LET(_xlpm.r,_xlfn.XLOOKUP(1,
(TRIM(CODE_PRICE!$A$4:$A$2003)=TRIM($C$4))*
(TRIM(CODE_PRICE!$B$4:$B$2003)=TRIM(C26)),
CODE_PRICE!$C$4:$C$2003,
""),
IF(OR(_xlpm.r="",_xlpm.r=0),"",_xlpm.r))</f>
        <v/>
      </c>
      <c r="C26" s="57" t="s">
        <v>97</v>
      </c>
      <c r="D26" s="57" t="str" cm="1">
        <f t="array" ref="D26">IFERROR(
_xlfn.XLOOKUP(1,
(CODE_PRICE!$A$3:$A$1003=$A$8)*
(CODE_PRICE!$B$3:$B$1003=C26),
CODE_PRICE!$C$3:$C$1003
),
"")</f>
        <v>FM1836</v>
      </c>
      <c r="E26" s="57" t="s">
        <v>318</v>
      </c>
      <c r="F26" s="58" t="s">
        <v>11</v>
      </c>
      <c r="G26" s="59" t="s">
        <v>123</v>
      </c>
      <c r="H26" s="60" t="str">
        <f>IF(COUNTIFS($C$17:C26,C26,$I$17:I26,I26)=1,
SUMIFS($J$17:$J$49,$C$17:$C$49,C26,$I$17:$I$49,I26)&amp;I26&amp;" "&amp;C26,
"")</f>
        <v/>
      </c>
      <c r="I26" s="58" t="s">
        <v>22</v>
      </c>
      <c r="J26" s="61">
        <v>1</v>
      </c>
      <c r="K26" s="62"/>
      <c r="L26" s="63">
        <v>108</v>
      </c>
      <c r="M26" s="257">
        <v>81</v>
      </c>
      <c r="N26" s="64">
        <v>35</v>
      </c>
      <c r="O26" s="65"/>
      <c r="P26" s="65" t="str" cm="1">
        <f t="array" ref="P26">IF(F26="trim",IFERROR(INDEX('SIZE GUIDE'!$E:$E,MATCH(1,('SIZE GUIDE'!$A:$A=$F26)*('SIZE GUIDE'!$B:$B=$G26)*('SIZE GUIDE'!$C:$C=$I26),0)),""),"")</f>
        <v/>
      </c>
      <c r="Q26" s="65"/>
      <c r="R26" s="59">
        <v>107</v>
      </c>
      <c r="S26" s="59">
        <f t="shared" si="0"/>
        <v>81</v>
      </c>
      <c r="T26" s="258">
        <f t="shared" si="1"/>
        <v>34.5</v>
      </c>
      <c r="U26" s="154">
        <f t="shared" si="2"/>
        <v>2076.46875</v>
      </c>
      <c r="V26" s="99">
        <f>SUMIFS(CODE_PRICE!F:F,CODE_PRICE!B:B,'DICKSON-W29_01'!C26,CODE_PRICE!A:A,'DICKSON-W29_01'!$A$8)</f>
        <v>0.32900000000000001</v>
      </c>
      <c r="W26" s="155">
        <f t="shared" si="3"/>
        <v>683.15821875000006</v>
      </c>
      <c r="X26" s="244" t="str">
        <f>IF(OR(E26="",C26=""),"",IF(COUNTIFS($E$17:E26,E26,$C$17:C26,C26)=1,E26&amp;" - "&amp;C26&amp;" - "&amp;SUMIFS($J$17:$J$5002,$E$17:$E$5002,E26,$C$17:$C$5002,C26)&amp;I26&amp;" - "&amp;TEXT(SUMIFS($U$17:$U$5002,$E$17:$E$5002,E26,$C$17:$C$5002,C26),"0.00")&amp;" Bf",""))</f>
        <v/>
      </c>
      <c r="Y26" s="157" t="str">
        <f>IF(COUNTIF($C$17:C26,C26)=1,ROUND(SUMIF($C:$C,C26,$W:$W),2), "")</f>
        <v/>
      </c>
    </row>
    <row r="27" spans="1:25" s="17" customFormat="1" ht="36" hidden="1" customHeight="1" x14ac:dyDescent="0.2">
      <c r="A27" s="57"/>
      <c r="B27" s="57"/>
      <c r="C27" s="101"/>
      <c r="D27" s="101" t="str" cm="1">
        <f t="array" ref="D27">IFERROR(
_xlfn.XLOOKUP(1,
(CODE_PRICE!$A$3:$A$1003=$A$8)*
(CODE_PRICE!$B$3:$B$1003=C27),
CODE_PRICE!$C$3:$C$1003
),
"")</f>
        <v/>
      </c>
      <c r="E27" s="58"/>
      <c r="F27" s="58"/>
      <c r="G27" s="59"/>
      <c r="H27" s="60"/>
      <c r="I27" s="58"/>
      <c r="J27" s="61"/>
      <c r="K27" s="62"/>
      <c r="L27" s="63"/>
      <c r="M27" s="64"/>
      <c r="N27" s="63"/>
      <c r="O27" s="65"/>
      <c r="P27" s="65"/>
      <c r="Q27" s="65"/>
      <c r="R27" s="66"/>
      <c r="S27" s="59"/>
      <c r="T27" s="59"/>
      <c r="U27" s="93"/>
      <c r="V27" s="94"/>
      <c r="W27" s="95"/>
      <c r="X27" s="59" t="str">
        <f>IF(OR(E27="",C27=""),"",IF(COUNTIFS($E$17:E27,E27,$C$17:C27,C27)=1,E27&amp;" - "&amp;C27&amp;" - "&amp;SUMIFS($J$17:$J$5002,$E$17:$E$5002,E27,$C$17:$C$5002,C27)&amp;I27&amp;" - "&amp;TEXT(SUMIFS($U$17:$U$5002,$E$17:$E$5002,E27,$C$17:$C$5002,C27),"0.00")&amp;" Bf",""))</f>
        <v/>
      </c>
      <c r="Y27" s="103" t="str">
        <f>IF(COUNTIF($C$17:C27,C27)=1,ROUND(SUMIF($C:$C,C27,$W:$W),2), "")</f>
        <v/>
      </c>
    </row>
    <row r="28" spans="1:25" s="17" customFormat="1" ht="36" hidden="1" customHeight="1" x14ac:dyDescent="0.2">
      <c r="A28" s="57"/>
      <c r="B28" s="57"/>
      <c r="C28" s="57"/>
      <c r="D28" s="57" t="str" cm="1">
        <f t="array" ref="D28">IFERROR(
_xlfn.XLOOKUP(1,
(CODE_PRICE!$A$3:$A$1003=$A$8)*
(CODE_PRICE!$B$3:$B$1003=C28),
CODE_PRICE!$C$3:$C$1003
),
"")</f>
        <v/>
      </c>
      <c r="E28" s="58"/>
      <c r="F28" s="58"/>
      <c r="G28" s="59"/>
      <c r="H28" s="60"/>
      <c r="I28" s="58"/>
      <c r="J28" s="61"/>
      <c r="K28" s="62"/>
      <c r="L28" s="63"/>
      <c r="M28" s="64"/>
      <c r="N28" s="63"/>
      <c r="O28" s="65"/>
      <c r="P28" s="65"/>
      <c r="Q28" s="65"/>
      <c r="R28" s="66"/>
      <c r="S28" s="59"/>
      <c r="T28" s="59"/>
      <c r="U28" s="93"/>
      <c r="V28" s="94"/>
      <c r="W28" s="95"/>
      <c r="X28" s="59" t="str">
        <f>IF(OR(E28="",C28=""),"",IF(COUNTIFS($E$17:E28,E28,$C$17:C28,C28)=1,E28&amp;" - "&amp;C28&amp;" - "&amp;SUMIFS($J$17:$J$5002,$E$17:$E$5002,E28,$C$17:$C$5002,C28)&amp;I28&amp;" - "&amp;TEXT(SUMIFS($U$17:$U$5002,$E$17:$E$5002,E28,$C$17:$C$5002,C28),"0.00")&amp;" Bf",""))</f>
        <v/>
      </c>
      <c r="Y28" s="103" t="str">
        <f>IF(COUNTIF($C$17:C28,C28)=1,ROUND(SUMIF($C:$C,C28,$W:$W),2), "")</f>
        <v/>
      </c>
    </row>
    <row r="29" spans="1:25" s="17" customFormat="1" ht="36" hidden="1" customHeight="1" x14ac:dyDescent="0.2">
      <c r="A29" s="57"/>
      <c r="B29" s="57"/>
      <c r="C29" s="57"/>
      <c r="D29" s="57" t="str" cm="1">
        <f t="array" ref="D29">IFERROR(
_xlfn.XLOOKUP(1,
(CODE_PRICE!$A$3:$A$1003=$A$8)*
(CODE_PRICE!$B$3:$B$1003=C29),
CODE_PRICE!$C$3:$C$1003
),
"")</f>
        <v/>
      </c>
      <c r="E29" s="58"/>
      <c r="F29" s="58"/>
      <c r="G29" s="59"/>
      <c r="H29" s="60"/>
      <c r="I29" s="58"/>
      <c r="J29" s="61"/>
      <c r="K29" s="62"/>
      <c r="L29" s="63"/>
      <c r="M29" s="64"/>
      <c r="N29" s="63"/>
      <c r="O29" s="65"/>
      <c r="P29" s="65"/>
      <c r="Q29" s="65"/>
      <c r="R29" s="66"/>
      <c r="S29" s="59"/>
      <c r="T29" s="59"/>
      <c r="U29" s="93"/>
      <c r="V29" s="99"/>
      <c r="W29" s="95"/>
      <c r="X29" s="59" t="str">
        <f>IF(OR(E29="",C29=""),"",IF(COUNTIFS($E$17:E29,E29,$C$17:C29,C29)=1,E29&amp;" - "&amp;C29&amp;" - "&amp;SUMIFS($J$17:$J$5002,$E$17:$E$5002,E29,$C$17:$C$5002,C29)&amp;I29&amp;" - "&amp;TEXT(SUMIFS($U$17:$U$5002,$E$17:$E$5002,E29,$C$17:$C$5002,C29),"0.00")&amp;" Bf",""))</f>
        <v/>
      </c>
      <c r="Y29" s="103" t="str">
        <f>IF(COUNTIF($C$17:C29,C29)=1,ROUND(SUMIF($C:$C,C29,$W:$W),2), "")</f>
        <v/>
      </c>
    </row>
    <row r="30" spans="1:25" s="17" customFormat="1" ht="36" hidden="1" customHeight="1" x14ac:dyDescent="0.2">
      <c r="A30" s="57"/>
      <c r="B30" s="57"/>
      <c r="C30" s="57"/>
      <c r="D30" s="57" t="str" cm="1">
        <f t="array" ref="D30">IFERROR(
_xlfn.XLOOKUP(1,
(CODE_PRICE!$A$3:$A$1003=$A$8)*
(CODE_PRICE!$B$3:$B$1003=C30),
CODE_PRICE!$C$3:$C$1003
),
"")</f>
        <v/>
      </c>
      <c r="E30" s="58"/>
      <c r="F30" s="58"/>
      <c r="G30" s="59"/>
      <c r="H30" s="60"/>
      <c r="I30" s="58"/>
      <c r="J30" s="61"/>
      <c r="K30" s="62"/>
      <c r="L30" s="63"/>
      <c r="M30" s="64"/>
      <c r="N30" s="63"/>
      <c r="O30" s="65"/>
      <c r="P30" s="65"/>
      <c r="Q30" s="65"/>
      <c r="R30" s="66"/>
      <c r="S30" s="59"/>
      <c r="T30" s="59"/>
      <c r="U30" s="93"/>
      <c r="V30" s="99"/>
      <c r="W30" s="95"/>
      <c r="X30" s="59" t="str">
        <f>IF(OR(E30="",C30=""),"",IF(COUNTIFS($E$17:E30,E30,$C$17:C30,C30)=1,E30&amp;" - "&amp;C30&amp;" - "&amp;SUMIFS($J$17:$J$5002,$E$17:$E$5002,E30,$C$17:$C$5002,C30)&amp;I30&amp;" - "&amp;TEXT(SUMIFS($U$17:$U$5002,$E$17:$E$5002,E30,$C$17:$C$5002,C30),"0.00")&amp;" Bf",""))</f>
        <v/>
      </c>
      <c r="Y30" s="103" t="str">
        <f>IF(COUNTIF($C$17:C30,C30)=1,ROUND(SUMIF($C:$C,C30,$W:$W),2), "")</f>
        <v/>
      </c>
    </row>
    <row r="31" spans="1:25" s="17" customFormat="1" ht="36" hidden="1" customHeight="1" x14ac:dyDescent="0.2">
      <c r="A31" s="57"/>
      <c r="B31" s="57"/>
      <c r="C31" s="57"/>
      <c r="D31" s="57" t="str" cm="1">
        <f t="array" ref="D31">IFERROR(
_xlfn.XLOOKUP(1,
(CODE_PRICE!$A$3:$A$1003=$A$8)*
(CODE_PRICE!$B$3:$B$1003=C31),
CODE_PRICE!$C$3:$C$1003
),
"")</f>
        <v/>
      </c>
      <c r="E31" s="58"/>
      <c r="F31" s="58"/>
      <c r="G31" s="59"/>
      <c r="H31" s="60"/>
      <c r="I31" s="58"/>
      <c r="J31" s="61"/>
      <c r="K31" s="62"/>
      <c r="L31" s="63"/>
      <c r="M31" s="64"/>
      <c r="N31" s="63"/>
      <c r="O31" s="65"/>
      <c r="P31" s="65"/>
      <c r="Q31" s="65"/>
      <c r="R31" s="66"/>
      <c r="S31" s="59"/>
      <c r="T31" s="59"/>
      <c r="U31" s="93"/>
      <c r="V31" s="99"/>
      <c r="W31" s="95"/>
      <c r="X31" s="59" t="str">
        <f>IF(OR(E31="",C31=""),"",IF(COUNTIFS($E$17:E31,E31,$C$17:C31,C31)=1,E31&amp;" - "&amp;C31&amp;" - "&amp;SUMIFS($J$17:$J$5002,$E$17:$E$5002,E31,$C$17:$C$5002,C31)&amp;I31&amp;" - "&amp;TEXT(SUMIFS($U$17:$U$5002,$E$17:$E$5002,E31,$C$17:$C$5002,C31),"0.00")&amp;" Bf",""))</f>
        <v/>
      </c>
      <c r="Y31" s="103" t="str">
        <f>IF(COUNTIF($C$17:C31,C31)=1,ROUND(SUMIF($C:$C,C31,$W:$W),2), "")</f>
        <v/>
      </c>
    </row>
    <row r="32" spans="1:25" s="17" customFormat="1" ht="36" hidden="1" customHeight="1" x14ac:dyDescent="0.2">
      <c r="A32" s="57"/>
      <c r="B32" s="57"/>
      <c r="C32" s="57"/>
      <c r="D32" s="57" t="str" cm="1">
        <f t="array" ref="D32">IFERROR(
_xlfn.XLOOKUP(1,
(CODE_PRICE!$A$3:$A$1003=$A$8)*
(CODE_PRICE!$B$3:$B$1003=C32),
CODE_PRICE!$C$3:$C$1003
),
"")</f>
        <v/>
      </c>
      <c r="E32" s="58"/>
      <c r="F32" s="58"/>
      <c r="G32" s="59"/>
      <c r="H32" s="60"/>
      <c r="I32" s="58"/>
      <c r="J32" s="61"/>
      <c r="K32" s="62"/>
      <c r="L32" s="63"/>
      <c r="M32" s="64"/>
      <c r="N32" s="63"/>
      <c r="O32" s="65"/>
      <c r="P32" s="65"/>
      <c r="Q32" s="65"/>
      <c r="R32" s="66"/>
      <c r="S32" s="59"/>
      <c r="T32" s="59"/>
      <c r="U32" s="93"/>
      <c r="V32" s="99"/>
      <c r="W32" s="95"/>
      <c r="X32" s="59" t="str">
        <f>IF(OR(E32="",C32=""),"",IF(COUNTIFS($E$17:E32,E32,$C$17:C32,C32)=1,E32&amp;" - "&amp;C32&amp;" - "&amp;SUMIFS($J$17:$J$5002,$E$17:$E$5002,E32,$C$17:$C$5002,C32)&amp;I32&amp;" - "&amp;TEXT(SUMIFS($U$17:$U$5002,$E$17:$E$5002,E32,$C$17:$C$5002,C32),"0.00")&amp;" Bf",""))</f>
        <v/>
      </c>
      <c r="Y32" s="103" t="str">
        <f>IF(COUNTIF($C$17:C32,C32)=1,ROUND(SUMIF($C:$C,C32,$W:$W),2), "")</f>
        <v/>
      </c>
    </row>
    <row r="33" spans="1:25" s="17" customFormat="1" ht="36" hidden="1" customHeight="1" x14ac:dyDescent="0.2">
      <c r="A33" s="57"/>
      <c r="B33" s="57"/>
      <c r="C33" s="57"/>
      <c r="D33" s="57" t="str" cm="1">
        <f t="array" ref="D33">IFERROR(
_xlfn.XLOOKUP(1,
(CODE_PRICE!$A$3:$A$1003=$A$8)*
(CODE_PRICE!$B$3:$B$1003=C33),
CODE_PRICE!$C$3:$C$1003
),
"")</f>
        <v/>
      </c>
      <c r="E33" s="58"/>
      <c r="F33" s="58"/>
      <c r="G33" s="59"/>
      <c r="H33" s="60"/>
      <c r="I33" s="58"/>
      <c r="J33" s="61"/>
      <c r="K33" s="62"/>
      <c r="L33" s="63"/>
      <c r="M33" s="64"/>
      <c r="N33" s="63"/>
      <c r="O33" s="65"/>
      <c r="P33" s="65"/>
      <c r="Q33" s="65"/>
      <c r="R33" s="66"/>
      <c r="S33" s="59"/>
      <c r="T33" s="59"/>
      <c r="U33" s="93"/>
      <c r="V33" s="99"/>
      <c r="W33" s="95"/>
      <c r="X33" s="59" t="str">
        <f>IF(OR(E33="",C33=""),"",IF(COUNTIFS($E$17:E33,E33,$C$17:C33,C33)=1,E33&amp;" - "&amp;C33&amp;" - "&amp;SUMIFS($J$17:$J$5002,$E$17:$E$5002,E33,$C$17:$C$5002,C33)&amp;I33&amp;" - "&amp;TEXT(SUMIFS($U$17:$U$5002,$E$17:$E$5002,E33,$C$17:$C$5002,C33),"0.00")&amp;" Bf",""))</f>
        <v/>
      </c>
      <c r="Y33" s="103" t="str">
        <f>IF(COUNTIF($C$17:C33,C33)=1,ROUND(SUMIF($C:$C,C33,$W:$W),2), "")</f>
        <v/>
      </c>
    </row>
    <row r="34" spans="1:25" s="17" customFormat="1" ht="36" hidden="1" customHeight="1" x14ac:dyDescent="0.2">
      <c r="A34" s="57"/>
      <c r="B34" s="57"/>
      <c r="C34" s="57"/>
      <c r="D34" s="57" t="str" cm="1">
        <f t="array" ref="D34">IFERROR(
_xlfn.XLOOKUP(1,
(CODE_PRICE!$A$3:$A$1003=$A$8)*
(CODE_PRICE!$B$3:$B$1003=C34),
CODE_PRICE!$C$3:$C$1003
),
"")</f>
        <v/>
      </c>
      <c r="E34" s="58"/>
      <c r="F34" s="58"/>
      <c r="G34" s="59"/>
      <c r="H34" s="60"/>
      <c r="I34" s="58"/>
      <c r="J34" s="61"/>
      <c r="K34" s="62"/>
      <c r="L34" s="63"/>
      <c r="M34" s="64"/>
      <c r="N34" s="63"/>
      <c r="O34" s="65"/>
      <c r="P34" s="65"/>
      <c r="Q34" s="65"/>
      <c r="R34" s="66"/>
      <c r="S34" s="59"/>
      <c r="T34" s="59"/>
      <c r="U34" s="93"/>
      <c r="V34" s="99"/>
      <c r="W34" s="95"/>
      <c r="X34" s="59" t="str">
        <f>IF(OR(E34="",C34=""),"",IF(COUNTIFS($E$17:E34,E34,$C$17:C34,C34)=1,E34&amp;" - "&amp;C34&amp;" - "&amp;SUMIFS($J$17:$J$5002,$E$17:$E$5002,E34,$C$17:$C$5002,C34)&amp;I34&amp;" - "&amp;TEXT(SUMIFS($U$17:$U$5002,$E$17:$E$5002,E34,$C$17:$C$5002,C34),"0.00")&amp;" Bf",""))</f>
        <v/>
      </c>
      <c r="Y34" s="103" t="str">
        <f>IF(COUNTIF($C$17:C34,C34)=1,ROUND(SUMIF($C:$C,C34,$W:$W),2), "")</f>
        <v/>
      </c>
    </row>
    <row r="35" spans="1:25" s="17" customFormat="1" ht="36" hidden="1" customHeight="1" x14ac:dyDescent="0.2">
      <c r="A35" s="57"/>
      <c r="B35" s="57"/>
      <c r="C35" s="57"/>
      <c r="D35" s="57" t="str" cm="1">
        <f t="array" ref="D35">IFERROR(
_xlfn.XLOOKUP(1,
(CODE_PRICE!$A$3:$A$1003=$A$8)*
(CODE_PRICE!$B$3:$B$1003=C35),
CODE_PRICE!$C$3:$C$1003
),
"")</f>
        <v/>
      </c>
      <c r="E35" s="58"/>
      <c r="F35" s="58"/>
      <c r="G35" s="59"/>
      <c r="H35" s="60"/>
      <c r="I35" s="58"/>
      <c r="J35" s="61"/>
      <c r="K35" s="62"/>
      <c r="L35" s="63"/>
      <c r="M35" s="64"/>
      <c r="N35" s="63"/>
      <c r="O35" s="65"/>
      <c r="P35" s="65"/>
      <c r="Q35" s="65"/>
      <c r="R35" s="66"/>
      <c r="S35" s="59"/>
      <c r="T35" s="59"/>
      <c r="U35" s="93"/>
      <c r="V35" s="99"/>
      <c r="W35" s="95"/>
      <c r="X35" s="59" t="str">
        <f>IF(OR(E35="",C35=""),"",IF(COUNTIFS($E$17:E35,E35,$C$17:C35,C35)=1,E35&amp;" - "&amp;C35&amp;" - "&amp;SUMIFS($J$17:$J$5002,$E$17:$E$5002,E35,$C$17:$C$5002,C35)&amp;I35&amp;" - "&amp;TEXT(SUMIFS($U$17:$U$5002,$E$17:$E$5002,E35,$C$17:$C$5002,C35),"0.00")&amp;" Bf",""))</f>
        <v/>
      </c>
      <c r="Y35" s="103" t="str">
        <f>IF(COUNTIF($C$17:C35,C35)=1,ROUND(SUMIF($C:$C,C35,$W:$W),2), "")</f>
        <v/>
      </c>
    </row>
    <row r="36" spans="1:25" s="17" customFormat="1" ht="36" hidden="1" customHeight="1" x14ac:dyDescent="0.2">
      <c r="A36" s="57"/>
      <c r="B36" s="57"/>
      <c r="C36" s="57"/>
      <c r="D36" s="57" t="str" cm="1">
        <f t="array" ref="D36">IFERROR(
_xlfn.XLOOKUP(1,
(CODE_PRICE!$A$3:$A$1003=$A$8)*
(CODE_PRICE!$B$3:$B$1003=C36),
CODE_PRICE!$C$3:$C$1003
),
"")</f>
        <v/>
      </c>
      <c r="E36" s="58"/>
      <c r="F36" s="58"/>
      <c r="G36" s="59"/>
      <c r="H36" s="60"/>
      <c r="I36" s="58"/>
      <c r="J36" s="61"/>
      <c r="K36" s="62"/>
      <c r="L36" s="63"/>
      <c r="M36" s="64"/>
      <c r="N36" s="63"/>
      <c r="O36" s="65"/>
      <c r="P36" s="65"/>
      <c r="Q36" s="65"/>
      <c r="R36" s="66"/>
      <c r="S36" s="59"/>
      <c r="T36" s="59"/>
      <c r="U36" s="93"/>
      <c r="V36" s="99"/>
      <c r="W36" s="95"/>
      <c r="X36" s="59" t="str">
        <f>IF(OR(E36="",C36=""),"",IF(COUNTIFS($E$17:E36,E36,$C$17:C36,C36)=1,E36&amp;" - "&amp;C36&amp;" - "&amp;SUMIFS($J$17:$J$5002,$E$17:$E$5002,E36,$C$17:$C$5002,C36)&amp;I36&amp;" - "&amp;TEXT(SUMIFS($U$17:$U$5002,$E$17:$E$5002,E36,$C$17:$C$5002,C36),"0.00")&amp;" Bf",""))</f>
        <v/>
      </c>
      <c r="Y36" s="103" t="str">
        <f>IF(COUNTIF($C$17:C36,C36)=1,ROUND(SUMIF($C:$C,C36,$W:$W),2), "")</f>
        <v/>
      </c>
    </row>
    <row r="37" spans="1:25" s="17" customFormat="1" ht="41.25" hidden="1" customHeight="1" x14ac:dyDescent="0.2">
      <c r="A37" s="57"/>
      <c r="B37" s="57"/>
      <c r="C37" s="57"/>
      <c r="D37" s="57" t="str" cm="1">
        <f t="array" ref="D37">IFERROR(
_xlfn.XLOOKUP(1,
(CODE_PRICE!$A$3:$A$1003=$A$8)*
(CODE_PRICE!$B$3:$B$1003=C37),
CODE_PRICE!$C$3:$C$1003
),
"")</f>
        <v/>
      </c>
      <c r="E37" s="58"/>
      <c r="F37" s="58"/>
      <c r="G37" s="59"/>
      <c r="H37" s="60"/>
      <c r="I37" s="58"/>
      <c r="J37" s="61"/>
      <c r="K37" s="62"/>
      <c r="L37" s="63"/>
      <c r="M37" s="64"/>
      <c r="N37" s="63"/>
      <c r="O37" s="65"/>
      <c r="P37" s="65"/>
      <c r="Q37" s="65"/>
      <c r="R37" s="66"/>
      <c r="S37" s="59"/>
      <c r="T37" s="59"/>
      <c r="U37" s="93"/>
      <c r="V37" s="94"/>
      <c r="W37" s="95"/>
      <c r="X37" s="59" t="str">
        <f>IF(OR(E37="",C37=""),"",IF(COUNTIFS($E$17:E37,E37,$C$17:C37,C37)=1,E37&amp;" - "&amp;C37&amp;" - "&amp;SUMIFS($J$17:$J$5002,$E$17:$E$5002,E37,$C$17:$C$5002,C37)&amp;I37&amp;" - "&amp;TEXT(SUMIFS($U$17:$U$5002,$E$17:$E$5002,E37,$C$17:$C$5002,C37),"0.00")&amp;" Bf",""))</f>
        <v/>
      </c>
      <c r="Y37" s="24" t="str">
        <f>IF(COUNTIF($C$17:C37,C37)=1,ROUND(SUMIF($C:$C,C37,$W:$W),2), "")</f>
        <v/>
      </c>
    </row>
    <row r="38" spans="1:25" s="17" customFormat="1" ht="41.25" hidden="1" customHeight="1" x14ac:dyDescent="0.2">
      <c r="A38" s="57"/>
      <c r="B38" s="57"/>
      <c r="C38" s="57"/>
      <c r="D38" s="57" t="str" cm="1">
        <f t="array" ref="D38">IFERROR(
_xlfn.XLOOKUP(1,
(CODE_PRICE!$A$3:$A$1003=$A$8)*
(CODE_PRICE!$B$3:$B$1003=C38),
CODE_PRICE!$C$3:$C$1003
),
"")</f>
        <v/>
      </c>
      <c r="E38" s="58"/>
      <c r="F38" s="58"/>
      <c r="G38" s="59"/>
      <c r="H38" s="60"/>
      <c r="I38" s="58"/>
      <c r="J38" s="61"/>
      <c r="K38" s="62"/>
      <c r="L38" s="63"/>
      <c r="M38" s="64"/>
      <c r="N38" s="63"/>
      <c r="O38" s="65"/>
      <c r="P38" s="65"/>
      <c r="Q38" s="65"/>
      <c r="R38" s="66"/>
      <c r="S38" s="59"/>
      <c r="T38" s="59"/>
      <c r="U38" s="93"/>
      <c r="V38" s="94"/>
      <c r="W38" s="95"/>
      <c r="X38" s="59" t="str">
        <f>IF(OR(E38="",C38=""),"",IF(COUNTIFS($E$17:E38,E38,$C$17:C38,C38)=1,E38&amp;" - "&amp;C38&amp;" - "&amp;SUMIFS($J$17:$J$5002,$E$17:$E$5002,E38,$C$17:$C$5002,C38)&amp;I38&amp;" - "&amp;TEXT(SUMIFS($U$17:$U$5002,$E$17:$E$5002,E38,$C$17:$C$5002,C38),"0.00")&amp;" Bf",""))</f>
        <v/>
      </c>
      <c r="Y38" s="24" t="str">
        <f>IF(COUNTIF($C$17:C38,C38)=1,ROUND(SUMIF($C:$C,C38,$W:$W),2), "")</f>
        <v/>
      </c>
    </row>
    <row r="39" spans="1:25" s="17" customFormat="1" ht="41.25" hidden="1" customHeight="1" x14ac:dyDescent="0.2">
      <c r="A39" s="57"/>
      <c r="B39" s="57"/>
      <c r="C39" s="57"/>
      <c r="D39" s="57" t="str" cm="1">
        <f t="array" ref="D39">IFERROR(
_xlfn.XLOOKUP(1,
(CODE_PRICE!$A$3:$A$1003=$A$8)*
(CODE_PRICE!$B$3:$B$1003=C39),
CODE_PRICE!$C$3:$C$1003
),
"")</f>
        <v/>
      </c>
      <c r="E39" s="58"/>
      <c r="F39" s="58"/>
      <c r="G39" s="59"/>
      <c r="H39" s="60"/>
      <c r="I39" s="58"/>
      <c r="J39" s="61"/>
      <c r="K39" s="62"/>
      <c r="L39" s="63"/>
      <c r="M39" s="64"/>
      <c r="N39" s="63"/>
      <c r="O39" s="65"/>
      <c r="P39" s="65"/>
      <c r="Q39" s="65"/>
      <c r="R39" s="66"/>
      <c r="S39" s="59"/>
      <c r="T39" s="59"/>
      <c r="U39" s="93"/>
      <c r="V39" s="94"/>
      <c r="W39" s="95"/>
      <c r="X39" s="59" t="str">
        <f>IF(OR(E39="",C39=""),"",IF(COUNTIFS($E$17:E39,E39,$C$17:C39,C39)=1,E39&amp;" - "&amp;C39&amp;" - "&amp;SUMIFS($J$17:$J$5002,$E$17:$E$5002,E39,$C$17:$C$5002,C39)&amp;I39&amp;" - "&amp;TEXT(SUMIFS($U$17:$U$5002,$E$17:$E$5002,E39,$C$17:$C$5002,C39),"0.00")&amp;" Bf",""))</f>
        <v/>
      </c>
      <c r="Y39" s="24" t="str">
        <f>IF(COUNTIF($C$17:C39,C39)=1,ROUND(SUMIF($C:$C,C39,$W:$W),2), "")</f>
        <v/>
      </c>
    </row>
    <row r="40" spans="1:25" s="17" customFormat="1" ht="41.25" hidden="1" customHeight="1" x14ac:dyDescent="0.2">
      <c r="A40" s="57"/>
      <c r="B40" s="57"/>
      <c r="C40" s="57"/>
      <c r="D40" s="57" t="str" cm="1">
        <f t="array" ref="D40">IFERROR(
_xlfn.XLOOKUP(1,
(CODE_PRICE!$A$3:$A$1003=$A$8)*
(CODE_PRICE!$B$3:$B$1003=C40),
CODE_PRICE!$C$3:$C$1003
),
"")</f>
        <v/>
      </c>
      <c r="E40" s="58"/>
      <c r="F40" s="58"/>
      <c r="G40" s="59"/>
      <c r="H40" s="60"/>
      <c r="I40" s="58"/>
      <c r="J40" s="61"/>
      <c r="K40" s="62"/>
      <c r="L40" s="63"/>
      <c r="M40" s="64"/>
      <c r="N40" s="63"/>
      <c r="O40" s="65"/>
      <c r="P40" s="65"/>
      <c r="Q40" s="65"/>
      <c r="R40" s="66"/>
      <c r="S40" s="59"/>
      <c r="T40" s="59"/>
      <c r="U40" s="93"/>
      <c r="V40" s="94"/>
      <c r="W40" s="95"/>
      <c r="X40" s="59" t="str">
        <f>IF(OR(E40="",C40=""),"",IF(COUNTIFS($E$17:E40,E40,$C$17:C40,C40)=1,E40&amp;" - "&amp;C40&amp;" - "&amp;SUMIFS($J$17:$J$5002,$E$17:$E$5002,E40,$C$17:$C$5002,C40)&amp;I40&amp;" - "&amp;TEXT(SUMIFS($U$17:$U$5002,$E$17:$E$5002,E40,$C$17:$C$5002,C40),"0.00")&amp;" Bf",""))</f>
        <v/>
      </c>
      <c r="Y40" s="24" t="str">
        <f>IF(COUNTIF($C$17:C40,C40)=1,ROUND(SUMIF($C:$C,C40,$W:$W),2), "")</f>
        <v/>
      </c>
    </row>
    <row r="41" spans="1:25" s="17" customFormat="1" ht="41.25" hidden="1" customHeight="1" x14ac:dyDescent="0.2">
      <c r="A41" s="57"/>
      <c r="B41" s="57"/>
      <c r="C41" s="57"/>
      <c r="D41" s="57" t="str" cm="1">
        <f t="array" ref="D41">IFERROR(
_xlfn.XLOOKUP(1,
(CODE_PRICE!$A$3:$A$1003=$A$8)*
(CODE_PRICE!$B$3:$B$1003=C41),
CODE_PRICE!$C$3:$C$1003
),
"")</f>
        <v/>
      </c>
      <c r="E41" s="58"/>
      <c r="F41" s="58"/>
      <c r="G41" s="59"/>
      <c r="H41" s="60"/>
      <c r="I41" s="58"/>
      <c r="J41" s="61"/>
      <c r="K41" s="62"/>
      <c r="L41" s="63"/>
      <c r="M41" s="64"/>
      <c r="N41" s="63"/>
      <c r="O41" s="65"/>
      <c r="P41" s="65"/>
      <c r="Q41" s="65"/>
      <c r="R41" s="66"/>
      <c r="S41" s="59"/>
      <c r="T41" s="59"/>
      <c r="U41" s="93"/>
      <c r="V41" s="94"/>
      <c r="W41" s="95"/>
      <c r="X41" s="59" t="str">
        <f>IF(OR(E41="",C41=""),"",IF(COUNTIFS($E$17:E41,E41,$C$17:C41,C41)=1,E41&amp;" - "&amp;C41&amp;" - "&amp;SUMIFS($J$17:$J$5002,$E$17:$E$5002,E41,$C$17:$C$5002,C41)&amp;I41&amp;" - "&amp;TEXT(SUMIFS($U$17:$U$5002,$E$17:$E$5002,E41,$C$17:$C$5002,C41),"0.00")&amp;" Bf",""))</f>
        <v/>
      </c>
      <c r="Y41" s="24" t="str">
        <f>IF(COUNTIF($C$17:C41,C41)=1,ROUND(SUMIF($C:$C,C41,$W:$W),2), "")</f>
        <v/>
      </c>
    </row>
    <row r="42" spans="1:25" s="17" customFormat="1" ht="41.25" hidden="1" customHeight="1" x14ac:dyDescent="0.2">
      <c r="A42" s="57"/>
      <c r="B42" s="57"/>
      <c r="C42" s="57"/>
      <c r="D42" s="57" t="str" cm="1">
        <f t="array" ref="D42">IFERROR(
_xlfn.XLOOKUP(1,
(CODE_PRICE!$A$3:$A$1003=$A$8)*
(CODE_PRICE!$B$3:$B$1003=C42),
CODE_PRICE!$C$3:$C$1003
),
"")</f>
        <v/>
      </c>
      <c r="E42" s="58"/>
      <c r="F42" s="58"/>
      <c r="G42" s="59"/>
      <c r="H42" s="60"/>
      <c r="I42" s="58"/>
      <c r="J42" s="61"/>
      <c r="K42" s="62"/>
      <c r="L42" s="63" t="str" cm="1">
        <f t="array" ref="L42">IF(F42="untrim",_xlfn.XLOOKUP(1,(TRIM('SIZE GUIDE'!$A$3:$A$2015)=TRIM(F42))*(TRIM('SIZE GUIDE'!$B$3:$B$2015)=TRIM(G42))*(TRIM('SIZE GUIDE'!$C$3:$C$2015)=TRIM(I42)),'SIZE GUIDE'!$D$3:$D$2015),"")</f>
        <v/>
      </c>
      <c r="M42" s="64"/>
      <c r="N42" s="63"/>
      <c r="O42" s="65"/>
      <c r="P42" s="65" t="str" cm="1">
        <f t="array" ref="P42">IF(F42="trim",IFERROR(INDEX('SIZE GUIDE'!$E:$E,MATCH(1,('SIZE GUIDE'!$A:$A=$F42)*('SIZE GUIDE'!$B:$B=$G42)*('SIZE GUIDE'!$C:$C=$I42),0)),""),"")</f>
        <v/>
      </c>
      <c r="Q42" s="65"/>
      <c r="R42" s="66">
        <f t="shared" ref="R42:R49" si="5">IF(F42="untrim",L42-1.5,O42)</f>
        <v>0</v>
      </c>
      <c r="S42" s="59"/>
      <c r="T42" s="59"/>
      <c r="U42" s="93"/>
      <c r="V42" s="94"/>
      <c r="W42" s="95"/>
      <c r="X42" s="59" t="str">
        <f>IF(OR(E42="",C42=""),"",IF(COUNTIFS($E$17:E42,E42,$C$17:C42,C42)=1,E42&amp;" - "&amp;C42&amp;" - "&amp;SUMIFS($J$17:$J$5002,$E$17:$E$5002,E42,$C$17:$C$5002,C42)&amp;I42&amp;" - "&amp;TEXT(SUMIFS($U$17:$U$5002,$E$17:$E$5002,E42,$C$17:$C$5002,C42),"0.00")&amp;" Bf",""))</f>
        <v/>
      </c>
      <c r="Y42" s="24" t="str">
        <f>IF(COUNTIF($C$17:C42,C42)=1,ROUND(SUMIF($C:$C,C42,$W:$W),2), "")</f>
        <v/>
      </c>
    </row>
    <row r="43" spans="1:25" s="17" customFormat="1" ht="41.25" hidden="1" customHeight="1" x14ac:dyDescent="0.2">
      <c r="A43" s="57"/>
      <c r="B43" s="57"/>
      <c r="C43" s="57"/>
      <c r="D43" s="57" t="str" cm="1">
        <f t="array" ref="D43">IFERROR(
_xlfn.XLOOKUP(1,
(CODE_PRICE!$A$3:$A$1003=$A$8)*
(CODE_PRICE!$B$3:$B$1003=C43),
CODE_PRICE!$C$3:$C$1003
),
"")</f>
        <v/>
      </c>
      <c r="E43" s="58"/>
      <c r="F43" s="58"/>
      <c r="G43" s="59"/>
      <c r="H43" s="60"/>
      <c r="I43" s="58"/>
      <c r="J43" s="61"/>
      <c r="K43" s="62"/>
      <c r="L43" s="63" t="str" cm="1">
        <f t="array" ref="L43">IF(F43="untrim",_xlfn.XLOOKUP(1,(TRIM('SIZE GUIDE'!$A$3:$A$2015)=TRIM(F43))*(TRIM('SIZE GUIDE'!$B$3:$B$2015)=TRIM(G43))*(TRIM('SIZE GUIDE'!$C$3:$C$2015)=TRIM(I43)),'SIZE GUIDE'!$D$3:$D$2015),"")</f>
        <v/>
      </c>
      <c r="M43" s="64"/>
      <c r="N43" s="63"/>
      <c r="O43" s="65"/>
      <c r="P43" s="65" t="str" cm="1">
        <f t="array" ref="P43">IF(F43="trim",IFERROR(INDEX('SIZE GUIDE'!$E:$E,MATCH(1,('SIZE GUIDE'!$A:$A=$F43)*('SIZE GUIDE'!$B:$B=$G43)*('SIZE GUIDE'!$C:$C=$I43),0)),""),"")</f>
        <v/>
      </c>
      <c r="Q43" s="65"/>
      <c r="R43" s="66">
        <f t="shared" si="5"/>
        <v>0</v>
      </c>
      <c r="S43" s="59"/>
      <c r="T43" s="59"/>
      <c r="U43" s="93"/>
      <c r="V43" s="94"/>
      <c r="W43" s="95"/>
      <c r="X43" s="59" t="str">
        <f>IF(OR(E43="",C43=""),"",IF(COUNTIFS($E$17:E43,E43,$C$17:C43,C43)=1,E43&amp;" - "&amp;C43&amp;" - "&amp;SUMIFS($J$17:$J$5002,$E$17:$E$5002,E43,$C$17:$C$5002,C43)&amp;I43&amp;" - "&amp;TEXT(SUMIFS($U$17:$U$5002,$E$17:$E$5002,E43,$C$17:$C$5002,C43),"0.00")&amp;" Bf",""))</f>
        <v/>
      </c>
      <c r="Y43" s="24" t="str">
        <f>IF(COUNTIF($C$17:C43,C43)=1,ROUND(SUMIF($C:$C,C43,$W:$W),2), "")</f>
        <v/>
      </c>
    </row>
    <row r="44" spans="1:25" s="17" customFormat="1" ht="41.25" hidden="1" customHeight="1" x14ac:dyDescent="0.2">
      <c r="A44" s="57"/>
      <c r="B44" s="57"/>
      <c r="C44" s="57"/>
      <c r="D44" s="57" t="str" cm="1">
        <f t="array" ref="D44">IFERROR(
_xlfn.XLOOKUP(1,
(CODE_PRICE!$A$3:$A$1003=$A$8)*
(CODE_PRICE!$B$3:$B$1003=C44),
CODE_PRICE!$C$3:$C$1003
),
"")</f>
        <v/>
      </c>
      <c r="E44" s="58"/>
      <c r="F44" s="58"/>
      <c r="G44" s="59"/>
      <c r="H44" s="60"/>
      <c r="I44" s="58"/>
      <c r="J44" s="61"/>
      <c r="K44" s="62"/>
      <c r="L44" s="63" t="str" cm="1">
        <f t="array" ref="L44">IF(F44="untrim",_xlfn.XLOOKUP(1,(TRIM('SIZE GUIDE'!$A$3:$A$2015)=TRIM(F44))*(TRIM('SIZE GUIDE'!$B$3:$B$2015)=TRIM(G44))*(TRIM('SIZE GUIDE'!$C$3:$C$2015)=TRIM(I44)),'SIZE GUIDE'!$D$3:$D$2015),"")</f>
        <v/>
      </c>
      <c r="M44" s="64"/>
      <c r="N44" s="63"/>
      <c r="O44" s="65"/>
      <c r="P44" s="65" t="str" cm="1">
        <f t="array" ref="P44">IF(F44="trim",IFERROR(INDEX('SIZE GUIDE'!$E:$E,MATCH(1,('SIZE GUIDE'!$A:$A=$F44)*('SIZE GUIDE'!$B:$B=$G44)*('SIZE GUIDE'!$C:$C=$I44),0)),""),"")</f>
        <v/>
      </c>
      <c r="Q44" s="65"/>
      <c r="R44" s="66">
        <f t="shared" si="5"/>
        <v>0</v>
      </c>
      <c r="S44" s="59"/>
      <c r="T44" s="59"/>
      <c r="U44" s="93"/>
      <c r="V44" s="94"/>
      <c r="W44" s="95"/>
      <c r="X44" s="59" t="str">
        <f>IF(OR(E44="",C44=""),"",IF(COUNTIFS($E$17:E44,E44,$C$17:C44,C44)=1,E44&amp;" - "&amp;C44&amp;" - "&amp;SUMIFS($J$17:$J$5002,$E$17:$E$5002,E44,$C$17:$C$5002,C44)&amp;I44&amp;" - "&amp;TEXT(SUMIFS($U$17:$U$5002,$E$17:$E$5002,E44,$C$17:$C$5002,C44),"0.00")&amp;" Bf",""))</f>
        <v/>
      </c>
      <c r="Y44" s="24" t="str">
        <f>IF(COUNTIF($C$17:C44,C44)=1,ROUND(SUMIF($C:$C,C44,$W:$W),2), "")</f>
        <v/>
      </c>
    </row>
    <row r="45" spans="1:25" s="17" customFormat="1" ht="41.25" hidden="1" customHeight="1" x14ac:dyDescent="0.2">
      <c r="A45" s="57"/>
      <c r="B45" s="57"/>
      <c r="C45" s="57"/>
      <c r="D45" s="57" t="str" cm="1">
        <f t="array" ref="D45">IFERROR(
_xlfn.XLOOKUP(1,
(CODE_PRICE!$A$3:$A$1003=$A$8)*
(CODE_PRICE!$B$3:$B$1003=C45),
CODE_PRICE!$C$3:$C$1003
),
"")</f>
        <v/>
      </c>
      <c r="E45" s="58"/>
      <c r="F45" s="58"/>
      <c r="G45" s="59"/>
      <c r="H45" s="60"/>
      <c r="I45" s="58"/>
      <c r="J45" s="61"/>
      <c r="K45" s="62"/>
      <c r="L45" s="63" t="str" cm="1">
        <f t="array" ref="L45">IF(F45="untrim",_xlfn.XLOOKUP(1,(TRIM('SIZE GUIDE'!$A$3:$A$2015)=TRIM(F45))*(TRIM('SIZE GUIDE'!$B$3:$B$2015)=TRIM(G45))*(TRIM('SIZE GUIDE'!$C$3:$C$2015)=TRIM(I45)),'SIZE GUIDE'!$D$3:$D$2015),"")</f>
        <v/>
      </c>
      <c r="M45" s="64"/>
      <c r="N45" s="63"/>
      <c r="O45" s="65"/>
      <c r="P45" s="65" t="str" cm="1">
        <f t="array" ref="P45">IF(F45="trim",IFERROR(INDEX('SIZE GUIDE'!$E:$E,MATCH(1,('SIZE GUIDE'!$A:$A=$F45)*('SIZE GUIDE'!$B:$B=$G45)*('SIZE GUIDE'!$C:$C=$I45),0)),""),"")</f>
        <v/>
      </c>
      <c r="Q45" s="65"/>
      <c r="R45" s="66">
        <f t="shared" si="5"/>
        <v>0</v>
      </c>
      <c r="S45" s="59"/>
      <c r="T45" s="59"/>
      <c r="U45" s="93"/>
      <c r="V45" s="94"/>
      <c r="W45" s="95"/>
      <c r="X45" s="59" t="str">
        <f>IF(OR(E45="",C45=""),"",IF(COUNTIFS($E$17:E45,E45,$C$17:C45,C45)=1,E45&amp;" - "&amp;C45&amp;" - "&amp;SUMIFS($J$17:$J$5002,$E$17:$E$5002,E45,$C$17:$C$5002,C45)&amp;I45&amp;" - "&amp;TEXT(SUMIFS($U$17:$U$5002,$E$17:$E$5002,E45,$C$17:$C$5002,C45),"0.00")&amp;" Bf",""))</f>
        <v/>
      </c>
      <c r="Y45" s="24" t="str">
        <f>IF(COUNTIF($C$17:C45,C45)=1,ROUND(SUMIF($C:$C,C45,$W:$W),2), "")</f>
        <v/>
      </c>
    </row>
    <row r="46" spans="1:25" s="17" customFormat="1" ht="41.25" hidden="1" customHeight="1" x14ac:dyDescent="0.2">
      <c r="A46" s="57"/>
      <c r="B46" s="57"/>
      <c r="C46" s="57"/>
      <c r="D46" s="57" t="str" cm="1">
        <f t="array" ref="D46">IFERROR(
_xlfn.XLOOKUP(1,
(CODE_PRICE!$A$3:$A$1003=$A$8)*
(CODE_PRICE!$B$3:$B$1003=C46),
CODE_PRICE!$C$3:$C$1003
),
"")</f>
        <v/>
      </c>
      <c r="E46" s="58"/>
      <c r="F46" s="58"/>
      <c r="G46" s="59"/>
      <c r="H46" s="60"/>
      <c r="I46" s="58"/>
      <c r="J46" s="61"/>
      <c r="K46" s="62"/>
      <c r="L46" s="63" t="str" cm="1">
        <f t="array" ref="L46">IF(F46="untrim",_xlfn.XLOOKUP(1,(TRIM('SIZE GUIDE'!$A$3:$A$2015)=TRIM(F46))*(TRIM('SIZE GUIDE'!$B$3:$B$2015)=TRIM(G46))*(TRIM('SIZE GUIDE'!$C$3:$C$2015)=TRIM(I46)),'SIZE GUIDE'!$D$3:$D$2015),"")</f>
        <v/>
      </c>
      <c r="M46" s="64"/>
      <c r="N46" s="63"/>
      <c r="O46" s="65"/>
      <c r="P46" s="65" t="str" cm="1">
        <f t="array" ref="P46">IF(F46="trim",IFERROR(INDEX('SIZE GUIDE'!$E:$E,MATCH(1,('SIZE GUIDE'!$A:$A=$F46)*('SIZE GUIDE'!$B:$B=$G46)*('SIZE GUIDE'!$C:$C=$I46),0)),""),"")</f>
        <v/>
      </c>
      <c r="Q46" s="65"/>
      <c r="R46" s="66">
        <f t="shared" si="5"/>
        <v>0</v>
      </c>
      <c r="S46" s="59"/>
      <c r="T46" s="59"/>
      <c r="U46" s="93"/>
      <c r="V46" s="94"/>
      <c r="W46" s="95"/>
      <c r="X46" s="59" t="str">
        <f>IF(OR(E46="",C46=""),"",IF(COUNTIFS($E$17:E46,E46,$C$17:C46,C46)=1,E46&amp;" - "&amp;C46&amp;" - "&amp;SUMIFS($J$17:$J$5002,$E$17:$E$5002,E46,$C$17:$C$5002,C46)&amp;I46&amp;" - "&amp;TEXT(SUMIFS($U$17:$U$5002,$E$17:$E$5002,E46,$C$17:$C$5002,C46),"0.00")&amp;" Bf",""))</f>
        <v/>
      </c>
      <c r="Y46" s="24" t="str">
        <f>IF(COUNTIF($C$17:C46,C46)=1,ROUND(SUMIF($C:$C,C46,$W:$W),2), "")</f>
        <v/>
      </c>
    </row>
    <row r="47" spans="1:25" s="17" customFormat="1" ht="41.25" hidden="1" customHeight="1" x14ac:dyDescent="0.2">
      <c r="A47" s="57"/>
      <c r="B47" s="57"/>
      <c r="C47" s="57"/>
      <c r="D47" s="57" t="str" cm="1">
        <f t="array" ref="D47">IFERROR(
_xlfn.XLOOKUP(1,
(CODE_PRICE!$A$3:$A$1003=$A$8)*
(CODE_PRICE!$B$3:$B$1003=C47),
CODE_PRICE!$C$3:$C$1003
),
"")</f>
        <v/>
      </c>
      <c r="E47" s="58"/>
      <c r="F47" s="58"/>
      <c r="G47" s="59"/>
      <c r="H47" s="60"/>
      <c r="I47" s="58"/>
      <c r="J47" s="61"/>
      <c r="K47" s="62"/>
      <c r="L47" s="63" t="str" cm="1">
        <f t="array" ref="L47">IF(F47="untrim",_xlfn.XLOOKUP(1,(TRIM('SIZE GUIDE'!$A$3:$A$2015)=TRIM(F47))*(TRIM('SIZE GUIDE'!$B$3:$B$2015)=TRIM(G47))*(TRIM('SIZE GUIDE'!$C$3:$C$2015)=TRIM(I47)),'SIZE GUIDE'!$D$3:$D$2015),"")</f>
        <v/>
      </c>
      <c r="M47" s="64"/>
      <c r="N47" s="63"/>
      <c r="O47" s="65"/>
      <c r="P47" s="65" t="str" cm="1">
        <f t="array" ref="P47">IF(F47="trim",IFERROR(INDEX('SIZE GUIDE'!$E:$E,MATCH(1,('SIZE GUIDE'!$A:$A=$F47)*('SIZE GUIDE'!$B:$B=$G47)*('SIZE GUIDE'!$C:$C=$I47),0)),""),"")</f>
        <v/>
      </c>
      <c r="Q47" s="65"/>
      <c r="R47" s="66">
        <f t="shared" si="5"/>
        <v>0</v>
      </c>
      <c r="S47" s="59"/>
      <c r="T47" s="59"/>
      <c r="U47" s="93"/>
      <c r="V47" s="94"/>
      <c r="W47" s="95"/>
      <c r="X47" s="59" t="str">
        <f>IF(OR(E47="",C47=""),"",IF(COUNTIFS($E$17:E47,E47,$C$17:C47,C47)=1,E47&amp;" - "&amp;C47&amp;" - "&amp;SUMIFS($J$17:$J$5002,$E$17:$E$5002,E47,$C$17:$C$5002,C47)&amp;I47&amp;" - "&amp;TEXT(SUMIFS($U$17:$U$5002,$E$17:$E$5002,E47,$C$17:$C$5002,C47),"0.00")&amp;" Bf",""))</f>
        <v/>
      </c>
      <c r="Y47" s="24" t="str">
        <f>IF(COUNTIF($C$17:C47,C47)=1,ROUND(SUMIF($C:$C,C47,$W:$W),2), "")</f>
        <v/>
      </c>
    </row>
    <row r="48" spans="1:25" s="17" customFormat="1" ht="41.25" hidden="1" customHeight="1" x14ac:dyDescent="0.2">
      <c r="A48" s="57"/>
      <c r="B48" s="57"/>
      <c r="C48" s="57"/>
      <c r="D48" s="57" t="str" cm="1">
        <f t="array" ref="D48">IFERROR(
_xlfn.XLOOKUP(1,
(CODE_PRICE!$A$3:$A$1003=$A$8)*
(CODE_PRICE!$B$3:$B$1003=C48),
CODE_PRICE!$C$3:$C$1003
),
"")</f>
        <v/>
      </c>
      <c r="E48" s="58"/>
      <c r="F48" s="58"/>
      <c r="G48" s="59"/>
      <c r="H48" s="60"/>
      <c r="I48" s="58"/>
      <c r="J48" s="61"/>
      <c r="K48" s="62"/>
      <c r="L48" s="63" t="str" cm="1">
        <f t="array" ref="L48">IF(F48="untrim",_xlfn.XLOOKUP(1,(TRIM('SIZE GUIDE'!$A$3:$A$2015)=TRIM(F48))*(TRIM('SIZE GUIDE'!$B$3:$B$2015)=TRIM(G48))*(TRIM('SIZE GUIDE'!$C$3:$C$2015)=TRIM(I48)),'SIZE GUIDE'!$D$3:$D$2015),"")</f>
        <v/>
      </c>
      <c r="M48" s="64"/>
      <c r="N48" s="63"/>
      <c r="O48" s="65"/>
      <c r="P48" s="65" t="str" cm="1">
        <f t="array" ref="P48">IF(F48="trim",IFERROR(INDEX('SIZE GUIDE'!$E:$E,MATCH(1,('SIZE GUIDE'!$A:$A=$F48)*('SIZE GUIDE'!$B:$B=$G48)*('SIZE GUIDE'!$C:$C=$I48),0)),""),"")</f>
        <v/>
      </c>
      <c r="Q48" s="65"/>
      <c r="R48" s="66">
        <f t="shared" si="5"/>
        <v>0</v>
      </c>
      <c r="S48" s="59"/>
      <c r="T48" s="59"/>
      <c r="U48" s="93"/>
      <c r="V48" s="94"/>
      <c r="W48" s="95"/>
      <c r="X48" s="59" t="str">
        <f>IF(OR(E48="",C48=""),"",IF(COUNTIFS($E$17:E48,E48,$C$17:C48,C48)=1,E48&amp;" - "&amp;C48&amp;" - "&amp;SUMIFS($J$17:$J$5002,$E$17:$E$5002,E48,$C$17:$C$5002,C48)&amp;I48&amp;" - "&amp;TEXT(SUMIFS($U$17:$U$5002,$E$17:$E$5002,E48,$C$17:$C$5002,C48),"0.00")&amp;" Bf",""))</f>
        <v/>
      </c>
      <c r="Y48" s="24" t="str">
        <f>IF(COUNTIF($C$17:C48,C48)=1,ROUND(SUMIF($C:$C,C48,$W:$W),2), "")</f>
        <v/>
      </c>
    </row>
    <row r="49" spans="1:25" s="17" customFormat="1" ht="41.25" hidden="1" customHeight="1" x14ac:dyDescent="0.2">
      <c r="A49" s="57"/>
      <c r="B49" s="57"/>
      <c r="C49" s="57"/>
      <c r="D49" s="57" t="str" cm="1">
        <f t="array" ref="D49">IFERROR(
_xlfn.XLOOKUP(1,
(CODE_PRICE!$A$3:$A$1003=$A$8)*
(CODE_PRICE!$B$3:$B$1003=C49),
CODE_PRICE!$C$3:$C$1003
),
"")</f>
        <v/>
      </c>
      <c r="E49" s="58"/>
      <c r="F49" s="58"/>
      <c r="G49" s="59"/>
      <c r="H49" s="60"/>
      <c r="I49" s="58"/>
      <c r="J49" s="61"/>
      <c r="K49" s="62"/>
      <c r="L49" s="63" t="str" cm="1">
        <f t="array" ref="L49">IF(F49="untrim",_xlfn.XLOOKUP(1,(TRIM('SIZE GUIDE'!$A$3:$A$2015)=TRIM(F49))*(TRIM('SIZE GUIDE'!$B$3:$B$2015)=TRIM(G49))*(TRIM('SIZE GUIDE'!$C$3:$C$2015)=TRIM(I49)),'SIZE GUIDE'!$D$3:$D$2015),"")</f>
        <v/>
      </c>
      <c r="M49" s="64"/>
      <c r="N49" s="63"/>
      <c r="O49" s="65"/>
      <c r="P49" s="65" t="str" cm="1">
        <f t="array" ref="P49">IF(F49="trim",IFERROR(INDEX('SIZE GUIDE'!$E:$E,MATCH(1,('SIZE GUIDE'!$A:$A=$F49)*('SIZE GUIDE'!$B:$B=$G49)*('SIZE GUIDE'!$C:$C=$I49),0)),""),"")</f>
        <v/>
      </c>
      <c r="Q49" s="65"/>
      <c r="R49" s="66">
        <f t="shared" si="5"/>
        <v>0</v>
      </c>
      <c r="S49" s="59"/>
      <c r="T49" s="59"/>
      <c r="U49" s="93"/>
      <c r="V49" s="94"/>
      <c r="W49" s="95"/>
      <c r="X49" s="59" t="str">
        <f>IF(OR(E49="",C49=""),"",IF(COUNTIFS($E$17:E49,E49,$C$17:C49,C49)=1,E49&amp;" - "&amp;C49&amp;" - "&amp;SUMIFS($J$17:$J$5002,$E$17:$E$5002,E49,$C$17:$C$5002,C49)&amp;I49&amp;" - "&amp;TEXT(SUMIFS($U$17:$U$5002,$E$17:$E$5002,E49,$C$17:$C$5002,C49),"0.00")&amp;" Bf",""))</f>
        <v/>
      </c>
      <c r="Y49" s="24" t="str">
        <f>IF(COUNTIF($C$17:C49,C49)=1,ROUND(SUMIF($C:$C,C49,$W:$W),2), "")</f>
        <v/>
      </c>
    </row>
    <row r="50" spans="1:25" s="17" customFormat="1" ht="41.25" customHeight="1" thickBot="1" x14ac:dyDescent="0.25">
      <c r="A50" s="53"/>
      <c r="B50" s="53"/>
      <c r="C50" s="53"/>
      <c r="D50" s="53" t="str" cm="1">
        <f t="array" ref="D50">IFERROR(
_xlfn.XLOOKUP(1,
(CODE_PRICE!$A$3:$A$1003=$A$8)*
(CODE_PRICE!$B$3:$B$1003=C50),
CODE_PRICE!$C$3:$C$1003
),
"")</f>
        <v/>
      </c>
      <c r="E50" s="53"/>
      <c r="F50" s="67"/>
      <c r="G50" s="68"/>
      <c r="H50" s="68"/>
      <c r="I50" s="69" t="s">
        <v>155</v>
      </c>
      <c r="J50" s="70">
        <f>SUM(J17:J49)</f>
        <v>10</v>
      </c>
      <c r="K50" s="55"/>
      <c r="L50" s="55"/>
      <c r="M50" s="55"/>
      <c r="N50" s="55"/>
      <c r="O50" s="56"/>
      <c r="P50" s="56"/>
      <c r="Q50" s="56"/>
      <c r="R50" s="67"/>
      <c r="S50" s="67"/>
      <c r="T50" s="67"/>
      <c r="U50" s="96">
        <f>SUM(U17:U49)</f>
        <v>22149</v>
      </c>
      <c r="V50" s="97"/>
      <c r="W50" s="92">
        <f>SUM(W17:W49)</f>
        <v>7092.5100468749997</v>
      </c>
      <c r="X50" s="109"/>
      <c r="Y50" s="109"/>
    </row>
    <row r="51" spans="1:25" s="17" customFormat="1" ht="41.25" customHeight="1" x14ac:dyDescent="0.2">
      <c r="A51" s="57"/>
      <c r="B51" s="71"/>
      <c r="C51" s="71"/>
      <c r="D51" s="156" t="str" cm="1">
        <f t="array" ref="D51">IFERROR(
_xlfn.XLOOKUP(1,
(CODE_PRICE!$A$3:$A$1003=$A$8)*
(CODE_PRICE!$B$3:$B$1003=C51),
CODE_PRICE!$C$3:$C$1003
),
"")</f>
        <v/>
      </c>
      <c r="E51" s="72"/>
      <c r="F51" s="72"/>
      <c r="G51" s="73"/>
      <c r="H51" s="74"/>
      <c r="I51" s="75" t="s">
        <v>156</v>
      </c>
      <c r="J51" s="76"/>
      <c r="K51" s="77"/>
      <c r="L51" s="78"/>
      <c r="M51" s="79"/>
      <c r="N51" s="78"/>
      <c r="O51" s="78"/>
      <c r="P51" s="78"/>
      <c r="Q51" s="78"/>
      <c r="R51" s="80"/>
      <c r="S51" s="80"/>
      <c r="T51" s="80"/>
      <c r="U51" s="81"/>
      <c r="V51" s="82"/>
      <c r="W51" s="83">
        <v>900</v>
      </c>
      <c r="X51" s="19"/>
      <c r="Y51" s="25"/>
    </row>
    <row r="52" spans="1:25" s="17" customFormat="1" ht="41.25" customHeight="1" thickBot="1" x14ac:dyDescent="0.25">
      <c r="A52" s="53"/>
      <c r="B52" s="53"/>
      <c r="C52" s="68"/>
      <c r="D52" s="68" t="str" cm="1">
        <f t="array" ref="D52">IFERROR(
_xlfn.XLOOKUP(1,
(CODE_PRICE!$A$3:$A$1003=$A$8)*
(CODE_PRICE!$B$3:$B$1003=C52),
CODE_PRICE!$C$3:$C$1003
),
"")</f>
        <v/>
      </c>
      <c r="E52" s="67"/>
      <c r="F52" s="67"/>
      <c r="G52" s="67"/>
      <c r="H52" s="67"/>
      <c r="I52" s="69" t="s">
        <v>162</v>
      </c>
      <c r="J52" s="70">
        <f>J50</f>
        <v>10</v>
      </c>
      <c r="K52" s="55"/>
      <c r="L52" s="55"/>
      <c r="M52" s="55"/>
      <c r="N52" s="55"/>
      <c r="O52" s="56"/>
      <c r="P52" s="56"/>
      <c r="Q52" s="56"/>
      <c r="R52" s="67"/>
      <c r="S52" s="67"/>
      <c r="T52" s="67"/>
      <c r="U52" s="96">
        <f>U50</f>
        <v>22149</v>
      </c>
      <c r="V52" s="97"/>
      <c r="W52" s="92">
        <f>+W50+W51</f>
        <v>7992.5100468749997</v>
      </c>
      <c r="X52" s="109"/>
      <c r="Y52" s="109"/>
    </row>
    <row r="53" spans="1:25" ht="15" customHeight="1" x14ac:dyDescent="0.25">
      <c r="A53" s="48"/>
      <c r="B53" s="48"/>
      <c r="C53" s="48"/>
      <c r="D53" s="48"/>
      <c r="E53" s="48"/>
      <c r="F53" s="48"/>
      <c r="G53" s="84"/>
      <c r="H53" s="48"/>
      <c r="I53" s="85"/>
      <c r="J53" s="85"/>
      <c r="K53" s="8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89"/>
    </row>
    <row r="54" spans="1:25" ht="15" customHeight="1" x14ac:dyDescent="0.25">
      <c r="A54" s="48" t="s">
        <v>153</v>
      </c>
      <c r="B54" s="48"/>
      <c r="C54" s="48"/>
      <c r="D54" s="48"/>
      <c r="E54" s="48"/>
      <c r="F54" s="48"/>
      <c r="G54" s="84"/>
      <c r="H54" s="48"/>
      <c r="I54" s="85"/>
      <c r="J54" s="85"/>
      <c r="K54" s="8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89"/>
    </row>
    <row r="55" spans="1:25" ht="15" customHeight="1" x14ac:dyDescent="0.25">
      <c r="A55" s="48"/>
      <c r="B55" s="48"/>
      <c r="C55" s="48"/>
      <c r="D55" s="48"/>
      <c r="E55" s="48"/>
      <c r="F55" s="48"/>
      <c r="G55" s="84"/>
      <c r="H55" s="48"/>
      <c r="I55" s="85"/>
      <c r="J55" s="85"/>
      <c r="K55" s="85"/>
      <c r="L55" s="35"/>
      <c r="M55" s="35"/>
      <c r="O55" s="35"/>
      <c r="P55" s="35"/>
      <c r="Q55" s="35"/>
      <c r="R55" s="35"/>
      <c r="S55" s="35"/>
      <c r="T55" s="35"/>
      <c r="U55" s="35"/>
      <c r="V55" s="35"/>
      <c r="W55" s="89"/>
    </row>
    <row r="56" spans="1:25" ht="15" customHeight="1" x14ac:dyDescent="0.25">
      <c r="A56" s="48" t="s">
        <v>154</v>
      </c>
      <c r="B56" s="48"/>
      <c r="C56" s="48"/>
      <c r="D56" s="48"/>
      <c r="E56" s="48"/>
      <c r="F56" s="48"/>
      <c r="G56" s="84"/>
      <c r="H56" s="48"/>
      <c r="I56" s="85"/>
      <c r="J56" s="85"/>
      <c r="K56" s="85"/>
      <c r="L56" s="35"/>
      <c r="M56" s="35"/>
      <c r="O56" s="35"/>
      <c r="P56" s="35"/>
      <c r="Q56" s="35"/>
      <c r="R56" s="35"/>
      <c r="S56" s="35"/>
      <c r="T56" s="35"/>
      <c r="U56" s="35"/>
      <c r="V56" s="35"/>
      <c r="W56" s="89"/>
    </row>
    <row r="57" spans="1:25" ht="15" customHeight="1" x14ac:dyDescent="0.25">
      <c r="A57" s="48"/>
      <c r="B57" s="48"/>
      <c r="C57" s="48"/>
      <c r="D57" s="48"/>
      <c r="E57" s="48"/>
      <c r="F57" s="48"/>
      <c r="G57" s="84"/>
      <c r="H57" s="48"/>
      <c r="I57" s="85"/>
      <c r="J57" s="85"/>
      <c r="K57" s="85"/>
      <c r="L57" s="35"/>
      <c r="M57" s="35"/>
      <c r="O57" s="35"/>
      <c r="P57" s="35"/>
      <c r="Q57" s="35"/>
      <c r="R57" s="35"/>
      <c r="S57" s="35"/>
      <c r="T57" s="35"/>
      <c r="U57" s="35"/>
      <c r="V57" s="35"/>
      <c r="W57" s="89"/>
    </row>
    <row r="58" spans="1:25" ht="15" customHeight="1" x14ac:dyDescent="0.25">
      <c r="A58" s="48"/>
      <c r="B58" s="48"/>
      <c r="C58" s="48"/>
      <c r="D58" s="48"/>
      <c r="E58" s="48"/>
      <c r="F58" s="48"/>
      <c r="G58" s="84"/>
      <c r="H58" s="48"/>
      <c r="I58" s="85"/>
      <c r="J58" s="85"/>
      <c r="K58" s="85"/>
      <c r="L58" s="35"/>
      <c r="M58" s="35"/>
      <c r="O58" s="35"/>
      <c r="P58" s="35"/>
      <c r="Q58" s="35"/>
      <c r="R58" s="35"/>
      <c r="S58" s="35"/>
      <c r="T58" s="35"/>
      <c r="U58" s="35"/>
      <c r="V58" s="35"/>
      <c r="W58" s="89"/>
    </row>
    <row r="59" spans="1:25" ht="15" customHeight="1" x14ac:dyDescent="0.25">
      <c r="A59" s="86"/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5"/>
      <c r="M59" s="35"/>
      <c r="O59" s="35"/>
      <c r="P59" s="35"/>
      <c r="Q59" s="35"/>
      <c r="R59" s="35"/>
      <c r="S59" s="35"/>
      <c r="T59" s="35"/>
      <c r="U59" s="35"/>
      <c r="V59" s="35"/>
      <c r="W59" s="89"/>
    </row>
    <row r="60" spans="1:25" ht="15" customHeight="1" x14ac:dyDescent="0.25">
      <c r="A60" s="86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5"/>
      <c r="M60" s="35"/>
      <c r="O60" s="35"/>
      <c r="P60" s="35"/>
      <c r="Q60" s="35"/>
      <c r="R60" s="35"/>
      <c r="S60" s="35"/>
      <c r="T60" s="35"/>
      <c r="U60" s="35"/>
      <c r="V60" s="35"/>
      <c r="W60" s="89"/>
    </row>
  </sheetData>
  <mergeCells count="5">
    <mergeCell ref="A7:F7"/>
    <mergeCell ref="G7:H7"/>
    <mergeCell ref="S9:T9"/>
    <mergeCell ref="B59:K59"/>
    <mergeCell ref="B60:K60"/>
  </mergeCells>
  <conditionalFormatting sqref="C27:D27">
    <cfRule type="containsText" dxfId="5" priority="1" operator="containsText" text="CFN50180W">
      <formula>NOT(ISERROR(SEARCH(("CFN50180W"),(C27))))</formula>
    </cfRule>
    <cfRule type="containsText" dxfId="4" priority="2" operator="containsText" text="CFN17138W">
      <formula>NOT(ISERROR(SEARCH(("CFN17138W"),(C27))))</formula>
    </cfRule>
    <cfRule type="containsText" dxfId="3" priority="3" operator="containsText" text="CFN39180W">
      <formula>NOT(ISERROR(SEARCH(("CFN39180W"),(C27))))</formula>
    </cfRule>
    <cfRule type="containsText" dxfId="2" priority="4" operator="containsText" text="CFN34150">
      <formula>NOT(ISERROR(SEARCH(("CFN34150"),(C27))))</formula>
    </cfRule>
    <cfRule type="containsText" dxfId="1" priority="5" operator="containsText" text="CFN50131">
      <formula>NOT(ISERROR(SEARCH(("CFN50131"),(C27))))</formula>
    </cfRule>
    <cfRule type="containsText" dxfId="0" priority="6" operator="containsText" text="CFN30100W">
      <formula>NOT(ISERROR(SEARCH(("CFN30100W"),(C27))))</formula>
    </cfRule>
  </conditionalFormatting>
  <pageMargins left="0" right="0" top="1" bottom="1" header="0.511811023622047" footer="0.511811023622047"/>
  <pageSetup scale="46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xr:uid="{1B8B6F7A-38C3-4216-AD56-37B36EAE0846}">
          <x14:formula1>
            <xm:f>CODE_MASTER_AS!$A$3:$A$14</xm:f>
          </x14:formula1>
          <xm:sqref>G50:H50 C28:C49 C51:C52 D17:D52 C17:C26</xm:sqref>
        </x14:dataValidation>
        <x14:dataValidation type="list" allowBlank="1" xr:uid="{A6BAE87D-49E9-4C2B-A4E9-7FFFE4951BCD}">
          <x14:formula1>
            <xm:f>'SIZE GUIDE'!$A$3:$A$38</xm:f>
          </x14:formula1>
          <xm:sqref>F17:F52</xm:sqref>
        </x14:dataValidation>
        <x14:dataValidation type="list" allowBlank="1" xr:uid="{3FC13FAF-5BAF-427F-8B18-D99FCFB9C981}">
          <x14:formula1>
            <xm:f>LISTS!$B$2:$B$8</xm:f>
          </x14:formula1>
          <x14:formula2>
            <xm:f>0</xm:f>
          </x14:formula2>
          <xm:sqref>I17:I52</xm:sqref>
        </x14:dataValidation>
        <x14:dataValidation type="list" allowBlank="1" showInputMessage="1" showErrorMessage="1" xr:uid="{226543A5-B83D-4F73-9543-FD514BCB2756}">
          <x14:formula1>
            <xm:f>'SIZE GUIDE'!$B:$B</xm:f>
          </x14:formula1>
          <xm:sqref>H50 G17:G52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F160B-E4F6-4F57-8C63-3FFB75EE124D}">
  <sheetPr codeName="Sheet34">
    <pageSetUpPr fitToPage="1"/>
  </sheetPr>
  <dimension ref="A1:Y37"/>
  <sheetViews>
    <sheetView showGridLines="0" view="pageBreakPreview" topLeftCell="A6" zoomScale="89" zoomScaleNormal="68" zoomScaleSheetLayoutView="89" workbookViewId="0">
      <selection activeCell="AC24" sqref="AC24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22.83203125" style="16" customWidth="1"/>
    <col min="4" max="4" width="15.1640625" style="16" hidden="1" customWidth="1"/>
    <col min="5" max="5" width="16.83203125" style="16" customWidth="1"/>
    <col min="6" max="6" width="11.83203125" style="16" hidden="1" customWidth="1"/>
    <col min="7" max="7" width="19.6640625" style="16" customWidth="1"/>
    <col min="8" max="8" width="10.6640625" style="16" customWidth="1"/>
    <col min="9" max="9" width="11.33203125" style="16" customWidth="1"/>
    <col min="10" max="16" width="10.6640625" style="16" hidden="1" customWidth="1"/>
    <col min="17" max="19" width="10.6640625" style="16" customWidth="1"/>
    <col min="20" max="21" width="14.6640625" style="16" customWidth="1"/>
    <col min="22" max="22" width="14.6640625" style="98" customWidth="1"/>
    <col min="23" max="23" width="39.83203125" style="16" hidden="1" customWidth="1"/>
    <col min="24" max="24" width="18.33203125" style="23" hidden="1" customWidth="1"/>
    <col min="25" max="28" width="8.6640625" style="16" customWidth="1"/>
    <col min="29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9"/>
      <c r="K1" s="29"/>
      <c r="L1" s="29"/>
      <c r="M1" s="29"/>
      <c r="N1" s="27"/>
      <c r="O1" s="27"/>
      <c r="P1" s="121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30"/>
      <c r="K2" s="31"/>
      <c r="L2" s="29"/>
      <c r="M2" s="32" t="s">
        <v>161</v>
      </c>
      <c r="N2" s="27"/>
      <c r="O2" s="27"/>
      <c r="P2" s="28" t="s">
        <v>160</v>
      </c>
      <c r="R2" s="20"/>
      <c r="S2" s="21"/>
      <c r="U2" s="13"/>
      <c r="V2" s="20" t="s">
        <v>151</v>
      </c>
      <c r="W2" s="20"/>
      <c r="X2" s="22"/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37"/>
      <c r="K3" s="37"/>
      <c r="L3" s="37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37"/>
      <c r="K4" s="37"/>
      <c r="L4" s="37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37"/>
      <c r="K5" s="37"/>
      <c r="L5" s="37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37"/>
      <c r="K6" s="37"/>
      <c r="L6" s="37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6" t="s">
        <v>143</v>
      </c>
      <c r="B7" s="316"/>
      <c r="C7" s="316"/>
      <c r="D7" s="316"/>
      <c r="E7" s="316"/>
      <c r="F7" s="316"/>
      <c r="G7" s="316"/>
      <c r="H7" s="35"/>
      <c r="I7" s="35"/>
      <c r="J7" s="37"/>
      <c r="K7" s="37"/>
      <c r="L7" s="37"/>
      <c r="M7" s="37"/>
      <c r="N7" s="38"/>
      <c r="O7" s="38"/>
      <c r="P7" s="38"/>
      <c r="Q7" s="43" t="s">
        <v>147</v>
      </c>
      <c r="R7" s="43"/>
      <c r="S7" s="43"/>
      <c r="T7" s="43"/>
      <c r="U7" s="43"/>
      <c r="V7" s="43" t="s">
        <v>148</v>
      </c>
      <c r="W7" s="43"/>
      <c r="X7" s="43"/>
    </row>
    <row r="8" spans="1:24" ht="15" customHeight="1" x14ac:dyDescent="0.25">
      <c r="A8" s="44" t="s">
        <v>207</v>
      </c>
      <c r="B8" s="45"/>
      <c r="C8" s="45"/>
      <c r="D8" s="46"/>
      <c r="E8" s="46"/>
      <c r="F8" s="36"/>
      <c r="G8" s="46"/>
      <c r="H8" s="35"/>
      <c r="I8" s="35"/>
      <c r="J8" s="37"/>
      <c r="K8" s="37"/>
      <c r="L8" s="37"/>
      <c r="M8" s="37"/>
      <c r="N8" s="38"/>
      <c r="O8" s="38"/>
      <c r="P8" s="38"/>
      <c r="Q8" s="105" t="s">
        <v>322</v>
      </c>
      <c r="R8" s="87"/>
      <c r="S8" s="106"/>
      <c r="T8" s="46"/>
      <c r="U8" s="107"/>
      <c r="V8" s="108">
        <v>46219</v>
      </c>
      <c r="W8" s="13"/>
      <c r="X8" s="22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37"/>
      <c r="K9" s="37"/>
      <c r="L9" s="37"/>
      <c r="M9" s="37"/>
      <c r="N9" s="38"/>
      <c r="O9" s="38"/>
      <c r="P9" s="38"/>
      <c r="Q9" s="86"/>
      <c r="R9" s="320"/>
      <c r="S9" s="320"/>
      <c r="T9" s="46"/>
      <c r="U9" s="107"/>
      <c r="V9" s="33"/>
      <c r="W9" s="13"/>
      <c r="X9" s="22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37"/>
      <c r="K10" s="37"/>
      <c r="L10" s="37"/>
      <c r="M10" s="37"/>
      <c r="N10" s="38"/>
      <c r="O10" s="38"/>
      <c r="P10" s="38"/>
      <c r="Q10" s="42" t="s">
        <v>149</v>
      </c>
      <c r="R10" s="43"/>
      <c r="S10" s="43"/>
      <c r="T10" s="43"/>
      <c r="U10" s="43"/>
      <c r="V10" s="43" t="s">
        <v>150</v>
      </c>
      <c r="W10" s="43"/>
      <c r="X10" s="43"/>
    </row>
    <row r="11" spans="1:24" ht="15" customHeight="1" x14ac:dyDescent="0.25">
      <c r="A11" s="188" t="s">
        <v>288</v>
      </c>
      <c r="B11" s="34"/>
      <c r="C11" s="35"/>
      <c r="D11" s="35"/>
      <c r="E11" s="46"/>
      <c r="F11" s="46"/>
      <c r="G11" s="46"/>
      <c r="H11" s="35"/>
      <c r="I11" s="35"/>
      <c r="J11" s="37"/>
      <c r="K11" s="37"/>
      <c r="L11" s="37"/>
      <c r="M11" s="37"/>
      <c r="N11" s="38"/>
      <c r="O11" s="38"/>
      <c r="P11" s="38"/>
      <c r="Q11" s="105" t="s">
        <v>321</v>
      </c>
      <c r="R11" s="86"/>
      <c r="S11" s="86"/>
      <c r="T11" s="46"/>
      <c r="U11" s="107"/>
      <c r="V11" s="86"/>
      <c r="W11" s="13"/>
      <c r="X11" s="22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37"/>
      <c r="K12" s="37"/>
      <c r="L12" s="37"/>
      <c r="M12" s="37"/>
      <c r="N12" s="38"/>
      <c r="O12" s="38"/>
      <c r="P12" s="38"/>
      <c r="Q12" s="48"/>
      <c r="R12" s="48"/>
      <c r="S12" s="48"/>
      <c r="T12" s="48"/>
      <c r="U12" s="47"/>
      <c r="V12" s="49"/>
      <c r="W12" s="13"/>
      <c r="X12" s="22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5"/>
      <c r="K13" s="50"/>
      <c r="L13" s="50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17" customFormat="1" ht="41.25" customHeight="1" x14ac:dyDescent="0.2">
      <c r="A14" s="53" t="s">
        <v>158</v>
      </c>
      <c r="B14" s="53" t="s">
        <v>0</v>
      </c>
      <c r="C14" s="53" t="s">
        <v>1</v>
      </c>
      <c r="D14" s="54" t="s">
        <v>135</v>
      </c>
      <c r="E14" s="54" t="s">
        <v>157</v>
      </c>
      <c r="F14" s="54" t="s">
        <v>3</v>
      </c>
      <c r="G14" s="54" t="s">
        <v>152</v>
      </c>
      <c r="H14" s="54" t="s">
        <v>105</v>
      </c>
      <c r="I14" s="54" t="s">
        <v>5</v>
      </c>
      <c r="J14" s="55" t="s">
        <v>64</v>
      </c>
      <c r="K14" s="55" t="s">
        <v>136</v>
      </c>
      <c r="L14" s="55" t="s">
        <v>24</v>
      </c>
      <c r="M14" s="55" t="s">
        <v>108</v>
      </c>
      <c r="N14" s="56" t="s">
        <v>136</v>
      </c>
      <c r="O14" s="56" t="s">
        <v>24</v>
      </c>
      <c r="P14" s="122" t="s">
        <v>108</v>
      </c>
      <c r="Q14" s="54" t="s">
        <v>136</v>
      </c>
      <c r="R14" s="54" t="s">
        <v>24</v>
      </c>
      <c r="S14" s="54" t="s">
        <v>108</v>
      </c>
      <c r="T14" s="90" t="s">
        <v>159</v>
      </c>
      <c r="U14" s="91" t="s">
        <v>6</v>
      </c>
      <c r="V14" s="92" t="s">
        <v>7</v>
      </c>
      <c r="W14" s="53" t="s">
        <v>140</v>
      </c>
      <c r="X14" s="26" t="s">
        <v>141</v>
      </c>
    </row>
    <row r="15" spans="1:24" s="17" customFormat="1" ht="36" customHeight="1" x14ac:dyDescent="0.2">
      <c r="A15" s="57">
        <v>1</v>
      </c>
      <c r="B15" s="57" t="str" cm="1">
        <f t="array" ref="B15">_xlfn.LET(_xlpm.r,_xlfn.XLOOKUP(1,
(TRIM(CODE_PRICE!$A$4:$A$2003)=TRIM($C$4))*
(TRIM(CODE_PRICE!$B$4:$B$2003)=TRIM(C15)),
CODE_PRICE!$C$4:$C$2003,
""),
IF(OR(_xlpm.r="",_xlpm.r=0),"",_xlpm.r))</f>
        <v/>
      </c>
      <c r="C15" s="57" t="s">
        <v>89</v>
      </c>
      <c r="D15" s="58" t="str">
        <f>_xlfn.XLOOKUP(B15,CODE_PRICE!C:C,CODE_PRICE!D:D,"")</f>
        <v/>
      </c>
      <c r="E15" s="58" t="s">
        <v>11</v>
      </c>
      <c r="F15" s="59" t="s">
        <v>213</v>
      </c>
      <c r="G15" s="60" t="str">
        <f>IF(COUNTIFS($C$15:C15,C15,$H$15:H15,H15)=1,
SUMIFS($I$15:$I$26,$C$15:$C$26,C15,$H$15:$H$26,H15)&amp;H15&amp;" "&amp;C15,
"")</f>
        <v>10S2 CFN30100W</v>
      </c>
      <c r="H15" s="58" t="s">
        <v>226</v>
      </c>
      <c r="I15" s="61">
        <v>1</v>
      </c>
      <c r="J15" s="158"/>
      <c r="K15" s="158" cm="1">
        <f t="array" ref="K15">IF(E15="untrim",_xlfn.XLOOKUP(1,(TRIM('SIZE GUIDE'!$A$3:$A$2015)=TRIM(E15))*(TRIM('SIZE GUIDE'!$B$3:$B$2015)=TRIM(F15))*(TRIM('SIZE GUIDE'!$C$3:$C$2015)=TRIM(H15)),'SIZE GUIDE'!$D$3:$D$2015),"")</f>
        <v>100</v>
      </c>
      <c r="L15" s="168" cm="1">
        <f t="array" ref="L15">IF(E15="untrim",IFERROR(INDEX('SIZE GUIDE'!$E:$E,MATCH(1,('SIZE GUIDE'!$A:$A=$E15)*('SIZE GUIDE'!$B:$B=$F15)*('SIZE GUIDE'!$C:$C=$H15),0)),""),"")</f>
        <v>76</v>
      </c>
      <c r="M15" s="158">
        <v>39</v>
      </c>
      <c r="N15" s="65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65" t="str" cm="1">
        <f t="array" ref="O15">IF(E15="trim",IFERROR(INDEX('SIZE GUIDE'!$E:$E,MATCH(1,('SIZE GUIDE'!$A:$A=$E15)*('SIZE GUIDE'!$B:$B=$F15)*('SIZE GUIDE'!$C:$C=$H15),0)),""),"")</f>
        <v/>
      </c>
      <c r="P15" s="65"/>
      <c r="Q15" s="258">
        <v>100</v>
      </c>
      <c r="R15" s="258">
        <v>76</v>
      </c>
      <c r="S15" s="258">
        <f>IF(E15="untrim",M15-0.5,P15-0.5)</f>
        <v>38.5</v>
      </c>
      <c r="T15" s="93">
        <f>IFERROR(Q15*R15*S15/144*I15,"")</f>
        <v>2031.9444444444443</v>
      </c>
      <c r="U15" s="94">
        <f>SUMIFS(CODE_PRICE!F:F,CODE_PRICE!B:B,C15,CODE_PRICE!A:A,$A$8)</f>
        <v>0.1968</v>
      </c>
      <c r="V15" s="95">
        <f>T15*U15</f>
        <v>399.88666666666666</v>
      </c>
      <c r="W15" s="102" t="str">
        <f>IF(COUNTIF($C$15:C15,C15)=1,C15 &amp; " - " &amp; TEXT(SUMIF($C:$C,C15,$T:$T),"0.00"),"")</f>
        <v>CFN30100W - 26872.32</v>
      </c>
      <c r="X15" s="103">
        <f>IF(COUNTIF($C$15:C15,C15)=1,ROUND(SUMIF($C:$C,C15,$V:$V),2), "")</f>
        <v>5288.47</v>
      </c>
    </row>
    <row r="16" spans="1:24" s="17" customFormat="1" ht="36" customHeight="1" x14ac:dyDescent="0.2">
      <c r="A16" s="57">
        <f>A15+1</f>
        <v>2</v>
      </c>
      <c r="B16" s="57" t="str" cm="1">
        <f t="array" ref="B16">_xlfn.LET(_xlpm.r,_xlfn.XLOOKUP(1,
(TRIM(CODE_PRICE!$A$4:$A$2003)=TRIM($C$4))*
(TRIM(CODE_PRICE!$B$4:$B$2003)=TRIM(C16)),
CODE_PRICE!$C$4:$C$2003,
""),
IF(OR(_xlpm.r="",_xlpm.r=0),"",_xlpm.r))</f>
        <v/>
      </c>
      <c r="C16" s="57" t="s">
        <v>89</v>
      </c>
      <c r="D16" s="58" t="str">
        <f>_xlfn.XLOOKUP(B16,CODE_PRICE!C:C,CODE_PRICE!D:D,"")</f>
        <v/>
      </c>
      <c r="E16" s="58" t="s">
        <v>11</v>
      </c>
      <c r="F16" s="59" t="s">
        <v>213</v>
      </c>
      <c r="G16" s="60" t="str">
        <f>IF(COUNTIFS($C$15:C16,C16,$H$15:H16,H16)=1,
SUMIFS($I$15:$I$26,$C$15:$C$26,C16,$H$15:$H$26,H16)&amp;H16&amp;" "&amp;C16,
"")</f>
        <v/>
      </c>
      <c r="H16" s="58" t="s">
        <v>226</v>
      </c>
      <c r="I16" s="61">
        <v>1</v>
      </c>
      <c r="J16" s="158"/>
      <c r="K16" s="158" cm="1">
        <f t="array" ref="K16">IF(E16="untrim",_xlfn.XLOOKUP(1,(TRIM('SIZE GUIDE'!$A$3:$A$2015)=TRIM(E16))*(TRIM('SIZE GUIDE'!$B$3:$B$2015)=TRIM(F16))*(TRIM('SIZE GUIDE'!$C$3:$C$2015)=TRIM(H16)),'SIZE GUIDE'!$D$3:$D$2015),"")</f>
        <v>100</v>
      </c>
      <c r="L16" s="168" cm="1">
        <f t="array" ref="L16">IF(E16="untrim",IFERROR(INDEX('SIZE GUIDE'!$E:$E,MATCH(1,('SIZE GUIDE'!$A:$A=$E16)*('SIZE GUIDE'!$B:$B=$F16)*('SIZE GUIDE'!$C:$C=$H16),0)),""),"")</f>
        <v>76</v>
      </c>
      <c r="M16" s="158">
        <v>38</v>
      </c>
      <c r="N16" s="65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65" t="str" cm="1">
        <f t="array" ref="O16">IF(E16="trim",IFERROR(INDEX('SIZE GUIDE'!$E:$E,MATCH(1,('SIZE GUIDE'!$A:$A=$E16)*('SIZE GUIDE'!$B:$B=$F16)*('SIZE GUIDE'!$C:$C=$H16),0)),""),"")</f>
        <v/>
      </c>
      <c r="P16" s="65"/>
      <c r="Q16" s="258">
        <f t="shared" ref="Q16:R24" si="0">K16</f>
        <v>100</v>
      </c>
      <c r="R16" s="258">
        <f t="shared" si="0"/>
        <v>76</v>
      </c>
      <c r="S16" s="258">
        <f>IF(E16="untrim",M16-0.5,P16-0.5)</f>
        <v>37.5</v>
      </c>
      <c r="T16" s="93">
        <f t="shared" ref="T16:T24" si="1">IFERROR(Q16*R16*S16/144*I16,"")</f>
        <v>1979.1666666666667</v>
      </c>
      <c r="U16" s="94">
        <f>SUMIFS(CODE_PRICE!F:F,CODE_PRICE!B:B,C16,CODE_PRICE!A:A,$A$8)</f>
        <v>0.1968</v>
      </c>
      <c r="V16" s="95">
        <f t="shared" ref="V16:V24" si="2">T16*U16</f>
        <v>389.5</v>
      </c>
      <c r="W16" s="102" t="str">
        <f>IF(COUNTIF($C$15:C16,C16)=1,C16 &amp; " - " &amp; TEXT(SUMIF($C:$C,C16,$T:$T),"0.00"),"")</f>
        <v/>
      </c>
      <c r="X16" s="103" t="str">
        <f>IF(COUNTIF($C$15:C16,C16)=1,ROUND(SUMIF($C:$C,C16,$V:$V),2), "")</f>
        <v/>
      </c>
    </row>
    <row r="17" spans="1:24" s="17" customFormat="1" ht="36" customHeight="1" x14ac:dyDescent="0.2">
      <c r="A17" s="57">
        <f t="shared" ref="A17:A23" si="3">A16+1</f>
        <v>3</v>
      </c>
      <c r="B17" s="57" t="str" cm="1">
        <f t="array" ref="B17">_xlfn.LET(_xlpm.r,_xlfn.XLOOKUP(1,
(TRIM(CODE_PRICE!$A$4:$A$2003)=TRIM($C$4))*
(TRIM(CODE_PRICE!$B$4:$B$2003)=TRIM(C17)),
CODE_PRICE!$C$4:$C$2003,
""),
IF(OR(_xlpm.r="",_xlpm.r=0),"",_xlpm.r))</f>
        <v/>
      </c>
      <c r="C17" s="57" t="s">
        <v>89</v>
      </c>
      <c r="D17" s="58" t="str">
        <f>_xlfn.XLOOKUP(B17,CODE_PRICE!C:C,CODE_PRICE!D:D,"")</f>
        <v/>
      </c>
      <c r="E17" s="58" t="s">
        <v>11</v>
      </c>
      <c r="F17" s="59" t="s">
        <v>213</v>
      </c>
      <c r="G17" s="60" t="str">
        <f>IF(COUNTIFS($C$15:C17,C17,$H$15:H17,H17)=1,
SUMIFS($I$15:$I$26,$C$15:$C$26,C17,$H$15:$H$26,H17)&amp;H17&amp;" "&amp;C17,
"")</f>
        <v/>
      </c>
      <c r="H17" s="58" t="s">
        <v>226</v>
      </c>
      <c r="I17" s="61">
        <v>1</v>
      </c>
      <c r="J17" s="158"/>
      <c r="K17" s="158" cm="1">
        <f t="array" ref="K17">IF(E17="untrim",_xlfn.XLOOKUP(1,(TRIM('SIZE GUIDE'!$A$3:$A$2015)=TRIM(E17))*(TRIM('SIZE GUIDE'!$B$3:$B$2015)=TRIM(F17))*(TRIM('SIZE GUIDE'!$C$3:$C$2015)=TRIM(H17)),'SIZE GUIDE'!$D$3:$D$2015),"")</f>
        <v>100</v>
      </c>
      <c r="L17" s="168" cm="1">
        <f t="array" ref="L17">IF(E17="untrim",IFERROR(INDEX('SIZE GUIDE'!$E:$E,MATCH(1,('SIZE GUIDE'!$A:$A=$E17)*('SIZE GUIDE'!$B:$B=$F17)*('SIZE GUIDE'!$C:$C=$H17),0)),""),"")</f>
        <v>76</v>
      </c>
      <c r="M17" s="158">
        <v>39.5</v>
      </c>
      <c r="N17" s="65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65" t="str" cm="1">
        <f t="array" ref="O17">IF(E17="trim",IFERROR(INDEX('SIZE GUIDE'!$E:$E,MATCH(1,('SIZE GUIDE'!$A:$A=$E17)*('SIZE GUIDE'!$B:$B=$F17)*('SIZE GUIDE'!$C:$C=$H17),0)),""),"")</f>
        <v/>
      </c>
      <c r="P17" s="65"/>
      <c r="Q17" s="258">
        <f t="shared" si="0"/>
        <v>100</v>
      </c>
      <c r="R17" s="258">
        <f t="shared" si="0"/>
        <v>76</v>
      </c>
      <c r="S17" s="258">
        <f>IF(E17="untrim",M17-0.5,P17-0.5)</f>
        <v>39</v>
      </c>
      <c r="T17" s="93">
        <f t="shared" si="1"/>
        <v>2058.3333333333335</v>
      </c>
      <c r="U17" s="94">
        <f>SUMIFS(CODE_PRICE!F:F,CODE_PRICE!B:B,C17,CODE_PRICE!A:A,$A$8)</f>
        <v>0.1968</v>
      </c>
      <c r="V17" s="95">
        <f t="shared" si="2"/>
        <v>405.08000000000004</v>
      </c>
      <c r="W17" s="102" t="str">
        <f>IF(COUNTIF($C$15:C17,C17)=1,C17 &amp; " - " &amp; TEXT(SUMIF($C:$C,C17,$T:$T),"0.00"),"")</f>
        <v/>
      </c>
      <c r="X17" s="103" t="str">
        <f>IF(COUNTIF($C$15:C17,C17)=1,ROUND(SUMIF($C:$C,C17,$V:$V),2), "")</f>
        <v/>
      </c>
    </row>
    <row r="18" spans="1:24" s="17" customFormat="1" ht="36" customHeight="1" x14ac:dyDescent="0.2">
      <c r="A18" s="57">
        <f t="shared" si="3"/>
        <v>4</v>
      </c>
      <c r="B18" s="57" t="str" cm="1">
        <f t="array" ref="B18">_xlfn.LET(_xlpm.r,_xlfn.XLOOKUP(1,
(TRIM(CODE_PRICE!$A$4:$A$2003)=TRIM($C$4))*
(TRIM(CODE_PRICE!$B$4:$B$2003)=TRIM(C18)),
CODE_PRICE!$C$4:$C$2003,
""),
IF(OR(_xlpm.r="",_xlpm.r=0),"",_xlpm.r))</f>
        <v/>
      </c>
      <c r="C18" s="57" t="s">
        <v>89</v>
      </c>
      <c r="D18" s="58" t="str">
        <f>_xlfn.XLOOKUP(B18,CODE_PRICE!C:C,CODE_PRICE!D:D,"")</f>
        <v/>
      </c>
      <c r="E18" s="58" t="s">
        <v>11</v>
      </c>
      <c r="F18" s="59" t="s">
        <v>213</v>
      </c>
      <c r="G18" s="60" t="str">
        <f>IF(COUNTIFS($C$15:C18,C18,$H$15:H18,H18)=1,
SUMIFS($I$15:$I$26,$C$15:$C$26,C18,$H$15:$H$26,H18)&amp;H18&amp;" "&amp;C18,
"")</f>
        <v/>
      </c>
      <c r="H18" s="58" t="s">
        <v>226</v>
      </c>
      <c r="I18" s="61">
        <v>1</v>
      </c>
      <c r="J18" s="158"/>
      <c r="K18" s="158" cm="1">
        <f t="array" ref="K18">IF(E18="untrim",_xlfn.XLOOKUP(1,(TRIM('SIZE GUIDE'!$A$3:$A$2015)=TRIM(E18))*(TRIM('SIZE GUIDE'!$B$3:$B$2015)=TRIM(F18))*(TRIM('SIZE GUIDE'!$C$3:$C$2015)=TRIM(H18)),'SIZE GUIDE'!$D$3:$D$2015),"")</f>
        <v>100</v>
      </c>
      <c r="L18" s="168" cm="1">
        <f t="array" ref="L18">IF(E18="untrim",IFERROR(INDEX('SIZE GUIDE'!$E:$E,MATCH(1,('SIZE GUIDE'!$A:$A=$E18)*('SIZE GUIDE'!$B:$B=$F18)*('SIZE GUIDE'!$C:$C=$H18),0)),""),"")</f>
        <v>76</v>
      </c>
      <c r="M18" s="158">
        <v>43</v>
      </c>
      <c r="N18" s="65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65" t="str" cm="1">
        <f t="array" ref="O18">IF(E18="trim",IFERROR(INDEX('SIZE GUIDE'!$E:$E,MATCH(1,('SIZE GUIDE'!$A:$A=$E18)*('SIZE GUIDE'!$B:$B=$F18)*('SIZE GUIDE'!$C:$C=$H18),0)),""),"")</f>
        <v/>
      </c>
      <c r="P18" s="65"/>
      <c r="Q18" s="258">
        <f t="shared" si="0"/>
        <v>100</v>
      </c>
      <c r="R18" s="258">
        <f t="shared" si="0"/>
        <v>76</v>
      </c>
      <c r="S18" s="258">
        <f t="shared" ref="S18:S24" si="4">IF(E18="untrim",M18-0.5,P18-0.5)</f>
        <v>42.5</v>
      </c>
      <c r="T18" s="93">
        <f t="shared" si="1"/>
        <v>2243.0555555555557</v>
      </c>
      <c r="U18" s="94">
        <f>SUMIFS(CODE_PRICE!F:F,CODE_PRICE!B:B,C18,CODE_PRICE!A:A,$A$8)</f>
        <v>0.1968</v>
      </c>
      <c r="V18" s="95">
        <f t="shared" si="2"/>
        <v>441.43333333333334</v>
      </c>
      <c r="W18" s="102" t="str">
        <f>IF(COUNTIF($C$15:C18,C18)=1,C18 &amp; " - " &amp; TEXT(SUMIF($C:$C,C18,$T:$T),"0.00"),"")</f>
        <v/>
      </c>
      <c r="X18" s="103" t="str">
        <f>IF(COUNTIF($C$15:C18,C18)=1,ROUND(SUMIF($C:$C,C18,$V:$V),2), "")</f>
        <v/>
      </c>
    </row>
    <row r="19" spans="1:24" s="17" customFormat="1" ht="36" customHeight="1" x14ac:dyDescent="0.2">
      <c r="A19" s="57">
        <f t="shared" si="3"/>
        <v>5</v>
      </c>
      <c r="B19" s="57" t="str" cm="1">
        <f t="array" ref="B19">_xlfn.LET(_xlpm.r,_xlfn.XLOOKUP(1,
(TRIM(CODE_PRICE!$A$4:$A$2003)=TRIM($C$4))*
(TRIM(CODE_PRICE!$B$4:$B$2003)=TRIM(C19)),
CODE_PRICE!$C$4:$C$2003,
""),
IF(OR(_xlpm.r="",_xlpm.r=0),"",_xlpm.r))</f>
        <v/>
      </c>
      <c r="C19" s="57" t="s">
        <v>89</v>
      </c>
      <c r="D19" s="58" t="str">
        <f>_xlfn.XLOOKUP(B19,CODE_PRICE!C:C,CODE_PRICE!D:D,"")</f>
        <v/>
      </c>
      <c r="E19" s="58" t="s">
        <v>11</v>
      </c>
      <c r="F19" s="59" t="s">
        <v>213</v>
      </c>
      <c r="G19" s="60" t="str">
        <f>IF(COUNTIFS($C$15:C19,C19,$H$15:H19,H19)=1,
SUMIFS($I$15:$I$26,$C$15:$C$26,C19,$H$15:$H$26,H19)&amp;H19&amp;" "&amp;C19,
"")</f>
        <v/>
      </c>
      <c r="H19" s="58" t="s">
        <v>226</v>
      </c>
      <c r="I19" s="61">
        <v>1</v>
      </c>
      <c r="J19" s="158"/>
      <c r="K19" s="158" cm="1">
        <f t="array" ref="K19">IF(E19="untrim",_xlfn.XLOOKUP(1,(TRIM('SIZE GUIDE'!$A$3:$A$2015)=TRIM(E19))*(TRIM('SIZE GUIDE'!$B$3:$B$2015)=TRIM(F19))*(TRIM('SIZE GUIDE'!$C$3:$C$2015)=TRIM(H19)),'SIZE GUIDE'!$D$3:$D$2015),"")</f>
        <v>100</v>
      </c>
      <c r="L19" s="168" cm="1">
        <f t="array" ref="L19">IF(E19="untrim",IFERROR(INDEX('SIZE GUIDE'!$E:$E,MATCH(1,('SIZE GUIDE'!$A:$A=$E19)*('SIZE GUIDE'!$B:$B=$F19)*('SIZE GUIDE'!$C:$C=$H19),0)),""),"")</f>
        <v>76</v>
      </c>
      <c r="M19" s="158">
        <v>45</v>
      </c>
      <c r="N19" s="65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65" t="str" cm="1">
        <f t="array" ref="O19">IF(E19="trim",IFERROR(INDEX('SIZE GUIDE'!$E:$E,MATCH(1,('SIZE GUIDE'!$A:$A=$E19)*('SIZE GUIDE'!$B:$B=$F19)*('SIZE GUIDE'!$C:$C=$H19),0)),""),"")</f>
        <v/>
      </c>
      <c r="P19" s="65"/>
      <c r="Q19" s="258">
        <f t="shared" si="0"/>
        <v>100</v>
      </c>
      <c r="R19" s="258">
        <f t="shared" si="0"/>
        <v>76</v>
      </c>
      <c r="S19" s="258">
        <f t="shared" si="4"/>
        <v>44.5</v>
      </c>
      <c r="T19" s="93">
        <f t="shared" si="1"/>
        <v>2348.6111111111113</v>
      </c>
      <c r="U19" s="94">
        <f>SUMIFS(CODE_PRICE!F:F,CODE_PRICE!B:B,C19,CODE_PRICE!A:A,$A$8)</f>
        <v>0.1968</v>
      </c>
      <c r="V19" s="95">
        <f t="shared" si="2"/>
        <v>462.20666666666671</v>
      </c>
      <c r="W19" s="102" t="str">
        <f>IF(COUNTIF($C$15:C19,C19)=1,C19 &amp; " - " &amp; TEXT(SUMIF($C:$C,C19,$T:$T),"0.00"),"")</f>
        <v/>
      </c>
      <c r="X19" s="103" t="str">
        <f>IF(COUNTIF($C$15:C19,C19)=1,ROUND(SUMIF($C:$C,C19,$V:$V),2), "")</f>
        <v/>
      </c>
    </row>
    <row r="20" spans="1:24" s="17" customFormat="1" ht="36" customHeight="1" x14ac:dyDescent="0.2">
      <c r="A20" s="57">
        <f t="shared" si="3"/>
        <v>6</v>
      </c>
      <c r="B20" s="57" t="str" cm="1">
        <f t="array" ref="B20">_xlfn.LET(_xlpm.r,_xlfn.XLOOKUP(1,
(TRIM(CODE_PRICE!$A$4:$A$2003)=TRIM($C$4))*
(TRIM(CODE_PRICE!$B$4:$B$2003)=TRIM(C20)),
CODE_PRICE!$C$4:$C$2003,
""),
IF(OR(_xlpm.r="",_xlpm.r=0),"",_xlpm.r))</f>
        <v/>
      </c>
      <c r="C20" s="57" t="s">
        <v>89</v>
      </c>
      <c r="D20" s="58" t="str">
        <f>_xlfn.XLOOKUP(B20,CODE_PRICE!C:C,CODE_PRICE!D:D,"")</f>
        <v/>
      </c>
      <c r="E20" s="58" t="s">
        <v>11</v>
      </c>
      <c r="F20" s="59" t="s">
        <v>213</v>
      </c>
      <c r="G20" s="60" t="str">
        <f>IF(COUNTIFS($C$15:C20,C20,$H$15:H20,H20)=1,
SUMIFS($I$15:$I$26,$C$15:$C$26,C20,$H$15:$H$26,H20)&amp;H20&amp;" "&amp;C20,
"")</f>
        <v/>
      </c>
      <c r="H20" s="58" t="s">
        <v>226</v>
      </c>
      <c r="I20" s="61">
        <v>1</v>
      </c>
      <c r="J20" s="158"/>
      <c r="K20" s="158" cm="1">
        <f t="array" ref="K20">IF(E20="untrim",_xlfn.XLOOKUP(1,(TRIM('SIZE GUIDE'!$A$3:$A$2015)=TRIM(E20))*(TRIM('SIZE GUIDE'!$B$3:$B$2015)=TRIM(F20))*(TRIM('SIZE GUIDE'!$C$3:$C$2015)=TRIM(H20)),'SIZE GUIDE'!$D$3:$D$2015),"")</f>
        <v>100</v>
      </c>
      <c r="L20" s="168" cm="1">
        <f t="array" ref="L20">IF(E20="untrim",IFERROR(INDEX('SIZE GUIDE'!$E:$E,MATCH(1,('SIZE GUIDE'!$A:$A=$E20)*('SIZE GUIDE'!$B:$B=$F20)*('SIZE GUIDE'!$C:$C=$H20),0)),""),"")</f>
        <v>76</v>
      </c>
      <c r="M20" s="158">
        <v>44</v>
      </c>
      <c r="N20" s="65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65" t="str" cm="1">
        <f t="array" ref="O20">IF(E20="trim",IFERROR(INDEX('SIZE GUIDE'!$E:$E,MATCH(1,('SIZE GUIDE'!$A:$A=$E20)*('SIZE GUIDE'!$B:$B=$F20)*('SIZE GUIDE'!$C:$C=$H20),0)),""),"")</f>
        <v/>
      </c>
      <c r="P20" s="65"/>
      <c r="Q20" s="258">
        <f t="shared" si="0"/>
        <v>100</v>
      </c>
      <c r="R20" s="258">
        <f t="shared" si="0"/>
        <v>76</v>
      </c>
      <c r="S20" s="258">
        <f t="shared" si="4"/>
        <v>43.5</v>
      </c>
      <c r="T20" s="93">
        <f t="shared" si="1"/>
        <v>2295.8333333333335</v>
      </c>
      <c r="U20" s="94">
        <f>SUMIFS(CODE_PRICE!F:F,CODE_PRICE!B:B,C20,CODE_PRICE!A:A,$A$8)</f>
        <v>0.1968</v>
      </c>
      <c r="V20" s="95">
        <f t="shared" si="2"/>
        <v>451.82000000000005</v>
      </c>
      <c r="W20" s="102" t="str">
        <f>IF(COUNTIF($C$15:C20,C20)=1,C20 &amp; " - " &amp; TEXT(SUMIF($C:$C,C20,$T:$T),"0.00"),"")</f>
        <v/>
      </c>
      <c r="X20" s="103" t="str">
        <f>IF(COUNTIF($C$15:C20,C20)=1,ROUND(SUMIF($C:$C,C20,$V:$V),2), "")</f>
        <v/>
      </c>
    </row>
    <row r="21" spans="1:24" s="17" customFormat="1" ht="36" customHeight="1" x14ac:dyDescent="0.2">
      <c r="A21" s="57">
        <f t="shared" si="3"/>
        <v>7</v>
      </c>
      <c r="B21" s="57" t="str" cm="1">
        <f t="array" ref="B21">_xlfn.LET(_xlpm.r,_xlfn.XLOOKUP(1,
(TRIM(CODE_PRICE!$A$4:$A$2003)=TRIM($C$4))*
(TRIM(CODE_PRICE!$B$4:$B$2003)=TRIM(C21)),
CODE_PRICE!$C$4:$C$2003,
""),
IF(OR(_xlpm.r="",_xlpm.r=0),"",_xlpm.r))</f>
        <v/>
      </c>
      <c r="C21" s="57" t="s">
        <v>89</v>
      </c>
      <c r="D21" s="58" t="str">
        <f>_xlfn.XLOOKUP(B21,CODE_PRICE!C:C,CODE_PRICE!D:D,"")</f>
        <v/>
      </c>
      <c r="E21" s="58" t="s">
        <v>11</v>
      </c>
      <c r="F21" s="59" t="s">
        <v>213</v>
      </c>
      <c r="G21" s="60" t="str">
        <f>IF(COUNTIFS($C$15:C21,C21,$H$15:H21,H21)=1,
SUMIFS($I$15:$I$26,$C$15:$C$26,C21,$H$15:$H$26,H21)&amp;H21&amp;" "&amp;C21,
"")</f>
        <v/>
      </c>
      <c r="H21" s="58" t="s">
        <v>226</v>
      </c>
      <c r="I21" s="61">
        <v>1</v>
      </c>
      <c r="J21" s="158"/>
      <c r="K21" s="158" cm="1">
        <f t="array" ref="K21">IF(E21="untrim",_xlfn.XLOOKUP(1,(TRIM('SIZE GUIDE'!$A$3:$A$2015)=TRIM(E21))*(TRIM('SIZE GUIDE'!$B$3:$B$2015)=TRIM(F21))*(TRIM('SIZE GUIDE'!$C$3:$C$2015)=TRIM(H21)),'SIZE GUIDE'!$D$3:$D$2015),"")</f>
        <v>100</v>
      </c>
      <c r="L21" s="168" cm="1">
        <f t="array" ref="L21">IF(E21="untrim",IFERROR(INDEX('SIZE GUIDE'!$E:$E,MATCH(1,('SIZE GUIDE'!$A:$A=$E21)*('SIZE GUIDE'!$B:$B=$F21)*('SIZE GUIDE'!$C:$C=$H21),0)),""),"")</f>
        <v>76</v>
      </c>
      <c r="M21" s="158">
        <v>43</v>
      </c>
      <c r="N21" s="65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65" t="str" cm="1">
        <f t="array" ref="O21">IF(E21="trim",IFERROR(INDEX('SIZE GUIDE'!$E:$E,MATCH(1,('SIZE GUIDE'!$A:$A=$E21)*('SIZE GUIDE'!$B:$B=$F21)*('SIZE GUIDE'!$C:$C=$H21),0)),""),"")</f>
        <v/>
      </c>
      <c r="P21" s="65"/>
      <c r="Q21" s="258">
        <f t="shared" si="0"/>
        <v>100</v>
      </c>
      <c r="R21" s="258">
        <f t="shared" si="0"/>
        <v>76</v>
      </c>
      <c r="S21" s="258">
        <f t="shared" si="4"/>
        <v>42.5</v>
      </c>
      <c r="T21" s="93">
        <f t="shared" si="1"/>
        <v>2243.0555555555557</v>
      </c>
      <c r="U21" s="94">
        <f>SUMIFS(CODE_PRICE!F:F,CODE_PRICE!B:B,C21,CODE_PRICE!A:A,$A$8)</f>
        <v>0.1968</v>
      </c>
      <c r="V21" s="95">
        <f t="shared" si="2"/>
        <v>441.43333333333334</v>
      </c>
      <c r="W21" s="102" t="str">
        <f>IF(COUNTIF($C$15:C21,C21)=1,C21 &amp; " - " &amp; TEXT(SUMIF($C:$C,C21,$T:$T),"0.00"),"")</f>
        <v/>
      </c>
      <c r="X21" s="103" t="str">
        <f>IF(COUNTIF($C$15:C21,C21)=1,ROUND(SUMIF($C:$C,C21,$V:$V),2), "")</f>
        <v/>
      </c>
    </row>
    <row r="22" spans="1:24" s="17" customFormat="1" ht="36" customHeight="1" x14ac:dyDescent="0.2">
      <c r="A22" s="57">
        <f t="shared" si="3"/>
        <v>8</v>
      </c>
      <c r="B22" s="57" t="str" cm="1">
        <f t="array" ref="B22">_xlfn.LET(_xlpm.r,_xlfn.XLOOKUP(1,
(TRIM(CODE_PRICE!$A$4:$A$2003)=TRIM($C$4))*
(TRIM(CODE_PRICE!$B$4:$B$2003)=TRIM(C22)),
CODE_PRICE!$C$4:$C$2003,
""),
IF(OR(_xlpm.r="",_xlpm.r=0),"",_xlpm.r))</f>
        <v/>
      </c>
      <c r="C22" s="57" t="s">
        <v>89</v>
      </c>
      <c r="D22" s="58" t="str">
        <f>_xlfn.XLOOKUP(B22,CODE_PRICE!C:C,CODE_PRICE!D:D,"")</f>
        <v/>
      </c>
      <c r="E22" s="58" t="s">
        <v>11</v>
      </c>
      <c r="F22" s="59" t="s">
        <v>213</v>
      </c>
      <c r="G22" s="60" t="str">
        <f>IF(COUNTIFS($C$15:C22,C22,$H$15:H22,H22)=1,
SUMIFS($I$15:$I$26,$C$15:$C$26,C22,$H$15:$H$26,H22)&amp;H22&amp;" "&amp;C22,
"")</f>
        <v/>
      </c>
      <c r="H22" s="58" t="s">
        <v>226</v>
      </c>
      <c r="I22" s="61">
        <v>1</v>
      </c>
      <c r="J22" s="158"/>
      <c r="K22" s="158" cm="1">
        <f t="array" ref="K22">IF(E22="untrim",_xlfn.XLOOKUP(1,(TRIM('SIZE GUIDE'!$A$3:$A$2015)=TRIM(E22))*(TRIM('SIZE GUIDE'!$B$3:$B$2015)=TRIM(F22))*(TRIM('SIZE GUIDE'!$C$3:$C$2015)=TRIM(H22)),'SIZE GUIDE'!$D$3:$D$2015),"")</f>
        <v>100</v>
      </c>
      <c r="L22" s="168" cm="1">
        <f t="array" ref="L22">IF(E22="untrim",IFERROR(INDEX('SIZE GUIDE'!$E:$E,MATCH(1,('SIZE GUIDE'!$A:$A=$E22)*('SIZE GUIDE'!$B:$B=$F22)*('SIZE GUIDE'!$C:$C=$H22),0)),""),"")</f>
        <v>76</v>
      </c>
      <c r="M22" s="158">
        <v>44.5</v>
      </c>
      <c r="N22" s="65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65" t="str" cm="1">
        <f t="array" ref="O22">IF(E22="trim",IFERROR(INDEX('SIZE GUIDE'!$E:$E,MATCH(1,('SIZE GUIDE'!$A:$A=$E22)*('SIZE GUIDE'!$B:$B=$F22)*('SIZE GUIDE'!$C:$C=$H22),0)),""),"")</f>
        <v/>
      </c>
      <c r="P22" s="65"/>
      <c r="Q22" s="258">
        <f t="shared" si="0"/>
        <v>100</v>
      </c>
      <c r="R22" s="258">
        <f t="shared" si="0"/>
        <v>76</v>
      </c>
      <c r="S22" s="258">
        <f t="shared" si="4"/>
        <v>44</v>
      </c>
      <c r="T22" s="93">
        <f t="shared" si="1"/>
        <v>2322.2222222222222</v>
      </c>
      <c r="U22" s="94">
        <f>SUMIFS(CODE_PRICE!F:F,CODE_PRICE!B:B,C22,CODE_PRICE!A:A,$A$8)</f>
        <v>0.1968</v>
      </c>
      <c r="V22" s="95">
        <f t="shared" si="2"/>
        <v>457.01333333333332</v>
      </c>
      <c r="W22" s="102" t="str">
        <f>IF(COUNTIF($C$15:C22,C22)=1,C22 &amp; " - " &amp; TEXT(SUMIF($C:$C,C22,$T:$T),"0.00"),"")</f>
        <v/>
      </c>
      <c r="X22" s="103" t="e" cm="1" vm="1">
        <f t="array" aca="1" ref="X22" ca="1">A:J=IF(COUNTIF($C$15:C22,C22)=1,ROUND(SUMIF($C:$C,C22,$V:$V),2), "")</f>
        <v>#VALUE!</v>
      </c>
    </row>
    <row r="23" spans="1:24" s="17" customFormat="1" ht="36" customHeight="1" x14ac:dyDescent="0.2">
      <c r="A23" s="57">
        <f t="shared" si="3"/>
        <v>9</v>
      </c>
      <c r="B23" s="57" t="str" cm="1">
        <f t="array" ref="B23">_xlfn.LET(_xlpm.r,_xlfn.XLOOKUP(1,
(TRIM(CODE_PRICE!$A$4:$A$2003)=TRIM($C$4))*
(TRIM(CODE_PRICE!$B$4:$B$2003)=TRIM(C23)),
CODE_PRICE!$C$4:$C$2003,
""),
IF(OR(_xlpm.r="",_xlpm.r=0),"",_xlpm.r))</f>
        <v/>
      </c>
      <c r="C23" s="57" t="s">
        <v>89</v>
      </c>
      <c r="D23" s="58" t="str">
        <f>_xlfn.XLOOKUP(B23,CODE_PRICE!C:C,CODE_PRICE!D:D,"")</f>
        <v/>
      </c>
      <c r="E23" s="58" t="s">
        <v>11</v>
      </c>
      <c r="F23" s="59" t="s">
        <v>213</v>
      </c>
      <c r="G23" s="60" t="str">
        <f>IF(COUNTIFS($C$15:C23,C23,$H$15:H23,H23)=1,
SUMIFS($I$15:$I$26,$C$15:$C$26,C23,$H$15:$H$26,H23)&amp;H23&amp;" "&amp;C23,
"")</f>
        <v/>
      </c>
      <c r="H23" s="58" t="s">
        <v>226</v>
      </c>
      <c r="I23" s="61">
        <v>1</v>
      </c>
      <c r="J23" s="158"/>
      <c r="K23" s="158" cm="1">
        <f t="array" ref="K23">IF(E23="untrim",_xlfn.XLOOKUP(1,(TRIM('SIZE GUIDE'!$A$3:$A$2015)=TRIM(E23))*(TRIM('SIZE GUIDE'!$B$3:$B$2015)=TRIM(F23))*(TRIM('SIZE GUIDE'!$C$3:$C$2015)=TRIM(H23)),'SIZE GUIDE'!$D$3:$D$2015),"")</f>
        <v>100</v>
      </c>
      <c r="L23" s="168" cm="1">
        <f t="array" ref="L23">IF(E23="untrim",IFERROR(INDEX('SIZE GUIDE'!$E:$E,MATCH(1,('SIZE GUIDE'!$A:$A=$E23)*('SIZE GUIDE'!$B:$B=$F23)*('SIZE GUIDE'!$C:$C=$H23),0)),""),"")</f>
        <v>76</v>
      </c>
      <c r="M23" s="158">
        <v>44.5</v>
      </c>
      <c r="N23" s="65" t="str" cm="1">
        <f t="array" ref="N23">IF(E23="trim",_xlfn.XLOOKUP(1,(TRIM('SIZE GUIDE'!$A$3:$A$2015)=TRIM(E23))*(TRIM('SIZE GUIDE'!$B$3:$B$2015)=TRIM(F23))*(TRIM('SIZE GUIDE'!$C$3:$C$2015)=TRIM(H23)),'SIZE GUIDE'!$D$3:$D$2015),"")</f>
        <v/>
      </c>
      <c r="O23" s="65" t="str" cm="1">
        <f t="array" ref="O23">IF(E23="trim",IFERROR(INDEX('SIZE GUIDE'!$E:$E,MATCH(1,('SIZE GUIDE'!$A:$A=$E23)*('SIZE GUIDE'!$B:$B=$F23)*('SIZE GUIDE'!$C:$C=$H23),0)),""),"")</f>
        <v/>
      </c>
      <c r="P23" s="65"/>
      <c r="Q23" s="258">
        <f t="shared" si="0"/>
        <v>100</v>
      </c>
      <c r="R23" s="258">
        <f t="shared" si="0"/>
        <v>76</v>
      </c>
      <c r="S23" s="258">
        <f t="shared" si="4"/>
        <v>44</v>
      </c>
      <c r="T23" s="93">
        <f t="shared" si="1"/>
        <v>2322.2222222222222</v>
      </c>
      <c r="U23" s="94">
        <f>SUMIFS(CODE_PRICE!F:F,CODE_PRICE!B:B,C23,CODE_PRICE!A:A,$A$8)</f>
        <v>0.1968</v>
      </c>
      <c r="V23" s="95">
        <f t="shared" si="2"/>
        <v>457.01333333333332</v>
      </c>
      <c r="W23" s="102" t="str">
        <f>IF(COUNTIF($C$15:C23,C23)=1,C23 &amp; " - " &amp; TEXT(SUMIF($C:$C,C23,$T:$T),"0.00"),"")</f>
        <v/>
      </c>
      <c r="X23" s="103" t="str">
        <f>IF(COUNTIF($C$15:C23,C23)=1,ROUND(SUMIF($C:$C,C23,$V:$V),2), "")</f>
        <v/>
      </c>
    </row>
    <row r="24" spans="1:24" s="17" customFormat="1" ht="36" customHeight="1" x14ac:dyDescent="0.2">
      <c r="A24" s="57">
        <f>A23+1</f>
        <v>10</v>
      </c>
      <c r="B24" s="57" t="str" cm="1">
        <f t="array" ref="B24">_xlfn.LET(_xlpm.r,_xlfn.XLOOKUP(1,
(TRIM(CODE_PRICE!$A$4:$A$2003)=TRIM($C$4))*
(TRIM(CODE_PRICE!$B$4:$B$2003)=TRIM(C24)),
CODE_PRICE!$C$4:$C$2003,
""),
IF(OR(_xlpm.r="",_xlpm.r=0),"",_xlpm.r))</f>
        <v/>
      </c>
      <c r="C24" s="57" t="s">
        <v>89</v>
      </c>
      <c r="D24" s="58" t="str">
        <f>_xlfn.XLOOKUP(B24,CODE_PRICE!C:C,CODE_PRICE!D:D,"")</f>
        <v/>
      </c>
      <c r="E24" s="58" t="s">
        <v>11</v>
      </c>
      <c r="F24" s="59" t="s">
        <v>213</v>
      </c>
      <c r="G24" s="60" t="str">
        <f>IF(COUNTIFS($C$15:C24,C24,$H$15:H24,H24)=1,
SUMIFS($I$15:$I$26,$C$15:$C$26,C24,$H$15:$H$26,H24)&amp;H24&amp;" "&amp;C24,
"")</f>
        <v/>
      </c>
      <c r="H24" s="58" t="s">
        <v>226</v>
      </c>
      <c r="I24" s="61">
        <v>1</v>
      </c>
      <c r="J24" s="158"/>
      <c r="K24" s="158" cm="1">
        <f t="array" ref="K24">IF(E24="untrim",_xlfn.XLOOKUP(1,(TRIM('SIZE GUIDE'!$A$3:$A$2015)=TRIM(E24))*(TRIM('SIZE GUIDE'!$B$3:$B$2015)=TRIM(F24))*(TRIM('SIZE GUIDE'!$C$3:$C$2015)=TRIM(H24)),'SIZE GUIDE'!$D$3:$D$2015),"")</f>
        <v>100</v>
      </c>
      <c r="L24" s="168" cm="1">
        <f t="array" ref="L24">IF(E24="untrim",IFERROR(INDEX('SIZE GUIDE'!$E:$E,MATCH(1,('SIZE GUIDE'!$A:$A=$E24)*('SIZE GUIDE'!$B:$B=$F24)*('SIZE GUIDE'!$C:$C=$H24),0)),""),"")</f>
        <v>76</v>
      </c>
      <c r="M24" s="158">
        <v>41</v>
      </c>
      <c r="N24" s="65" t="str" cm="1">
        <f t="array" ref="N24">IF(E24="trim",_xlfn.XLOOKUP(1,(TRIM('SIZE GUIDE'!$A$3:$A$2015)=TRIM(E24))*(TRIM('SIZE GUIDE'!$B$3:$B$2015)=TRIM(F24))*(TRIM('SIZE GUIDE'!$C$3:$C$2015)=TRIM(H24)),'SIZE GUIDE'!$D$3:$D$2015),"")</f>
        <v/>
      </c>
      <c r="O24" s="65" t="str" cm="1">
        <f t="array" ref="O24">IF(E24="trim",IFERROR(INDEX('SIZE GUIDE'!$E:$E,MATCH(1,('SIZE GUIDE'!$A:$A=$E24)*('SIZE GUIDE'!$B:$B=$F24)*('SIZE GUIDE'!$C:$C=$H24),0)),""),"")</f>
        <v/>
      </c>
      <c r="P24" s="65"/>
      <c r="Q24" s="258">
        <f t="shared" si="0"/>
        <v>100</v>
      </c>
      <c r="R24" s="258">
        <f t="shared" si="0"/>
        <v>76</v>
      </c>
      <c r="S24" s="258">
        <f t="shared" si="4"/>
        <v>40.5</v>
      </c>
      <c r="T24" s="93">
        <f t="shared" si="1"/>
        <v>2137.5</v>
      </c>
      <c r="U24" s="94">
        <f>SUMIFS(CODE_PRICE!F:F,CODE_PRICE!B:B,C24,CODE_PRICE!A:A,$A$8)</f>
        <v>0.1968</v>
      </c>
      <c r="V24" s="95">
        <f t="shared" si="2"/>
        <v>420.66</v>
      </c>
      <c r="W24" s="102" t="str">
        <f>IF(COUNTIF($C$15:C24,C24)=1,C24 &amp; " - " &amp; TEXT(SUMIF($C:$C,C24,$T:$T),"0.00"),"")</f>
        <v/>
      </c>
      <c r="X24" s="103" t="str">
        <f>IF(COUNTIF($C$15:C24,C24)=1,ROUND(SUMIF($C:$C,C24,$V:$V),2), "")</f>
        <v/>
      </c>
    </row>
    <row r="25" spans="1:24" s="17" customFormat="1" ht="36" customHeight="1" x14ac:dyDescent="0.2">
      <c r="A25" s="57">
        <f>A24+1</f>
        <v>11</v>
      </c>
      <c r="B25" s="57" t="str" cm="1">
        <f t="array" ref="B25">_xlfn.LET(_xlpm.r,_xlfn.XLOOKUP(1,
(TRIM(CODE_PRICE!$A$4:$A$2003)=TRIM($C$4))*
(TRIM(CODE_PRICE!$B$4:$B$2003)=TRIM(C25)),
CODE_PRICE!$C$4:$C$2003,
""),
IF(OR(_xlpm.r="",_xlpm.r=0),"",_xlpm.r))</f>
        <v/>
      </c>
      <c r="C25" s="57" t="s">
        <v>89</v>
      </c>
      <c r="D25" s="58" t="str">
        <f>_xlfn.XLOOKUP(B25,CODE_PRICE!C:C,CODE_PRICE!D:D,"")</f>
        <v/>
      </c>
      <c r="E25" s="58" t="s">
        <v>11</v>
      </c>
      <c r="F25" s="59" t="s">
        <v>213</v>
      </c>
      <c r="G25" s="60" t="str">
        <f>IF(COUNTIFS($C$15:C25,C25,$H$15:H25,H25)=1,
SUMIFS($I$15:$I$26,$C$15:$C$26,C25,$H$15:$H$26,H25)&amp;H25&amp;" "&amp;C25,
"")</f>
        <v>2S CFN30100W</v>
      </c>
      <c r="H25" s="58" t="s">
        <v>22</v>
      </c>
      <c r="I25" s="61">
        <v>1</v>
      </c>
      <c r="J25" s="158"/>
      <c r="K25" s="158" cm="1">
        <f t="array" ref="K25">IF(E25="untrim",_xlfn.XLOOKUP(1,(TRIM('SIZE GUIDE'!$A$3:$A$2015)=TRIM(E25))*(TRIM('SIZE GUIDE'!$B$3:$B$2015)=TRIM(F25))*(TRIM('SIZE GUIDE'!$C$3:$C$2015)=TRIM(H25)),'SIZE GUIDE'!$D$3:$D$2015),"")</f>
        <v>108</v>
      </c>
      <c r="L25" s="168" cm="1">
        <f t="array" ref="L25">IF(E25="untrim",IFERROR(INDEX('SIZE GUIDE'!$E:$E,MATCH(1,('SIZE GUIDE'!$A:$A=$E25)*('SIZE GUIDE'!$B:$B=$F25)*('SIZE GUIDE'!$C:$C=$H25),0)),""),"")</f>
        <v>81</v>
      </c>
      <c r="M25" s="158">
        <v>41.5</v>
      </c>
      <c r="N25" s="65" t="str" cm="1">
        <f t="array" ref="N25">IF(E25="trim",_xlfn.XLOOKUP(1,(TRIM('SIZE GUIDE'!$A$3:$A$2015)=TRIM(E25))*(TRIM('SIZE GUIDE'!$B$3:$B$2015)=TRIM(F25))*(TRIM('SIZE GUIDE'!$C$3:$C$2015)=TRIM(H25)),'SIZE GUIDE'!$D$3:$D$2015),"")</f>
        <v/>
      </c>
      <c r="O25" s="65" t="str" cm="1">
        <f t="array" ref="O25">IF(E25="trim",IFERROR(INDEX('SIZE GUIDE'!$E:$E,MATCH(1,('SIZE GUIDE'!$A:$A=$E25)*('SIZE GUIDE'!$B:$B=$F25)*('SIZE GUIDE'!$C:$C=$H25),0)),""),"")</f>
        <v/>
      </c>
      <c r="P25" s="65"/>
      <c r="Q25" s="258">
        <f>K25</f>
        <v>108</v>
      </c>
      <c r="R25" s="258">
        <f>L25</f>
        <v>81</v>
      </c>
      <c r="S25" s="258">
        <f>IF(E25="untrim",M25-0.5,P25-0.5)</f>
        <v>41</v>
      </c>
      <c r="T25" s="93">
        <f>IFERROR(Q25*R25*S25/144*I25,"")</f>
        <v>2490.75</v>
      </c>
      <c r="U25" s="94">
        <f>SUMIFS(CODE_PRICE!F:F,CODE_PRICE!B:B,C25,CODE_PRICE!A:A,$A$8)</f>
        <v>0.1968</v>
      </c>
      <c r="V25" s="95">
        <f>T25*U25</f>
        <v>490.17959999999999</v>
      </c>
      <c r="W25" s="102"/>
      <c r="X25" s="103"/>
    </row>
    <row r="26" spans="1:24" s="17" customFormat="1" ht="36" customHeight="1" x14ac:dyDescent="0.2">
      <c r="A26" s="57">
        <f>A25+1</f>
        <v>12</v>
      </c>
      <c r="B26" s="57" t="str" cm="1">
        <f t="array" ref="B26">_xlfn.LET(_xlpm.r,_xlfn.XLOOKUP(1,
(TRIM(CODE_PRICE!$A$4:$A$2003)=TRIM($C$4))*
(TRIM(CODE_PRICE!$B$4:$B$2003)=TRIM(C26)),
CODE_PRICE!$C$4:$C$2003,
""),
IF(OR(_xlpm.r="",_xlpm.r=0),"",_xlpm.r))</f>
        <v/>
      </c>
      <c r="C26" s="57" t="s">
        <v>89</v>
      </c>
      <c r="D26" s="58" t="str">
        <f>_xlfn.XLOOKUP(B26,CODE_PRICE!C:C,CODE_PRICE!D:D,"")</f>
        <v/>
      </c>
      <c r="E26" s="58" t="s">
        <v>11</v>
      </c>
      <c r="F26" s="59" t="s">
        <v>213</v>
      </c>
      <c r="G26" s="60" t="str">
        <f>IF(COUNTIFS($C$15:C26,C26,$H$15:H26,H26)=1,
SUMIFS($I$15:$I$26,$C$15:$C$26,C26,$H$15:$H$26,H26)&amp;H26&amp;" "&amp;C26,
"")</f>
        <v/>
      </c>
      <c r="H26" s="58" t="s">
        <v>22</v>
      </c>
      <c r="I26" s="61">
        <v>1</v>
      </c>
      <c r="J26" s="158"/>
      <c r="K26" s="158" cm="1">
        <f t="array" ref="K26">IF(E26="untrim",_xlfn.XLOOKUP(1,(TRIM('SIZE GUIDE'!$A$3:$A$2015)=TRIM(E26))*(TRIM('SIZE GUIDE'!$B$3:$B$2015)=TRIM(F26))*(TRIM('SIZE GUIDE'!$C$3:$C$2015)=TRIM(H26)),'SIZE GUIDE'!$D$3:$D$2015),"")</f>
        <v>108</v>
      </c>
      <c r="L26" s="168" cm="1">
        <f t="array" ref="L26">IF(E26="untrim",IFERROR(INDEX('SIZE GUIDE'!$E:$E,MATCH(1,('SIZE GUIDE'!$A:$A=$E26)*('SIZE GUIDE'!$B:$B=$F26)*('SIZE GUIDE'!$C:$C=$H26),0)),""),"")</f>
        <v>81</v>
      </c>
      <c r="M26" s="158">
        <v>40</v>
      </c>
      <c r="N26" s="65" t="str" cm="1">
        <f t="array" ref="N26">IF(E26="trim",_xlfn.XLOOKUP(1,(TRIM('SIZE GUIDE'!$A$3:$A$2015)=TRIM(E26))*(TRIM('SIZE GUIDE'!$B$3:$B$2015)=TRIM(F26))*(TRIM('SIZE GUIDE'!$C$3:$C$2015)=TRIM(H26)),'SIZE GUIDE'!$D$3:$D$2015),"")</f>
        <v/>
      </c>
      <c r="O26" s="65" t="str" cm="1">
        <f t="array" ref="O26">IF(E26="trim",IFERROR(INDEX('SIZE GUIDE'!$E:$E,MATCH(1,('SIZE GUIDE'!$A:$A=$E26)*('SIZE GUIDE'!$B:$B=$F26)*('SIZE GUIDE'!$C:$C=$H26),0)),""),"")</f>
        <v/>
      </c>
      <c r="P26" s="65"/>
      <c r="Q26" s="258">
        <f>K26</f>
        <v>108</v>
      </c>
      <c r="R26" s="258">
        <f>L26</f>
        <v>81</v>
      </c>
      <c r="S26" s="258">
        <f>IF(E26="untrim",M26-0.5,P26-0.5)</f>
        <v>39.5</v>
      </c>
      <c r="T26" s="93">
        <f>IFERROR(Q26*R26*S26/144*I26,"")</f>
        <v>2399.625</v>
      </c>
      <c r="U26" s="94">
        <f>SUMIFS(CODE_PRICE!F:F,CODE_PRICE!B:B,C26,CODE_PRICE!A:A,$A$8)</f>
        <v>0.1968</v>
      </c>
      <c r="V26" s="95">
        <f>T26*U26</f>
        <v>472.24619999999999</v>
      </c>
      <c r="W26" s="102"/>
      <c r="X26" s="103"/>
    </row>
    <row r="27" spans="1:24" s="17" customFormat="1" ht="41.25" customHeight="1" thickBot="1" x14ac:dyDescent="0.25">
      <c r="A27" s="53"/>
      <c r="B27" s="53"/>
      <c r="C27" s="53"/>
      <c r="D27" s="53"/>
      <c r="E27" s="67"/>
      <c r="F27" s="68"/>
      <c r="G27" s="68"/>
      <c r="H27" s="69" t="s">
        <v>155</v>
      </c>
      <c r="I27" s="70">
        <f>SUM(I15:I26)</f>
        <v>12</v>
      </c>
      <c r="J27" s="55"/>
      <c r="K27" s="55"/>
      <c r="L27" s="55"/>
      <c r="M27" s="55"/>
      <c r="N27" s="56"/>
      <c r="O27" s="56"/>
      <c r="P27" s="122"/>
      <c r="Q27" s="67"/>
      <c r="R27" s="67"/>
      <c r="S27" s="67"/>
      <c r="T27" s="96">
        <f>SUM(T15:T26)</f>
        <v>26872.319444444445</v>
      </c>
      <c r="U27" s="97"/>
      <c r="V27" s="92">
        <f>SUM(V15:V26)</f>
        <v>5288.4724666666671</v>
      </c>
      <c r="W27" s="109">
        <f>T27</f>
        <v>26872.319444444445</v>
      </c>
      <c r="X27" s="104" t="e" vm="2">
        <f ca="1">SUM(X15:X26)</f>
        <v>#VALUE!</v>
      </c>
    </row>
    <row r="28" spans="1:24" s="17" customFormat="1" ht="41.25" customHeight="1" x14ac:dyDescent="0.2">
      <c r="A28" s="57"/>
      <c r="B28" s="71"/>
      <c r="C28" s="71"/>
      <c r="D28" s="72"/>
      <c r="E28" s="72"/>
      <c r="F28" s="73"/>
      <c r="G28" s="74"/>
      <c r="H28" s="75" t="s">
        <v>156</v>
      </c>
      <c r="I28" s="76"/>
      <c r="J28" s="77"/>
      <c r="K28" s="78"/>
      <c r="L28" s="79"/>
      <c r="M28" s="78"/>
      <c r="N28" s="78"/>
      <c r="O28" s="78"/>
      <c r="P28" s="78"/>
      <c r="Q28" s="80"/>
      <c r="R28" s="80"/>
      <c r="S28" s="80"/>
      <c r="T28" s="81"/>
      <c r="U28" s="82"/>
      <c r="V28" s="83"/>
      <c r="W28" s="19"/>
      <c r="X28" s="25"/>
    </row>
    <row r="29" spans="1:24" s="17" customFormat="1" ht="41.25" customHeight="1" thickBot="1" x14ac:dyDescent="0.25">
      <c r="A29" s="53"/>
      <c r="B29" s="53"/>
      <c r="C29" s="68"/>
      <c r="D29" s="67"/>
      <c r="E29" s="67"/>
      <c r="F29" s="67"/>
      <c r="G29" s="67"/>
      <c r="H29" s="69" t="s">
        <v>162</v>
      </c>
      <c r="I29" s="70">
        <f>I27</f>
        <v>12</v>
      </c>
      <c r="J29" s="55"/>
      <c r="K29" s="55"/>
      <c r="L29" s="55"/>
      <c r="M29" s="55"/>
      <c r="N29" s="56"/>
      <c r="O29" s="56"/>
      <c r="P29" s="122"/>
      <c r="Q29" s="67"/>
      <c r="R29" s="67"/>
      <c r="S29" s="67"/>
      <c r="T29" s="96">
        <f>T27</f>
        <v>26872.319444444445</v>
      </c>
      <c r="U29" s="97"/>
      <c r="V29" s="92">
        <f>+V27+V28</f>
        <v>5288.4724666666671</v>
      </c>
      <c r="W29" s="109">
        <f>W27</f>
        <v>26872.319444444445</v>
      </c>
      <c r="X29" s="104" t="e" vm="2">
        <f ca="1">X27</f>
        <v>#VALUE!</v>
      </c>
    </row>
    <row r="30" spans="1:24" ht="15" customHeight="1" x14ac:dyDescent="0.25">
      <c r="A30" s="48"/>
      <c r="B30" s="48"/>
      <c r="C30" s="48"/>
      <c r="D30" s="48"/>
      <c r="E30" s="48"/>
      <c r="F30" s="84"/>
      <c r="G30" s="48"/>
      <c r="H30" s="85"/>
      <c r="I30" s="85"/>
      <c r="J30" s="8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89"/>
    </row>
    <row r="31" spans="1:24" ht="15" customHeight="1" x14ac:dyDescent="0.25">
      <c r="A31" s="48" t="s">
        <v>153</v>
      </c>
      <c r="B31" s="48"/>
      <c r="C31" s="48"/>
      <c r="D31" s="48"/>
      <c r="E31" s="48"/>
      <c r="F31" s="84"/>
      <c r="G31" s="48"/>
      <c r="H31" s="85"/>
      <c r="I31" s="85"/>
      <c r="J31" s="8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89"/>
    </row>
    <row r="32" spans="1:24" ht="15" customHeight="1" x14ac:dyDescent="0.25">
      <c r="A32" s="48"/>
      <c r="B32" s="48"/>
      <c r="C32" s="48"/>
      <c r="D32" s="48"/>
      <c r="E32" s="48"/>
      <c r="F32" s="84"/>
      <c r="G32" s="48"/>
      <c r="H32" s="85"/>
      <c r="I32" s="85"/>
      <c r="J32" s="8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89"/>
    </row>
    <row r="33" spans="1:25" ht="15" customHeight="1" x14ac:dyDescent="0.25">
      <c r="A33" s="48" t="s">
        <v>154</v>
      </c>
      <c r="B33" s="48"/>
      <c r="C33" s="48"/>
      <c r="D33" s="48"/>
      <c r="E33" s="48"/>
      <c r="F33" s="84"/>
      <c r="G33" s="48"/>
      <c r="H33" s="85"/>
      <c r="I33" s="85"/>
      <c r="J33" s="8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89"/>
    </row>
    <row r="34" spans="1:25" ht="15" customHeight="1" x14ac:dyDescent="0.25">
      <c r="A34" s="48"/>
      <c r="B34" s="48"/>
      <c r="C34" s="48"/>
      <c r="D34" s="48"/>
      <c r="E34" s="48"/>
      <c r="F34" s="84"/>
      <c r="G34" s="48"/>
      <c r="H34" s="85"/>
      <c r="I34" s="85"/>
      <c r="J34" s="8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89"/>
    </row>
    <row r="35" spans="1:25" ht="15" customHeight="1" x14ac:dyDescent="0.25">
      <c r="A35" s="48"/>
      <c r="B35" s="48"/>
      <c r="C35" s="48"/>
      <c r="D35" s="48"/>
      <c r="E35" s="48"/>
      <c r="F35" s="84"/>
      <c r="G35" s="48"/>
      <c r="H35" s="85"/>
      <c r="I35" s="85"/>
      <c r="J35" s="8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89"/>
    </row>
    <row r="36" spans="1:25" ht="15" customHeight="1" x14ac:dyDescent="0.25">
      <c r="A36" s="86"/>
      <c r="B36" s="318"/>
      <c r="C36" s="318"/>
      <c r="D36" s="318"/>
      <c r="E36" s="318"/>
      <c r="F36" s="318"/>
      <c r="G36" s="318"/>
      <c r="H36" s="318"/>
      <c r="I36" s="318"/>
      <c r="J36" s="318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89"/>
    </row>
    <row r="37" spans="1:25" ht="15" customHeight="1" x14ac:dyDescent="0.25">
      <c r="A37" s="86"/>
      <c r="B37" s="319"/>
      <c r="C37" s="319"/>
      <c r="D37" s="319"/>
      <c r="E37" s="319"/>
      <c r="F37" s="319"/>
      <c r="G37" s="319"/>
      <c r="H37" s="319"/>
      <c r="I37" s="319"/>
      <c r="J37" s="319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89"/>
      <c r="X37" s="16"/>
      <c r="Y37" s="23"/>
    </row>
  </sheetData>
  <mergeCells count="5">
    <mergeCell ref="A7:E7"/>
    <mergeCell ref="F7:G7"/>
    <mergeCell ref="R9:S9"/>
    <mergeCell ref="B36:J36"/>
    <mergeCell ref="B37:J37"/>
  </mergeCells>
  <pageMargins left="0" right="0" top="1" bottom="0" header="0.511811023622047" footer="0.511811023622047"/>
  <pageSetup paperSize="9" scale="56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xr:uid="{D4D49E9D-C1BA-4830-BBBD-356EA826F9C2}">
          <x14:formula1>
            <xm:f>CODE_MASTER_AS!$A$3:$A$14</xm:f>
          </x14:formula1>
          <xm:sqref>F27:G27 C28:C29 C15:C26</xm:sqref>
        </x14:dataValidation>
        <x14:dataValidation type="list" allowBlank="1" showInputMessage="1" showErrorMessage="1" xr:uid="{7E4DEA39-5FA3-4F65-973F-116E8C66B0B8}">
          <x14:formula1>
            <xm:f>'SIZE GUIDE'!$B:$B</xm:f>
          </x14:formula1>
          <xm:sqref>G27 F15:F29</xm:sqref>
        </x14:dataValidation>
        <x14:dataValidation type="list" allowBlank="1" xr:uid="{AF991AFA-3609-4468-BB4F-D6A486FD8157}">
          <x14:formula1>
            <xm:f>'SIZE GUIDE'!$A$3:$A$38</xm:f>
          </x14:formula1>
          <xm:sqref>E15:E29</xm:sqref>
        </x14:dataValidation>
        <x14:dataValidation type="list" allowBlank="1" xr:uid="{F27871BC-EC55-4148-AB46-66C1FED32048}">
          <x14:formula1>
            <xm:f>LISTS!$B$2:$B$8</xm:f>
          </x14:formula1>
          <x14:formula2>
            <xm:f>0</xm:f>
          </x14:formula2>
          <xm:sqref>H15:H29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46211-00B2-4FAD-A545-3F72A6907B5E}">
  <sheetPr codeName="Sheet35">
    <pageSetUpPr fitToPage="1"/>
  </sheetPr>
  <dimension ref="A1:AH56"/>
  <sheetViews>
    <sheetView showGridLines="0" view="pageBreakPreview" topLeftCell="C1" zoomScale="80" zoomScaleNormal="68" zoomScaleSheetLayoutView="80" workbookViewId="0">
      <selection activeCell="AC14" sqref="AC14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25" style="16" hidden="1" customWidth="1"/>
    <col min="5" max="5" width="16.83203125" style="16" customWidth="1"/>
    <col min="6" max="6" width="15.33203125" style="16" customWidth="1"/>
    <col min="7" max="7" width="23.5" style="16" bestFit="1" customWidth="1"/>
    <col min="8" max="9" width="10.6640625" style="16" customWidth="1"/>
    <col min="10" max="10" width="10.6640625" style="15" hidden="1" customWidth="1"/>
    <col min="11" max="11" width="10.6640625" style="16" hidden="1" customWidth="1"/>
    <col min="12" max="12" width="10.6640625" style="269" hidden="1" customWidth="1"/>
    <col min="13" max="16" width="10.6640625" style="16" hidden="1" customWidth="1"/>
    <col min="17" max="19" width="10.6640625" style="16" customWidth="1"/>
    <col min="20" max="20" width="14.6640625" style="16" customWidth="1"/>
    <col min="21" max="21" width="14.1640625" style="16" customWidth="1"/>
    <col min="22" max="22" width="14.5" style="98" customWidth="1"/>
    <col min="23" max="23" width="28.1640625" style="16" customWidth="1"/>
    <col min="24" max="24" width="20.33203125" style="23" customWidth="1"/>
    <col min="25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45"/>
      <c r="K1" s="29"/>
      <c r="L1" s="261"/>
      <c r="M1" s="29" t="s">
        <v>204</v>
      </c>
      <c r="N1" s="27"/>
      <c r="O1" s="27"/>
      <c r="P1" s="27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246"/>
      <c r="K2" s="31"/>
      <c r="L2" s="261"/>
      <c r="M2" s="32" t="s">
        <v>161</v>
      </c>
      <c r="N2" s="27"/>
      <c r="O2" s="27"/>
      <c r="P2" s="28" t="s">
        <v>160</v>
      </c>
      <c r="R2" s="20"/>
      <c r="S2" s="21"/>
      <c r="U2" s="13"/>
      <c r="V2" s="20"/>
      <c r="W2" s="20"/>
      <c r="X2" s="20" t="s">
        <v>151</v>
      </c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247"/>
      <c r="K3" s="37"/>
      <c r="L3" s="262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247"/>
      <c r="K4" s="37"/>
      <c r="L4" s="262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247"/>
      <c r="K5" s="37"/>
      <c r="L5" s="262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247"/>
      <c r="K6" s="37"/>
      <c r="L6" s="262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5" t="s">
        <v>143</v>
      </c>
      <c r="B7" s="315"/>
      <c r="C7" s="315"/>
      <c r="D7" s="315"/>
      <c r="E7" s="315"/>
      <c r="F7" s="316"/>
      <c r="G7" s="316"/>
      <c r="H7" s="35"/>
      <c r="I7" s="35"/>
      <c r="J7" s="247"/>
      <c r="K7" s="37"/>
      <c r="L7" s="262"/>
      <c r="M7" s="37"/>
      <c r="N7" s="38"/>
      <c r="O7" s="38"/>
      <c r="P7" s="38"/>
      <c r="Q7" s="231" t="s">
        <v>147</v>
      </c>
      <c r="R7" s="231"/>
      <c r="S7" s="231"/>
      <c r="T7" s="231"/>
      <c r="U7" s="231"/>
      <c r="V7" s="231" t="s">
        <v>148</v>
      </c>
      <c r="W7" s="231"/>
      <c r="X7" s="231"/>
    </row>
    <row r="8" spans="1:24" ht="15" customHeight="1" x14ac:dyDescent="0.25">
      <c r="A8" s="44" t="s">
        <v>212</v>
      </c>
      <c r="B8" s="45"/>
      <c r="C8" s="45"/>
      <c r="D8" s="46"/>
      <c r="E8" s="46"/>
      <c r="F8" s="36"/>
      <c r="G8" s="46"/>
      <c r="H8" s="35"/>
      <c r="I8" s="35"/>
      <c r="J8" s="247"/>
      <c r="K8" s="37"/>
      <c r="L8" s="262"/>
      <c r="M8" s="37"/>
      <c r="N8" s="38"/>
      <c r="O8" s="38"/>
      <c r="P8" s="38"/>
      <c r="Q8" s="190" t="s">
        <v>325</v>
      </c>
      <c r="R8" s="191"/>
      <c r="S8" s="192"/>
      <c r="T8" s="193"/>
      <c r="U8" s="194"/>
      <c r="V8" s="195">
        <v>46219</v>
      </c>
      <c r="W8" s="232"/>
      <c r="X8" s="233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247"/>
      <c r="K9" s="37"/>
      <c r="L9" s="262"/>
      <c r="M9" s="37"/>
      <c r="N9" s="38"/>
      <c r="O9" s="38"/>
      <c r="P9" s="38"/>
      <c r="Q9" s="225"/>
      <c r="R9" s="317"/>
      <c r="S9" s="317"/>
      <c r="T9" s="228"/>
      <c r="U9" s="234"/>
      <c r="V9" s="235"/>
      <c r="W9" s="232"/>
      <c r="X9" s="233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247"/>
      <c r="K10" s="37"/>
      <c r="L10" s="262"/>
      <c r="M10" s="37"/>
      <c r="N10" s="38"/>
      <c r="O10" s="38"/>
      <c r="P10" s="38"/>
      <c r="Q10" s="236" t="s">
        <v>149</v>
      </c>
      <c r="R10" s="231"/>
      <c r="S10" s="231"/>
      <c r="T10" s="231"/>
      <c r="U10" s="231"/>
      <c r="V10" s="231" t="s">
        <v>150</v>
      </c>
      <c r="W10" s="231"/>
      <c r="X10" s="231"/>
    </row>
    <row r="11" spans="1:24" ht="15" customHeight="1" x14ac:dyDescent="0.25">
      <c r="A11" s="188" t="s">
        <v>288</v>
      </c>
      <c r="B11" s="34"/>
      <c r="C11" s="35"/>
      <c r="D11" s="35"/>
      <c r="E11" s="46"/>
      <c r="F11" s="46"/>
      <c r="G11" s="46"/>
      <c r="H11" s="35"/>
      <c r="I11" s="35"/>
      <c r="J11" s="247"/>
      <c r="K11" s="37"/>
      <c r="L11" s="262"/>
      <c r="M11" s="37"/>
      <c r="N11" s="38"/>
      <c r="O11" s="38"/>
      <c r="P11" s="38"/>
      <c r="Q11" s="190" t="s">
        <v>323</v>
      </c>
      <c r="R11" s="190"/>
      <c r="S11" s="190"/>
      <c r="T11" s="193"/>
      <c r="U11" s="194"/>
      <c r="V11" s="190"/>
      <c r="W11" s="232"/>
      <c r="X11" s="233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247"/>
      <c r="K12" s="37"/>
      <c r="L12" s="262"/>
      <c r="M12" s="37"/>
      <c r="N12" s="38"/>
      <c r="O12" s="38"/>
      <c r="P12" s="38"/>
      <c r="Q12" s="190"/>
      <c r="R12" s="190"/>
      <c r="S12" s="190"/>
      <c r="T12" s="190"/>
      <c r="U12" s="194"/>
      <c r="V12" s="237"/>
      <c r="W12" s="232"/>
      <c r="X12" s="233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4"/>
      <c r="K13" s="50"/>
      <c r="L13" s="263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210" customFormat="1" ht="39.75" customHeight="1" x14ac:dyDescent="0.2">
      <c r="A14" s="212" t="s">
        <v>158</v>
      </c>
      <c r="B14" s="212" t="s">
        <v>0</v>
      </c>
      <c r="C14" s="212" t="s">
        <v>1</v>
      </c>
      <c r="D14" s="213" t="s">
        <v>135</v>
      </c>
      <c r="E14" s="213" t="s">
        <v>157</v>
      </c>
      <c r="F14" s="213" t="s">
        <v>3</v>
      </c>
      <c r="G14" s="213" t="s">
        <v>152</v>
      </c>
      <c r="H14" s="213" t="s">
        <v>105</v>
      </c>
      <c r="I14" s="213" t="s">
        <v>5</v>
      </c>
      <c r="J14" s="248" t="s">
        <v>64</v>
      </c>
      <c r="K14" s="216" t="s">
        <v>136</v>
      </c>
      <c r="L14" s="264" t="s">
        <v>24</v>
      </c>
      <c r="M14" s="216" t="s">
        <v>108</v>
      </c>
      <c r="N14" s="217" t="s">
        <v>136</v>
      </c>
      <c r="O14" s="217" t="s">
        <v>24</v>
      </c>
      <c r="P14" s="259" t="s">
        <v>108</v>
      </c>
      <c r="Q14" s="213" t="s">
        <v>136</v>
      </c>
      <c r="R14" s="213" t="s">
        <v>24</v>
      </c>
      <c r="S14" s="213" t="s">
        <v>108</v>
      </c>
      <c r="T14" s="218" t="s">
        <v>159</v>
      </c>
      <c r="U14" s="219" t="s">
        <v>6</v>
      </c>
      <c r="V14" s="220" t="s">
        <v>7</v>
      </c>
      <c r="W14" s="220" t="s">
        <v>140</v>
      </c>
      <c r="X14" s="220" t="s">
        <v>141</v>
      </c>
    </row>
    <row r="15" spans="1:24" s="210" customFormat="1" ht="31.5" customHeight="1" x14ac:dyDescent="0.2">
      <c r="A15" s="196">
        <v>1</v>
      </c>
      <c r="B15" s="196"/>
      <c r="C15" s="196" t="s">
        <v>95</v>
      </c>
      <c r="D15" s="197"/>
      <c r="E15" s="197" t="s">
        <v>11</v>
      </c>
      <c r="F15" s="198" t="s">
        <v>123</v>
      </c>
      <c r="G15" s="199" t="str">
        <f>IF(COUNTIFS($C$15:C15,C15,$H$15:H15,H15)=1,
SUMIFS($I$15:$I$43,$C$15:$C$43,C15,$H$15:$H$43,H15)&amp;H15&amp;" "&amp;C15,
"")</f>
        <v>1CK CFN50131W</v>
      </c>
      <c r="H15" s="250" t="s">
        <v>20</v>
      </c>
      <c r="I15" s="200">
        <v>1</v>
      </c>
      <c r="J15" s="249"/>
      <c r="K15" s="201" cm="1">
        <f t="array" ref="K15">IF(E15="untrim",_xlfn.XLOOKUP(1,(TRIM('SIZE GUIDE'!$A$3:$A$2015)=TRIM(E15))*(TRIM('SIZE GUIDE'!$B$3:$B$2015)=TRIM(F15))*(TRIM('SIZE GUIDE'!$C$3:$C$2015)=TRIM(H15)),'SIZE GUIDE'!$D$3:$D$2015),"")</f>
        <v>86</v>
      </c>
      <c r="L15" s="265" cm="1">
        <f t="array" ref="L15">IF(E15="untrim",IFERROR(INDEX('SIZE GUIDE'!$E:$E,MATCH(1,('SIZE GUIDE'!$A:$A=$E15)*('SIZE GUIDE'!$B:$B=$F15)*('SIZE GUIDE'!$C:$C=$H15),0)),""),"")</f>
        <v>76</v>
      </c>
      <c r="M15" s="202">
        <v>44</v>
      </c>
      <c r="N15" s="203"/>
      <c r="O15" s="203" t="str" cm="1">
        <f t="array" ref="O15">IF(E15="trim",IFERROR(INDEX('SIZE GUIDE'!$E:$E,MATCH(1,('SIZE GUIDE'!$A:$A=$E15)*('SIZE GUIDE'!$B:$B=$F15)*('SIZE GUIDE'!$C:$C=$H15),0)),""),"")</f>
        <v/>
      </c>
      <c r="P15" s="203"/>
      <c r="Q15" s="204">
        <f t="shared" ref="Q15:Q33" si="0">IF(E15="untrim",K15-1.5,N15)</f>
        <v>84.5</v>
      </c>
      <c r="R15" s="198">
        <f t="shared" ref="R15:R33" si="1">IF(E15="untrim",L15-1.5,O15)</f>
        <v>74.5</v>
      </c>
      <c r="S15" s="198">
        <f t="shared" ref="S15:S20" si="2">IF(E15="untrim",M15-0.5,P15-0.5)</f>
        <v>43.5</v>
      </c>
      <c r="T15" s="205">
        <f>IFERROR(Q15*R15*S15/144*I15,"")</f>
        <v>1901.6901041666667</v>
      </c>
      <c r="U15" s="206">
        <f>SUMIFS(CODE_PRICE!F:F,CODE_PRICE!B:B,C15,CODE_PRICE!A:A,$A$8)</f>
        <v>0.2316</v>
      </c>
      <c r="V15" s="207">
        <f t="shared" ref="V15:V33" si="3">T15*U15</f>
        <v>440.43142812500002</v>
      </c>
      <c r="W15" s="208" t="str">
        <f>IF(COUNTIF($C$15:C15,C15)=1,C15 &amp; " - " &amp; TEXT(SUMIF($C:$C,C15,$T:$T),"0.00"),"")</f>
        <v>CFN50131W - 27848.76</v>
      </c>
      <c r="X15" s="209">
        <f>IF(COUNTIF($C$15:C15,C15)=1,ROUND(SUMIF($C:$C,C15,$V:$V),2), "")</f>
        <v>6449.77</v>
      </c>
    </row>
    <row r="16" spans="1:24" s="210" customFormat="1" ht="31.5" customHeight="1" x14ac:dyDescent="0.2">
      <c r="A16" s="196">
        <f>A15+1</f>
        <v>2</v>
      </c>
      <c r="B16" s="196"/>
      <c r="C16" s="196" t="s">
        <v>95</v>
      </c>
      <c r="D16" s="197"/>
      <c r="E16" s="197" t="s">
        <v>11</v>
      </c>
      <c r="F16" s="198" t="s">
        <v>123</v>
      </c>
      <c r="G16" s="199" t="str">
        <f>IF(COUNTIFS($C$15:C16,C16,$H$15:H16,H16)=1,
SUMIFS($I$15:$I$43,$C$15:$C$43,C16,$H$15:$H$43,H16)&amp;H16&amp;" "&amp;C16,
"")</f>
        <v>8K CFN50131W</v>
      </c>
      <c r="H16" s="250" t="s">
        <v>18</v>
      </c>
      <c r="I16" s="200">
        <v>1</v>
      </c>
      <c r="J16" s="249"/>
      <c r="K16" s="201" cm="1">
        <f t="array" ref="K16">IF(E16="untrim",_xlfn.XLOOKUP(1,(TRIM('SIZE GUIDE'!$A$3:$A$2015)=TRIM(E16))*(TRIM('SIZE GUIDE'!$B$3:$B$2015)=TRIM(F16))*(TRIM('SIZE GUIDE'!$C$3:$C$2015)=TRIM(H16)),'SIZE GUIDE'!$D$3:$D$2015),"")</f>
        <v>81</v>
      </c>
      <c r="L16" s="265" cm="1">
        <f t="array" ref="L16">IF(E16="untrim",IFERROR(INDEX('SIZE GUIDE'!$E:$E,MATCH(1,('SIZE GUIDE'!$A:$A=$E16)*('SIZE GUIDE'!$B:$B=$F16)*('SIZE GUIDE'!$C:$C=$H16),0)),""),"")</f>
        <v>77</v>
      </c>
      <c r="M16" s="202">
        <v>43</v>
      </c>
      <c r="N16" s="203"/>
      <c r="O16" s="203" t="str" cm="1">
        <f t="array" ref="O16">IF(E16="trim",IFERROR(INDEX('SIZE GUIDE'!$E:$E,MATCH(1,('SIZE GUIDE'!$A:$A=$E16)*('SIZE GUIDE'!$B:$B=$F16)*('SIZE GUIDE'!$C:$C=$H16),0)),""),"")</f>
        <v/>
      </c>
      <c r="P16" s="203"/>
      <c r="Q16" s="204">
        <f t="shared" si="0"/>
        <v>79.5</v>
      </c>
      <c r="R16" s="198">
        <f t="shared" si="1"/>
        <v>75.5</v>
      </c>
      <c r="S16" s="198">
        <f t="shared" si="2"/>
        <v>42.5</v>
      </c>
      <c r="T16" s="205">
        <f t="shared" ref="T16:T33" si="4">IFERROR(Q16*R16*S16/144*I16,"")</f>
        <v>1771.4973958333333</v>
      </c>
      <c r="U16" s="206">
        <f>SUMIFS(CODE_PRICE!F:F,CODE_PRICE!B:B,C16,CODE_PRICE!A:A,$A$8)</f>
        <v>0.2316</v>
      </c>
      <c r="V16" s="207">
        <f t="shared" si="3"/>
        <v>410.27879687499995</v>
      </c>
      <c r="W16" s="208" t="str">
        <f>IF(COUNTIF($C$15:C16,C16)=1,C16 &amp; " - " &amp; TEXT(SUMIF($C:$C,C16,$T:$T),"0.00"),"")</f>
        <v/>
      </c>
      <c r="X16" s="209" t="str">
        <f>IF(COUNTIF($C$15:C16,C16)=1,ROUND(SUMIF($C:$C,C16,$V:$V),2), "")</f>
        <v/>
      </c>
    </row>
    <row r="17" spans="1:34" s="210" customFormat="1" ht="31.5" customHeight="1" x14ac:dyDescent="0.2">
      <c r="A17" s="196">
        <f t="shared" ref="A17:A33" si="5">A16+1</f>
        <v>3</v>
      </c>
      <c r="B17" s="196"/>
      <c r="C17" s="196" t="s">
        <v>95</v>
      </c>
      <c r="D17" s="197"/>
      <c r="E17" s="197" t="s">
        <v>11</v>
      </c>
      <c r="F17" s="198" t="s">
        <v>123</v>
      </c>
      <c r="G17" s="199" t="str">
        <f>IF(COUNTIFS($C$15:C17,C17,$H$15:H17,H17)=1,
SUMIFS($I$15:$I$43,$C$15:$C$43,C17,$H$15:$H$43,H17)&amp;H17&amp;" "&amp;C17,
"")</f>
        <v/>
      </c>
      <c r="H17" s="250" t="s">
        <v>18</v>
      </c>
      <c r="I17" s="200">
        <v>1</v>
      </c>
      <c r="J17" s="249"/>
      <c r="K17" s="201" cm="1">
        <f t="array" ref="K17">IF(E17="untrim",_xlfn.XLOOKUP(1,(TRIM('SIZE GUIDE'!$A$3:$A$2015)=TRIM(E17))*(TRIM('SIZE GUIDE'!$B$3:$B$2015)=TRIM(F17))*(TRIM('SIZE GUIDE'!$C$3:$C$2015)=TRIM(H17)),'SIZE GUIDE'!$D$3:$D$2015),"")</f>
        <v>81</v>
      </c>
      <c r="L17" s="265" cm="1">
        <f t="array" ref="L17">IF(E17="untrim",IFERROR(INDEX('SIZE GUIDE'!$E:$E,MATCH(1,('SIZE GUIDE'!$A:$A=$E17)*('SIZE GUIDE'!$B:$B=$F17)*('SIZE GUIDE'!$C:$C=$H17),0)),""),"")</f>
        <v>77</v>
      </c>
      <c r="M17" s="202">
        <v>45</v>
      </c>
      <c r="N17" s="203"/>
      <c r="O17" s="203" t="str" cm="1">
        <f t="array" ref="O17">IF(E17="trim",IFERROR(INDEX('SIZE GUIDE'!$E:$E,MATCH(1,('SIZE GUIDE'!$A:$A=$E17)*('SIZE GUIDE'!$B:$B=$F17)*('SIZE GUIDE'!$C:$C=$H17),0)),""),"")</f>
        <v/>
      </c>
      <c r="P17" s="203"/>
      <c r="Q17" s="204">
        <f t="shared" si="0"/>
        <v>79.5</v>
      </c>
      <c r="R17" s="198">
        <f t="shared" si="1"/>
        <v>75.5</v>
      </c>
      <c r="S17" s="198">
        <f t="shared" si="2"/>
        <v>44.5</v>
      </c>
      <c r="T17" s="205">
        <f t="shared" si="4"/>
        <v>1854.8619791666667</v>
      </c>
      <c r="U17" s="206">
        <f>SUMIFS(CODE_PRICE!F:F,CODE_PRICE!B:B,C17,CODE_PRICE!A:A,$A$8)</f>
        <v>0.2316</v>
      </c>
      <c r="V17" s="207">
        <f t="shared" si="3"/>
        <v>429.586034375</v>
      </c>
      <c r="W17" s="208" t="str">
        <f>IF(COUNTIF($C$15:C17,C17)=1,C17 &amp; " - " &amp; TEXT(SUMIF($C:$C,C17,$T:$T),"0.00"),"")</f>
        <v/>
      </c>
      <c r="X17" s="209" t="str">
        <f>IF(COUNTIF($C$15:C17,C17)=1,ROUND(SUMIF($C:$C,C17,$V:$V),2), "")</f>
        <v/>
      </c>
    </row>
    <row r="18" spans="1:34" s="210" customFormat="1" ht="31.5" customHeight="1" x14ac:dyDescent="0.2">
      <c r="A18" s="196">
        <f t="shared" si="5"/>
        <v>4</v>
      </c>
      <c r="B18" s="196"/>
      <c r="C18" s="196" t="s">
        <v>95</v>
      </c>
      <c r="D18" s="197"/>
      <c r="E18" s="197" t="s">
        <v>11</v>
      </c>
      <c r="F18" s="198" t="s">
        <v>123</v>
      </c>
      <c r="G18" s="199" t="str">
        <f>IF(COUNTIFS($C$15:C18,C18,$H$15:H18,H18)=1,
SUMIFS($I$15:$I$43,$C$15:$C$43,C18,$H$15:$H$43,H18)&amp;H18&amp;" "&amp;C18,
"")</f>
        <v/>
      </c>
      <c r="H18" s="250" t="s">
        <v>18</v>
      </c>
      <c r="I18" s="200">
        <v>1</v>
      </c>
      <c r="J18" s="249"/>
      <c r="K18" s="201" cm="1">
        <f t="array" ref="K18">IF(E18="untrim",_xlfn.XLOOKUP(1,(TRIM('SIZE GUIDE'!$A$3:$A$2015)=TRIM(E18))*(TRIM('SIZE GUIDE'!$B$3:$B$2015)=TRIM(F18))*(TRIM('SIZE GUIDE'!$C$3:$C$2015)=TRIM(H18)),'SIZE GUIDE'!$D$3:$D$2015),"")</f>
        <v>81</v>
      </c>
      <c r="L18" s="265" cm="1">
        <f t="array" ref="L18">IF(E18="untrim",IFERROR(INDEX('SIZE GUIDE'!$E:$E,MATCH(1,('SIZE GUIDE'!$A:$A=$E18)*('SIZE GUIDE'!$B:$B=$F18)*('SIZE GUIDE'!$C:$C=$H18),0)),""),"")</f>
        <v>77</v>
      </c>
      <c r="M18" s="202">
        <v>44</v>
      </c>
      <c r="N18" s="203"/>
      <c r="O18" s="203" t="str" cm="1">
        <f t="array" ref="O18">IF(E18="trim",IFERROR(INDEX('SIZE GUIDE'!$E:$E,MATCH(1,('SIZE GUIDE'!$A:$A=$E18)*('SIZE GUIDE'!$B:$B=$F18)*('SIZE GUIDE'!$C:$C=$H18),0)),""),"")</f>
        <v/>
      </c>
      <c r="P18" s="203"/>
      <c r="Q18" s="204">
        <f t="shared" si="0"/>
        <v>79.5</v>
      </c>
      <c r="R18" s="198">
        <f t="shared" si="1"/>
        <v>75.5</v>
      </c>
      <c r="S18" s="198">
        <f t="shared" si="2"/>
        <v>43.5</v>
      </c>
      <c r="T18" s="205">
        <f t="shared" si="4"/>
        <v>1813.1796875</v>
      </c>
      <c r="U18" s="206">
        <f>SUMIFS(CODE_PRICE!F:F,CODE_PRICE!B:B,C18,CODE_PRICE!A:A,$A$8)</f>
        <v>0.2316</v>
      </c>
      <c r="V18" s="207">
        <f t="shared" si="3"/>
        <v>419.93241562499998</v>
      </c>
      <c r="W18" s="208" t="str">
        <f>IF(COUNTIF($C$15:C18,C18)=1,C18 &amp; " - " &amp; TEXT(SUMIF($C:$C,C18,$T:$T),"0.00"),"")</f>
        <v/>
      </c>
      <c r="X18" s="209" t="str">
        <f>IF(COUNTIF($C$15:C18,C18)=1,ROUND(SUMIF($C:$C,C18,$V:$V),2), "")</f>
        <v/>
      </c>
      <c r="AH18" s="211"/>
    </row>
    <row r="19" spans="1:34" s="210" customFormat="1" ht="31.5" customHeight="1" x14ac:dyDescent="0.2">
      <c r="A19" s="196">
        <f t="shared" si="5"/>
        <v>5</v>
      </c>
      <c r="B19" s="196"/>
      <c r="C19" s="196" t="s">
        <v>95</v>
      </c>
      <c r="D19" s="197"/>
      <c r="E19" s="197" t="s">
        <v>11</v>
      </c>
      <c r="F19" s="198" t="s">
        <v>123</v>
      </c>
      <c r="G19" s="199" t="str">
        <f>IF(COUNTIFS($C$15:C19,C19,$H$15:H19,H19)=1,
SUMIFS($I$15:$I$43,$C$15:$C$43,C19,$H$15:$H$43,H19)&amp;H19&amp;" "&amp;C19,
"")</f>
        <v/>
      </c>
      <c r="H19" s="250" t="s">
        <v>18</v>
      </c>
      <c r="I19" s="200">
        <v>1</v>
      </c>
      <c r="J19" s="249"/>
      <c r="K19" s="201" cm="1">
        <f t="array" ref="K19">IF(E19="untrim",_xlfn.XLOOKUP(1,(TRIM('SIZE GUIDE'!$A$3:$A$2015)=TRIM(E19))*(TRIM('SIZE GUIDE'!$B$3:$B$2015)=TRIM(F19))*(TRIM('SIZE GUIDE'!$C$3:$C$2015)=TRIM(H19)),'SIZE GUIDE'!$D$3:$D$2015),"")</f>
        <v>81</v>
      </c>
      <c r="L19" s="265" cm="1">
        <f t="array" ref="L19">IF(E19="untrim",IFERROR(INDEX('SIZE GUIDE'!$E:$E,MATCH(1,('SIZE GUIDE'!$A:$A=$E19)*('SIZE GUIDE'!$B:$B=$F19)*('SIZE GUIDE'!$C:$C=$H19),0)),""),"")</f>
        <v>77</v>
      </c>
      <c r="M19" s="202">
        <v>43.5</v>
      </c>
      <c r="N19" s="203"/>
      <c r="O19" s="203" t="str" cm="1">
        <f t="array" ref="O19">IF(E19="trim",IFERROR(INDEX('SIZE GUIDE'!$E:$E,MATCH(1,('SIZE GUIDE'!$A:$A=$E19)*('SIZE GUIDE'!$B:$B=$F19)*('SIZE GUIDE'!$C:$C=$H19),0)),""),"")</f>
        <v/>
      </c>
      <c r="P19" s="203"/>
      <c r="Q19" s="204">
        <f t="shared" si="0"/>
        <v>79.5</v>
      </c>
      <c r="R19" s="198">
        <f t="shared" si="1"/>
        <v>75.5</v>
      </c>
      <c r="S19" s="198">
        <f t="shared" si="2"/>
        <v>43</v>
      </c>
      <c r="T19" s="205">
        <f t="shared" si="4"/>
        <v>1792.3385416666667</v>
      </c>
      <c r="U19" s="206">
        <f>SUMIFS(CODE_PRICE!F:F,CODE_PRICE!B:B,C19,CODE_PRICE!A:A,$A$8)</f>
        <v>0.2316</v>
      </c>
      <c r="V19" s="207">
        <f t="shared" si="3"/>
        <v>415.10560624999999</v>
      </c>
      <c r="W19" s="208" t="str">
        <f>IF(COUNTIF($C$15:C19,C19)=1,C19 &amp; " - " &amp; TEXT(SUMIF($C:$C,C19,$T:$T),"0.00"),"")</f>
        <v/>
      </c>
      <c r="X19" s="209" t="str">
        <f>IF(COUNTIF($C$15:C19,C19)=1,ROUND(SUMIF($C:$C,C19,$V:$V),2), "")</f>
        <v/>
      </c>
    </row>
    <row r="20" spans="1:34" s="210" customFormat="1" ht="31.5" customHeight="1" x14ac:dyDescent="0.2">
      <c r="A20" s="196">
        <f t="shared" si="5"/>
        <v>6</v>
      </c>
      <c r="B20" s="196"/>
      <c r="C20" s="196" t="s">
        <v>95</v>
      </c>
      <c r="D20" s="197"/>
      <c r="E20" s="197" t="s">
        <v>11</v>
      </c>
      <c r="F20" s="198" t="s">
        <v>123</v>
      </c>
      <c r="G20" s="199" t="str">
        <f>IF(COUNTIFS($C$15:C20,C20,$H$15:H20,H20)=1,
SUMIFS($I$15:$I$43,$C$15:$C$43,C20,$H$15:$H$43,H20)&amp;H20&amp;" "&amp;C20,
"")</f>
        <v/>
      </c>
      <c r="H20" s="250" t="s">
        <v>18</v>
      </c>
      <c r="I20" s="200">
        <v>1</v>
      </c>
      <c r="J20" s="249"/>
      <c r="K20" s="201" cm="1">
        <f t="array" ref="K20">IF(E20="untrim",_xlfn.XLOOKUP(1,(TRIM('SIZE GUIDE'!$A$3:$A$2015)=TRIM(E20))*(TRIM('SIZE GUIDE'!$B$3:$B$2015)=TRIM(F20))*(TRIM('SIZE GUIDE'!$C$3:$C$2015)=TRIM(H20)),'SIZE GUIDE'!$D$3:$D$2015),"")</f>
        <v>81</v>
      </c>
      <c r="L20" s="265" cm="1">
        <f t="array" ref="L20">IF(E20="untrim",IFERROR(INDEX('SIZE GUIDE'!$E:$E,MATCH(1,('SIZE GUIDE'!$A:$A=$E20)*('SIZE GUIDE'!$B:$B=$F20)*('SIZE GUIDE'!$C:$C=$H20),0)),""),"")</f>
        <v>77</v>
      </c>
      <c r="M20" s="202">
        <v>43</v>
      </c>
      <c r="N20" s="203"/>
      <c r="O20" s="203" t="str" cm="1">
        <f t="array" ref="O20">IF(E20="trim",IFERROR(INDEX('SIZE GUIDE'!$E:$E,MATCH(1,('SIZE GUIDE'!$A:$A=$E20)*('SIZE GUIDE'!$B:$B=$F20)*('SIZE GUIDE'!$C:$C=$H20),0)),""),"")</f>
        <v/>
      </c>
      <c r="P20" s="203"/>
      <c r="Q20" s="204">
        <f t="shared" si="0"/>
        <v>79.5</v>
      </c>
      <c r="R20" s="198">
        <f t="shared" si="1"/>
        <v>75.5</v>
      </c>
      <c r="S20" s="198">
        <f t="shared" si="2"/>
        <v>42.5</v>
      </c>
      <c r="T20" s="205">
        <f t="shared" si="4"/>
        <v>1771.4973958333333</v>
      </c>
      <c r="U20" s="206">
        <f>SUMIFS(CODE_PRICE!F:F,CODE_PRICE!B:B,C20,CODE_PRICE!A:A,$A$8)</f>
        <v>0.2316</v>
      </c>
      <c r="V20" s="207">
        <f t="shared" si="3"/>
        <v>410.27879687499995</v>
      </c>
      <c r="W20" s="208" t="str">
        <f>IF(COUNTIF($C$15:C20,C20)=1,C20 &amp; " - " &amp; TEXT(SUMIF($C:$C,C20,$T:$T),"0.00"),"")</f>
        <v/>
      </c>
      <c r="X20" s="209" t="str">
        <f>IF(COUNTIF($C$15:C20,C20)=1,ROUND(SUMIF($C:$C,C20,$V:$V),2), "")</f>
        <v/>
      </c>
    </row>
    <row r="21" spans="1:34" s="210" customFormat="1" ht="31.5" customHeight="1" x14ac:dyDescent="0.2">
      <c r="A21" s="196">
        <f t="shared" si="5"/>
        <v>7</v>
      </c>
      <c r="B21" s="196"/>
      <c r="C21" s="196" t="s">
        <v>95</v>
      </c>
      <c r="D21" s="197"/>
      <c r="E21" s="197" t="s">
        <v>11</v>
      </c>
      <c r="F21" s="198" t="s">
        <v>123</v>
      </c>
      <c r="G21" s="199" t="str">
        <f>IF(COUNTIFS($C$15:C21,C21,$H$15:H21,H21)=1,
SUMIFS($I$15:$I$43,$C$15:$C$43,C21,$H$15:$H$43,H21)&amp;H21&amp;" "&amp;C21,
"")</f>
        <v/>
      </c>
      <c r="H21" s="250" t="s">
        <v>18</v>
      </c>
      <c r="I21" s="200">
        <v>1</v>
      </c>
      <c r="J21" s="249"/>
      <c r="K21" s="201" cm="1">
        <f t="array" ref="K21">IF(E21="untrim",_xlfn.XLOOKUP(1,(TRIM('SIZE GUIDE'!$A$3:$A$2015)=TRIM(E21))*(TRIM('SIZE GUIDE'!$B$3:$B$2015)=TRIM(F21))*(TRIM('SIZE GUIDE'!$C$3:$C$2015)=TRIM(H21)),'SIZE GUIDE'!$D$3:$D$2015),"")</f>
        <v>81</v>
      </c>
      <c r="L21" s="265" cm="1">
        <f t="array" ref="L21">IF(E21="untrim",IFERROR(INDEX('SIZE GUIDE'!$E:$E,MATCH(1,('SIZE GUIDE'!$A:$A=$E21)*('SIZE GUIDE'!$B:$B=$F21)*('SIZE GUIDE'!$C:$C=$H21),0)),""),"")</f>
        <v>77</v>
      </c>
      <c r="M21" s="202">
        <v>42.5</v>
      </c>
      <c r="N21" s="203"/>
      <c r="O21" s="203" t="str" cm="1">
        <f t="array" ref="O21">IF(E21="trim",IFERROR(INDEX('SIZE GUIDE'!$E:$E,MATCH(1,('SIZE GUIDE'!$A:$A=$E21)*('SIZE GUIDE'!$B:$B=$F21)*('SIZE GUIDE'!$C:$C=$H21),0)),""),"")</f>
        <v/>
      </c>
      <c r="P21" s="203"/>
      <c r="Q21" s="204">
        <f t="shared" si="0"/>
        <v>79.5</v>
      </c>
      <c r="R21" s="198">
        <f t="shared" si="1"/>
        <v>75.5</v>
      </c>
      <c r="S21" s="198">
        <f t="shared" ref="S21:S26" si="6">IF(E21="untrim",M22-0.5,P21-0.5)</f>
        <v>41.5</v>
      </c>
      <c r="T21" s="205">
        <f t="shared" si="4"/>
        <v>1729.8151041666667</v>
      </c>
      <c r="U21" s="206">
        <f>SUMIFS(CODE_PRICE!F:F,CODE_PRICE!B:B,C21,CODE_PRICE!A:A,$A$8)</f>
        <v>0.2316</v>
      </c>
      <c r="V21" s="207">
        <f t="shared" si="3"/>
        <v>400.62517812499999</v>
      </c>
      <c r="W21" s="208" t="str">
        <f>IF(COUNTIF($C$15:C21,C21)=1,C21 &amp; " - " &amp; TEXT(SUMIF($C:$C,C21,$T:$T),"0.00"),"")</f>
        <v/>
      </c>
      <c r="X21" s="209" t="str">
        <f>IF(COUNTIF($C$15:C21,C21)=1,ROUND(SUMIF($C:$C,C21,$V:$V),2), "")</f>
        <v/>
      </c>
    </row>
    <row r="22" spans="1:34" s="210" customFormat="1" ht="31.5" customHeight="1" x14ac:dyDescent="0.2">
      <c r="A22" s="196">
        <f t="shared" si="5"/>
        <v>8</v>
      </c>
      <c r="B22" s="196"/>
      <c r="C22" s="196" t="s">
        <v>95</v>
      </c>
      <c r="D22" s="197"/>
      <c r="E22" s="197" t="s">
        <v>11</v>
      </c>
      <c r="F22" s="198" t="s">
        <v>123</v>
      </c>
      <c r="G22" s="199" t="str">
        <f>IF(COUNTIFS($C$15:C22,C22,$H$15:H22,H22)=1,
SUMIFS($I$15:$I$43,$C$15:$C$43,C22,$H$15:$H$43,H22)&amp;H22&amp;" "&amp;C22,
"")</f>
        <v/>
      </c>
      <c r="H22" s="250" t="s">
        <v>18</v>
      </c>
      <c r="I22" s="200">
        <v>1</v>
      </c>
      <c r="J22" s="249"/>
      <c r="K22" s="201" cm="1">
        <f t="array" ref="K22">IF(E22="untrim",_xlfn.XLOOKUP(1,(TRIM('SIZE GUIDE'!$A$3:$A$2015)=TRIM(E22))*(TRIM('SIZE GUIDE'!$B$3:$B$2015)=TRIM(F22))*(TRIM('SIZE GUIDE'!$C$3:$C$2015)=TRIM(H22)),'SIZE GUIDE'!$D$3:$D$2015),"")</f>
        <v>81</v>
      </c>
      <c r="L22" s="265" cm="1">
        <f t="array" ref="L22">IF(E22="untrim",IFERROR(INDEX('SIZE GUIDE'!$E:$E,MATCH(1,('SIZE GUIDE'!$A:$A=$E22)*('SIZE GUIDE'!$B:$B=$F22)*('SIZE GUIDE'!$C:$C=$H22),0)),""),"")</f>
        <v>77</v>
      </c>
      <c r="M22" s="202">
        <v>42</v>
      </c>
      <c r="N22" s="203"/>
      <c r="O22" s="203" t="str" cm="1">
        <f t="array" ref="O22">IF(E22="trim",IFERROR(INDEX('SIZE GUIDE'!$E:$E,MATCH(1,('SIZE GUIDE'!$A:$A=$E22)*('SIZE GUIDE'!$B:$B=$F22)*('SIZE GUIDE'!$C:$C=$H22),0)),""),"")</f>
        <v/>
      </c>
      <c r="P22" s="203"/>
      <c r="Q22" s="204">
        <f t="shared" si="0"/>
        <v>79.5</v>
      </c>
      <c r="R22" s="198">
        <f t="shared" si="1"/>
        <v>75.5</v>
      </c>
      <c r="S22" s="198">
        <f t="shared" si="6"/>
        <v>42</v>
      </c>
      <c r="T22" s="205">
        <f t="shared" si="4"/>
        <v>1750.65625</v>
      </c>
      <c r="U22" s="206">
        <f>SUMIFS(CODE_PRICE!F:F,CODE_PRICE!B:B,C22,CODE_PRICE!A:A,$A$8)</f>
        <v>0.2316</v>
      </c>
      <c r="V22" s="207">
        <f t="shared" si="3"/>
        <v>405.45198749999997</v>
      </c>
      <c r="W22" s="208" t="str">
        <f>IF(COUNTIF($C$15:C22,C22)=1,C22 &amp; " - " &amp; TEXT(SUMIF($C:$C,C22,$T:$T),"0.00"),"")</f>
        <v/>
      </c>
      <c r="X22" s="209" t="str">
        <f>IF(COUNTIF($C$15:C22,C22)=1,ROUND(SUMIF($C:$C,C22,$V:$V),2), "")</f>
        <v/>
      </c>
      <c r="AD22" s="210" t="s">
        <v>204</v>
      </c>
    </row>
    <row r="23" spans="1:34" s="210" customFormat="1" ht="31.5" customHeight="1" x14ac:dyDescent="0.2">
      <c r="A23" s="196">
        <f t="shared" si="5"/>
        <v>9</v>
      </c>
      <c r="B23" s="196"/>
      <c r="C23" s="196" t="s">
        <v>95</v>
      </c>
      <c r="D23" s="197"/>
      <c r="E23" s="197" t="s">
        <v>11</v>
      </c>
      <c r="F23" s="198" t="s">
        <v>123</v>
      </c>
      <c r="G23" s="199" t="str">
        <f>IF(COUNTIFS($C$15:C23,C23,$H$15:H23,H23)=1,
SUMIFS($I$15:$I$43,$C$15:$C$43,C23,$H$15:$H$43,H23)&amp;H23&amp;" "&amp;C23,
"")</f>
        <v/>
      </c>
      <c r="H23" s="250" t="s">
        <v>18</v>
      </c>
      <c r="I23" s="200">
        <v>1</v>
      </c>
      <c r="J23" s="249"/>
      <c r="K23" s="201" cm="1">
        <f t="array" ref="K23">IF(E23="untrim",_xlfn.XLOOKUP(1,(TRIM('SIZE GUIDE'!$A$3:$A$2015)=TRIM(E23))*(TRIM('SIZE GUIDE'!$B$3:$B$2015)=TRIM(F23))*(TRIM('SIZE GUIDE'!$C$3:$C$2015)=TRIM(H23)),'SIZE GUIDE'!$D$3:$D$2015),"")</f>
        <v>81</v>
      </c>
      <c r="L23" s="265" cm="1">
        <f t="array" ref="L23">IF(E23="untrim",IFERROR(INDEX('SIZE GUIDE'!$E:$E,MATCH(1,('SIZE GUIDE'!$A:$A=$E23)*('SIZE GUIDE'!$B:$B=$F23)*('SIZE GUIDE'!$C:$C=$H23),0)),""),"")</f>
        <v>77</v>
      </c>
      <c r="M23" s="202">
        <v>42.5</v>
      </c>
      <c r="N23" s="203"/>
      <c r="O23" s="203" t="str" cm="1">
        <f t="array" ref="O23">IF(E23="trim",IFERROR(INDEX('SIZE GUIDE'!$E:$E,MATCH(1,('SIZE GUIDE'!$A:$A=$E23)*('SIZE GUIDE'!$B:$B=$F23)*('SIZE GUIDE'!$C:$C=$H23),0)),""),"")</f>
        <v/>
      </c>
      <c r="P23" s="203"/>
      <c r="Q23" s="204">
        <f t="shared" si="0"/>
        <v>79.5</v>
      </c>
      <c r="R23" s="198">
        <f t="shared" si="1"/>
        <v>75.5</v>
      </c>
      <c r="S23" s="198">
        <f t="shared" si="6"/>
        <v>40.5</v>
      </c>
      <c r="T23" s="205">
        <f t="shared" si="4"/>
        <v>1688.1328125</v>
      </c>
      <c r="U23" s="206">
        <f>SUMIFS(CODE_PRICE!F:F,CODE_PRICE!B:B,C23,CODE_PRICE!A:A,$A$8)</f>
        <v>0.2316</v>
      </c>
      <c r="V23" s="207">
        <f t="shared" si="3"/>
        <v>390.97155937500003</v>
      </c>
      <c r="W23" s="208" t="str">
        <f>IF(COUNTIF($C$15:C23,C23)=1,C23 &amp; " - " &amp; TEXT(SUMIF($C:$C,C23,$T:$T),"0.00"),"")</f>
        <v/>
      </c>
      <c r="X23" s="209" t="str">
        <f>IF(COUNTIF($C$15:C23,C23)=1,ROUND(SUMIF($C:$C,C23,$V:$V),2), "")</f>
        <v/>
      </c>
    </row>
    <row r="24" spans="1:34" s="210" customFormat="1" ht="31.5" customHeight="1" x14ac:dyDescent="0.2">
      <c r="A24" s="196">
        <f t="shared" si="5"/>
        <v>10</v>
      </c>
      <c r="B24" s="196"/>
      <c r="C24" s="196" t="s">
        <v>95</v>
      </c>
      <c r="D24" s="197"/>
      <c r="E24" s="197" t="s">
        <v>11</v>
      </c>
      <c r="F24" s="198" t="s">
        <v>123</v>
      </c>
      <c r="G24" s="199" t="str">
        <f>IF(COUNTIFS($C$15:C24,C24,$H$15:H24,H24)=1,
SUMIFS($I$15:$I$43,$C$15:$C$43,C24,$H$15:$H$43,H24)&amp;H24&amp;" "&amp;C24,
"")</f>
        <v>4Q CFN50131W</v>
      </c>
      <c r="H24" s="250" t="s">
        <v>16</v>
      </c>
      <c r="I24" s="200">
        <v>1</v>
      </c>
      <c r="J24" s="249"/>
      <c r="K24" s="201" cm="1">
        <f t="array" ref="K24">IF(E24="untrim",_xlfn.XLOOKUP(1,(TRIM('SIZE GUIDE'!$A$3:$A$2015)=TRIM(E24))*(TRIM('SIZE GUIDE'!$B$3:$B$2015)=TRIM(F24))*(TRIM('SIZE GUIDE'!$C$3:$C$2015)=TRIM(H24)),'SIZE GUIDE'!$D$3:$D$2015),"")</f>
        <v>81</v>
      </c>
      <c r="L24" s="265" cm="1">
        <f t="array" ref="L24">IF(E24="untrim",IFERROR(INDEX('SIZE GUIDE'!$E:$E,MATCH(1,('SIZE GUIDE'!$A:$A=$E24)*('SIZE GUIDE'!$B:$B=$F24)*('SIZE GUIDE'!$C:$C=$H24),0)),""),"")</f>
        <v>61</v>
      </c>
      <c r="M24" s="202">
        <v>41</v>
      </c>
      <c r="N24" s="203"/>
      <c r="O24" s="203" t="str" cm="1">
        <f t="array" ref="O24">IF(E24="trim",IFERROR(INDEX('SIZE GUIDE'!$E:$E,MATCH(1,('SIZE GUIDE'!$A:$A=$E24)*('SIZE GUIDE'!$B:$B=$F24)*('SIZE GUIDE'!$C:$C=$H24),0)),""),"")</f>
        <v/>
      </c>
      <c r="P24" s="203"/>
      <c r="Q24" s="204">
        <f t="shared" si="0"/>
        <v>79.5</v>
      </c>
      <c r="R24" s="198">
        <f t="shared" si="1"/>
        <v>59.5</v>
      </c>
      <c r="S24" s="198">
        <f t="shared" si="6"/>
        <v>40.5</v>
      </c>
      <c r="T24" s="205">
        <f t="shared" si="4"/>
        <v>1330.3828125</v>
      </c>
      <c r="U24" s="206">
        <f>SUMIFS(CODE_PRICE!F:F,CODE_PRICE!B:B,C24,CODE_PRICE!A:A,$A$8)</f>
        <v>0.2316</v>
      </c>
      <c r="V24" s="207">
        <f t="shared" si="3"/>
        <v>308.11665937499998</v>
      </c>
      <c r="W24" s="208" t="str">
        <f>IF(COUNTIF($C$15:C24,C24)=1,C24 &amp; " - " &amp; TEXT(SUMIF($C:$C,C24,$T:$T),"0.00"),"")</f>
        <v/>
      </c>
      <c r="X24" s="209" t="str">
        <f>IF(COUNTIF($C$15:C24,C24)=1,ROUND(SUMIF($C:$C,C24,$V:$V),2), "")</f>
        <v/>
      </c>
    </row>
    <row r="25" spans="1:34" s="210" customFormat="1" ht="31.5" customHeight="1" x14ac:dyDescent="0.2">
      <c r="A25" s="196">
        <f t="shared" si="5"/>
        <v>11</v>
      </c>
      <c r="B25" s="196"/>
      <c r="C25" s="196" t="s">
        <v>95</v>
      </c>
      <c r="D25" s="197"/>
      <c r="E25" s="197" t="s">
        <v>11</v>
      </c>
      <c r="F25" s="198" t="s">
        <v>123</v>
      </c>
      <c r="G25" s="199" t="str">
        <f>IF(COUNTIFS($C$15:C25,C25,$H$15:H25,H25)=1,
SUMIFS($I$15:$I$43,$C$15:$C$43,C25,$H$15:$H$43,H25)&amp;H25&amp;" "&amp;C25,
"")</f>
        <v/>
      </c>
      <c r="H25" s="250" t="s">
        <v>16</v>
      </c>
      <c r="I25" s="200">
        <v>1</v>
      </c>
      <c r="J25" s="249"/>
      <c r="K25" s="201" cm="1">
        <f t="array" ref="K25">IF(E25="untrim",_xlfn.XLOOKUP(1,(TRIM('SIZE GUIDE'!$A$3:$A$2015)=TRIM(E25))*(TRIM('SIZE GUIDE'!$B$3:$B$2015)=TRIM(F25))*(TRIM('SIZE GUIDE'!$C$3:$C$2015)=TRIM(H25)),'SIZE GUIDE'!$D$3:$D$2015),"")</f>
        <v>81</v>
      </c>
      <c r="L25" s="265" cm="1">
        <f t="array" ref="L25">IF(E25="untrim",IFERROR(INDEX('SIZE GUIDE'!$E:$E,MATCH(1,('SIZE GUIDE'!$A:$A=$E25)*('SIZE GUIDE'!$B:$B=$F25)*('SIZE GUIDE'!$C:$C=$H25),0)),""),"")</f>
        <v>61</v>
      </c>
      <c r="M25" s="202">
        <v>41</v>
      </c>
      <c r="N25" s="203"/>
      <c r="O25" s="203" t="str" cm="1">
        <f t="array" ref="O25">IF(E25="trim",IFERROR(INDEX('SIZE GUIDE'!$E:$E,MATCH(1,('SIZE GUIDE'!$A:$A=$E25)*('SIZE GUIDE'!$B:$B=$F25)*('SIZE GUIDE'!$C:$C=$H25),0)),""),"")</f>
        <v/>
      </c>
      <c r="P25" s="203"/>
      <c r="Q25" s="204">
        <f t="shared" si="0"/>
        <v>79.5</v>
      </c>
      <c r="R25" s="198">
        <f t="shared" si="1"/>
        <v>59.5</v>
      </c>
      <c r="S25" s="198">
        <f t="shared" si="6"/>
        <v>41</v>
      </c>
      <c r="T25" s="205">
        <f t="shared" si="4"/>
        <v>1346.8072916666667</v>
      </c>
      <c r="U25" s="206">
        <f>SUMIFS(CODE_PRICE!F:F,CODE_PRICE!B:B,C25,CODE_PRICE!A:A,$A$8)</f>
        <v>0.2316</v>
      </c>
      <c r="V25" s="207">
        <f t="shared" si="3"/>
        <v>311.92056875000003</v>
      </c>
      <c r="W25" s="208" t="str">
        <f>IF(COUNTIF($C$15:C25,C25)=1,C25 &amp; " - " &amp; TEXT(SUMIF($C:$C,C25,$T:$T),"0.00"),"")</f>
        <v/>
      </c>
      <c r="X25" s="209" t="str">
        <f>IF(COUNTIF($C$15:C25,C25)=1,ROUND(SUMIF($C:$C,C25,$V:$V),2), "")</f>
        <v/>
      </c>
    </row>
    <row r="26" spans="1:34" s="210" customFormat="1" ht="31.5" customHeight="1" x14ac:dyDescent="0.2">
      <c r="A26" s="196">
        <f t="shared" si="5"/>
        <v>12</v>
      </c>
      <c r="B26" s="196"/>
      <c r="C26" s="196" t="s">
        <v>95</v>
      </c>
      <c r="D26" s="197"/>
      <c r="E26" s="197" t="s">
        <v>11</v>
      </c>
      <c r="F26" s="198" t="s">
        <v>123</v>
      </c>
      <c r="G26" s="199" t="str">
        <f>IF(COUNTIFS($C$15:C26,C26,$H$15:H26,H26)=1,
SUMIFS($I$15:$I$43,$C$15:$C$43,C26,$H$15:$H$43,H26)&amp;H26&amp;" "&amp;C26,
"")</f>
        <v/>
      </c>
      <c r="H26" s="250" t="s">
        <v>16</v>
      </c>
      <c r="I26" s="200">
        <v>1</v>
      </c>
      <c r="J26" s="249"/>
      <c r="K26" s="201" cm="1">
        <f t="array" ref="K26">IF(E26="untrim",_xlfn.XLOOKUP(1,(TRIM('SIZE GUIDE'!$A$3:$A$2015)=TRIM(E26))*(TRIM('SIZE GUIDE'!$B$3:$B$2015)=TRIM(F26))*(TRIM('SIZE GUIDE'!$C$3:$C$2015)=TRIM(H26)),'SIZE GUIDE'!$D$3:$D$2015),"")</f>
        <v>81</v>
      </c>
      <c r="L26" s="265" cm="1">
        <f t="array" ref="L26">IF(E26="untrim",IFERROR(INDEX('SIZE GUIDE'!$E:$E,MATCH(1,('SIZE GUIDE'!$A:$A=$E26)*('SIZE GUIDE'!$B:$B=$F26)*('SIZE GUIDE'!$C:$C=$H26),0)),""),"")</f>
        <v>61</v>
      </c>
      <c r="M26" s="202">
        <v>41.5</v>
      </c>
      <c r="N26" s="203"/>
      <c r="O26" s="203" t="str" cm="1">
        <f t="array" ref="O26">IF(E26="trim",IFERROR(INDEX('SIZE GUIDE'!$E:$E,MATCH(1,('SIZE GUIDE'!$A:$A=$E26)*('SIZE GUIDE'!$B:$B=$F26)*('SIZE GUIDE'!$C:$C=$H26),0)),""),"")</f>
        <v/>
      </c>
      <c r="P26" s="203"/>
      <c r="Q26" s="204">
        <f t="shared" si="0"/>
        <v>79.5</v>
      </c>
      <c r="R26" s="198">
        <f t="shared" si="1"/>
        <v>59.5</v>
      </c>
      <c r="S26" s="198">
        <f t="shared" si="6"/>
        <v>41</v>
      </c>
      <c r="T26" s="205">
        <f t="shared" si="4"/>
        <v>1346.8072916666667</v>
      </c>
      <c r="U26" s="206">
        <f>SUMIFS(CODE_PRICE!F:F,CODE_PRICE!B:B,C26,CODE_PRICE!A:A,$A$8)</f>
        <v>0.2316</v>
      </c>
      <c r="V26" s="207">
        <f t="shared" si="3"/>
        <v>311.92056875000003</v>
      </c>
      <c r="W26" s="208" t="str">
        <f>IF(COUNTIF($C$15:C26,C26)=1,C26 &amp; " - " &amp; TEXT(SUMIF($C:$C,C26,$T:$T),"0.00"),"")</f>
        <v/>
      </c>
      <c r="X26" s="209" t="str">
        <f>IF(COUNTIF($C$15:C26,C26)=1,ROUND(SUMIF($C:$C,C26,$V:$V),2), "")</f>
        <v/>
      </c>
    </row>
    <row r="27" spans="1:34" s="210" customFormat="1" ht="31.5" customHeight="1" x14ac:dyDescent="0.2">
      <c r="A27" s="196">
        <f t="shared" si="5"/>
        <v>13</v>
      </c>
      <c r="B27" s="196"/>
      <c r="C27" s="196" t="s">
        <v>95</v>
      </c>
      <c r="D27" s="197"/>
      <c r="E27" s="197" t="s">
        <v>11</v>
      </c>
      <c r="F27" s="198" t="s">
        <v>123</v>
      </c>
      <c r="G27" s="199" t="str">
        <f>IF(COUNTIFS($C$15:C27,C27,$H$15:H27,H27)=1,
SUMIFS($I$15:$I$43,$C$15:$C$43,C27,$H$15:$H$43,H27)&amp;H27&amp;" "&amp;C27,
"")</f>
        <v/>
      </c>
      <c r="H27" s="250" t="s">
        <v>16</v>
      </c>
      <c r="I27" s="200">
        <v>1</v>
      </c>
      <c r="J27" s="249"/>
      <c r="K27" s="201" cm="1">
        <f t="array" ref="K27">IF(E27="untrim",_xlfn.XLOOKUP(1,(TRIM('SIZE GUIDE'!$A$3:$A$2015)=TRIM(E27))*(TRIM('SIZE GUIDE'!$B$3:$B$2015)=TRIM(F27))*(TRIM('SIZE GUIDE'!$C$3:$C$2015)=TRIM(H27)),'SIZE GUIDE'!$D$3:$D$2015),"")</f>
        <v>81</v>
      </c>
      <c r="L27" s="265" cm="1">
        <f t="array" ref="L27">IF(E27="untrim",IFERROR(INDEX('SIZE GUIDE'!$E:$E,MATCH(1,('SIZE GUIDE'!$A:$A=$E27)*('SIZE GUIDE'!$B:$B=$F27)*('SIZE GUIDE'!$C:$C=$H27),0)),""),"")</f>
        <v>61</v>
      </c>
      <c r="M27" s="202">
        <v>41.5</v>
      </c>
      <c r="N27" s="203"/>
      <c r="O27" s="203" t="str" cm="1">
        <f t="array" ref="O27">IF(E27="trim",IFERROR(INDEX('SIZE GUIDE'!$E:$E,MATCH(1,('SIZE GUIDE'!$A:$A=$E27)*('SIZE GUIDE'!$B:$B=$F27)*('SIZE GUIDE'!$C:$C=$H27),0)),""),"")</f>
        <v/>
      </c>
      <c r="P27" s="203"/>
      <c r="Q27" s="204">
        <f t="shared" si="0"/>
        <v>79.5</v>
      </c>
      <c r="R27" s="198">
        <f t="shared" si="1"/>
        <v>59.5</v>
      </c>
      <c r="S27" s="198">
        <f t="shared" ref="S27:S33" si="7">IF(E27="untrim",M27-0.5,P27-0.5)</f>
        <v>41</v>
      </c>
      <c r="T27" s="205">
        <f t="shared" si="4"/>
        <v>1346.8072916666667</v>
      </c>
      <c r="U27" s="206">
        <f>SUMIFS(CODE_PRICE!F:F,CODE_PRICE!B:B,C27,CODE_PRICE!A:A,$A$8)</f>
        <v>0.2316</v>
      </c>
      <c r="V27" s="207">
        <f t="shared" si="3"/>
        <v>311.92056875000003</v>
      </c>
      <c r="W27" s="208" t="str">
        <f>IF(COUNTIF($C$15:C27,C27)=1,C27 &amp; " - " &amp; TEXT(SUMIF($C:$C,C27,$T:$T),"0.00"),"")</f>
        <v/>
      </c>
      <c r="X27" s="209" t="str">
        <f>IF(COUNTIF($C$15:C27,C27)=1,ROUND(SUMIF($C:$C,C27,$V:$V),2), "")</f>
        <v/>
      </c>
    </row>
    <row r="28" spans="1:34" s="210" customFormat="1" ht="31.5" customHeight="1" x14ac:dyDescent="0.2">
      <c r="A28" s="196">
        <f t="shared" si="5"/>
        <v>14</v>
      </c>
      <c r="B28" s="196"/>
      <c r="C28" s="196" t="s">
        <v>95</v>
      </c>
      <c r="D28" s="197"/>
      <c r="E28" s="197" t="s">
        <v>11</v>
      </c>
      <c r="F28" s="198" t="s">
        <v>123</v>
      </c>
      <c r="G28" s="199" t="str">
        <f>IF(COUNTIFS($C$15:C28,C28,$H$15:H28,H28)=1,
SUMIFS($I$15:$I$43,$C$15:$C$43,C28,$H$15:$H$43,H28)&amp;H28&amp;" "&amp;C28,
"")</f>
        <v>4F CFN50131W</v>
      </c>
      <c r="H28" s="250" t="s">
        <v>14</v>
      </c>
      <c r="I28" s="200">
        <v>1</v>
      </c>
      <c r="J28" s="249"/>
      <c r="K28" s="201" cm="1">
        <f t="array" ref="K28">IF(E28="untrim",_xlfn.XLOOKUP(1,(TRIM('SIZE GUIDE'!$A$3:$A$2015)=TRIM(E28))*(TRIM('SIZE GUIDE'!$B$3:$B$2015)=TRIM(F28))*(TRIM('SIZE GUIDE'!$C$3:$C$2015)=TRIM(H28)),'SIZE GUIDE'!$D$3:$D$2015),"")</f>
        <v>76</v>
      </c>
      <c r="L28" s="265" cm="1">
        <f t="array" ref="L28">IF(E28="untrim",IFERROR(INDEX('SIZE GUIDE'!$E:$E,MATCH(1,('SIZE GUIDE'!$A:$A=$E28)*('SIZE GUIDE'!$B:$B=$F28)*('SIZE GUIDE'!$C:$C=$H28),0)),""),"")</f>
        <v>55</v>
      </c>
      <c r="M28" s="202">
        <v>43.5</v>
      </c>
      <c r="N28" s="203"/>
      <c r="O28" s="203" t="str" cm="1">
        <f t="array" ref="O28">IF(E28="trim",IFERROR(INDEX('SIZE GUIDE'!$E:$E,MATCH(1,('SIZE GUIDE'!$A:$A=$E28)*('SIZE GUIDE'!$B:$B=$F28)*('SIZE GUIDE'!$C:$C=$H28),0)),""),"")</f>
        <v/>
      </c>
      <c r="P28" s="203"/>
      <c r="Q28" s="204">
        <f t="shared" si="0"/>
        <v>74.5</v>
      </c>
      <c r="R28" s="198">
        <f t="shared" si="1"/>
        <v>53.5</v>
      </c>
      <c r="S28" s="198">
        <f t="shared" si="7"/>
        <v>43</v>
      </c>
      <c r="T28" s="205">
        <f t="shared" si="4"/>
        <v>1190.1892361111111</v>
      </c>
      <c r="U28" s="206">
        <f>SUMIFS(CODE_PRICE!F:F,CODE_PRICE!B:B,C28,CODE_PRICE!A:A,$A$8)</f>
        <v>0.2316</v>
      </c>
      <c r="V28" s="207">
        <f t="shared" si="3"/>
        <v>275.64782708333331</v>
      </c>
      <c r="W28" s="208" t="str">
        <f>IF(COUNTIF($C$15:C28,C28)=1,C28 &amp; " - " &amp; TEXT(SUMIF($C:$C,C28,$T:$T),"0.00"),"")</f>
        <v/>
      </c>
      <c r="X28" s="209" t="str">
        <f>IF(COUNTIF($C$15:C28,C28)=1,ROUND(SUMIF($C:$C,C28,$V:$V),2), "")</f>
        <v/>
      </c>
    </row>
    <row r="29" spans="1:34" s="210" customFormat="1" ht="31.5" customHeight="1" x14ac:dyDescent="0.2">
      <c r="A29" s="196">
        <f t="shared" si="5"/>
        <v>15</v>
      </c>
      <c r="B29" s="196"/>
      <c r="C29" s="196" t="s">
        <v>95</v>
      </c>
      <c r="D29" s="197"/>
      <c r="E29" s="197" t="s">
        <v>11</v>
      </c>
      <c r="F29" s="198" t="s">
        <v>123</v>
      </c>
      <c r="G29" s="199" t="str">
        <f>IF(COUNTIFS($C$15:C29,C29,$H$15:H29,H29)=1,
SUMIFS($I$15:$I$43,$C$15:$C$43,C29,$H$15:$H$43,H29)&amp;H29&amp;" "&amp;C29,
"")</f>
        <v/>
      </c>
      <c r="H29" s="250" t="s">
        <v>14</v>
      </c>
      <c r="I29" s="200">
        <v>1</v>
      </c>
      <c r="J29" s="249"/>
      <c r="K29" s="201" cm="1">
        <f t="array" ref="K29">IF(E29="untrim",_xlfn.XLOOKUP(1,(TRIM('SIZE GUIDE'!$A$3:$A$2015)=TRIM(E29))*(TRIM('SIZE GUIDE'!$B$3:$B$2015)=TRIM(F29))*(TRIM('SIZE GUIDE'!$C$3:$C$2015)=TRIM(H29)),'SIZE GUIDE'!$D$3:$D$2015),"")</f>
        <v>76</v>
      </c>
      <c r="L29" s="265" cm="1">
        <f t="array" ref="L29">IF(E29="untrim",IFERROR(INDEX('SIZE GUIDE'!$E:$E,MATCH(1,('SIZE GUIDE'!$A:$A=$E29)*('SIZE GUIDE'!$B:$B=$F29)*('SIZE GUIDE'!$C:$C=$H29),0)),""),"")</f>
        <v>55</v>
      </c>
      <c r="M29" s="202">
        <v>43.5</v>
      </c>
      <c r="N29" s="203"/>
      <c r="O29" s="203" t="str" cm="1">
        <f t="array" ref="O29">IF(E29="trim",IFERROR(INDEX('SIZE GUIDE'!$E:$E,MATCH(1,('SIZE GUIDE'!$A:$A=$E29)*('SIZE GUIDE'!$B:$B=$F29)*('SIZE GUIDE'!$C:$C=$H29),0)),""),"")</f>
        <v/>
      </c>
      <c r="P29" s="203"/>
      <c r="Q29" s="204">
        <f t="shared" si="0"/>
        <v>74.5</v>
      </c>
      <c r="R29" s="198">
        <f t="shared" si="1"/>
        <v>53.5</v>
      </c>
      <c r="S29" s="198">
        <f t="shared" si="7"/>
        <v>43</v>
      </c>
      <c r="T29" s="205">
        <f t="shared" si="4"/>
        <v>1190.1892361111111</v>
      </c>
      <c r="U29" s="206">
        <f>SUMIFS(CODE_PRICE!F:F,CODE_PRICE!B:B,C29,CODE_PRICE!A:A,$A$8)</f>
        <v>0.2316</v>
      </c>
      <c r="V29" s="207">
        <f t="shared" si="3"/>
        <v>275.64782708333331</v>
      </c>
      <c r="W29" s="208" t="str">
        <f>IF(COUNTIF($C$15:C29,C29)=1,C29 &amp; " - " &amp; TEXT(SUMIF($C:$C,C29,$T:$T),"0.00"),"")</f>
        <v/>
      </c>
      <c r="X29" s="209" t="str">
        <f>IF(COUNTIF($C$15:C29,C29)=1,ROUND(SUMIF($C:$C,C29,$V:$V),2), "")</f>
        <v/>
      </c>
    </row>
    <row r="30" spans="1:34" s="210" customFormat="1" ht="31.5" customHeight="1" x14ac:dyDescent="0.2">
      <c r="A30" s="196">
        <f t="shared" si="5"/>
        <v>16</v>
      </c>
      <c r="B30" s="196"/>
      <c r="C30" s="196" t="s">
        <v>95</v>
      </c>
      <c r="D30" s="197"/>
      <c r="E30" s="197" t="s">
        <v>11</v>
      </c>
      <c r="F30" s="198" t="s">
        <v>123</v>
      </c>
      <c r="G30" s="199" t="str">
        <f>IF(COUNTIFS($C$15:C30,C30,$H$15:H30,H30)=1,
SUMIFS($I$15:$I$43,$C$15:$C$43,C30,$H$15:$H$43,H30)&amp;H30&amp;" "&amp;C30,
"")</f>
        <v/>
      </c>
      <c r="H30" s="250" t="s">
        <v>14</v>
      </c>
      <c r="I30" s="200">
        <v>1</v>
      </c>
      <c r="J30" s="249"/>
      <c r="K30" s="201" cm="1">
        <f t="array" ref="K30">IF(E30="untrim",_xlfn.XLOOKUP(1,(TRIM('SIZE GUIDE'!$A$3:$A$2015)=TRIM(E30))*(TRIM('SIZE GUIDE'!$B$3:$B$2015)=TRIM(F30))*(TRIM('SIZE GUIDE'!$C$3:$C$2015)=TRIM(H30)),'SIZE GUIDE'!$D$3:$D$2015),"")</f>
        <v>76</v>
      </c>
      <c r="L30" s="265" cm="1">
        <f t="array" ref="L30">IF(E30="untrim",IFERROR(INDEX('SIZE GUIDE'!$E:$E,MATCH(1,('SIZE GUIDE'!$A:$A=$E30)*('SIZE GUIDE'!$B:$B=$F30)*('SIZE GUIDE'!$C:$C=$H30),0)),""),"")</f>
        <v>55</v>
      </c>
      <c r="M30" s="202">
        <v>43.5</v>
      </c>
      <c r="N30" s="203"/>
      <c r="O30" s="203" t="str" cm="1">
        <f t="array" ref="O30">IF(E30="trim",IFERROR(INDEX('SIZE GUIDE'!$E:$E,MATCH(1,('SIZE GUIDE'!$A:$A=$E30)*('SIZE GUIDE'!$B:$B=$F30)*('SIZE GUIDE'!$C:$C=$H30),0)),""),"")</f>
        <v/>
      </c>
      <c r="P30" s="203"/>
      <c r="Q30" s="204">
        <f t="shared" si="0"/>
        <v>74.5</v>
      </c>
      <c r="R30" s="198">
        <f t="shared" si="1"/>
        <v>53.5</v>
      </c>
      <c r="S30" s="198">
        <f t="shared" si="7"/>
        <v>43</v>
      </c>
      <c r="T30" s="205">
        <f t="shared" si="4"/>
        <v>1190.1892361111111</v>
      </c>
      <c r="U30" s="206">
        <f>SUMIFS(CODE_PRICE!F:F,CODE_PRICE!B:B,C30,CODE_PRICE!A:A,$A$8)</f>
        <v>0.2316</v>
      </c>
      <c r="V30" s="207">
        <f t="shared" si="3"/>
        <v>275.64782708333331</v>
      </c>
      <c r="W30" s="208" t="str">
        <f>IF(COUNTIF($C$15:C30,C30)=1,C30 &amp; " - " &amp; TEXT(SUMIF($C:$C,C30,$T:$T),"0.00"),"")</f>
        <v/>
      </c>
      <c r="X30" s="209" t="str">
        <f>IF(COUNTIF($C$15:C30,C30)=1,ROUND(SUMIF($C:$C,C30,$V:$V),2), "")</f>
        <v/>
      </c>
    </row>
    <row r="31" spans="1:34" s="210" customFormat="1" ht="31.5" customHeight="1" x14ac:dyDescent="0.2">
      <c r="A31" s="196">
        <f t="shared" si="5"/>
        <v>17</v>
      </c>
      <c r="B31" s="196"/>
      <c r="C31" s="196" t="s">
        <v>95</v>
      </c>
      <c r="D31" s="197"/>
      <c r="E31" s="197" t="s">
        <v>11</v>
      </c>
      <c r="F31" s="198" t="s">
        <v>123</v>
      </c>
      <c r="G31" s="199" t="str">
        <f>IF(COUNTIFS($C$15:C31,C31,$H$15:H31,H31)=1,
SUMIFS($I$15:$I$43,$C$15:$C$43,C31,$H$15:$H$43,H31)&amp;H31&amp;" "&amp;C31,
"")</f>
        <v/>
      </c>
      <c r="H31" s="250" t="s">
        <v>14</v>
      </c>
      <c r="I31" s="200">
        <v>1</v>
      </c>
      <c r="J31" s="249"/>
      <c r="K31" s="201" cm="1">
        <f t="array" ref="K31">IF(E31="untrim",_xlfn.XLOOKUP(1,(TRIM('SIZE GUIDE'!$A$3:$A$2015)=TRIM(E31))*(TRIM('SIZE GUIDE'!$B$3:$B$2015)=TRIM(F31))*(TRIM('SIZE GUIDE'!$C$3:$C$2015)=TRIM(H31)),'SIZE GUIDE'!$D$3:$D$2015),"")</f>
        <v>76</v>
      </c>
      <c r="L31" s="265" cm="1">
        <f t="array" ref="L31">IF(E31="untrim",IFERROR(INDEX('SIZE GUIDE'!$E:$E,MATCH(1,('SIZE GUIDE'!$A:$A=$E31)*('SIZE GUIDE'!$B:$B=$F31)*('SIZE GUIDE'!$C:$C=$H31),0)),""),"")</f>
        <v>55</v>
      </c>
      <c r="M31" s="202">
        <v>44</v>
      </c>
      <c r="N31" s="203"/>
      <c r="O31" s="203" t="str" cm="1">
        <f t="array" ref="O31">IF(E31="trim",IFERROR(INDEX('SIZE GUIDE'!$E:$E,MATCH(1,('SIZE GUIDE'!$A:$A=$E31)*('SIZE GUIDE'!$B:$B=$F31)*('SIZE GUIDE'!$C:$C=$H31),0)),""),"")</f>
        <v/>
      </c>
      <c r="P31" s="203"/>
      <c r="Q31" s="204">
        <f t="shared" si="0"/>
        <v>74.5</v>
      </c>
      <c r="R31" s="198">
        <f t="shared" si="1"/>
        <v>53.5</v>
      </c>
      <c r="S31" s="198">
        <f t="shared" si="7"/>
        <v>43.5</v>
      </c>
      <c r="T31" s="205">
        <f t="shared" si="4"/>
        <v>1204.0286458333333</v>
      </c>
      <c r="U31" s="206">
        <f>SUMIFS(CODE_PRICE!F:F,CODE_PRICE!B:B,C31,CODE_PRICE!A:A,$A$8)</f>
        <v>0.2316</v>
      </c>
      <c r="V31" s="207">
        <f t="shared" si="3"/>
        <v>278.85303437499999</v>
      </c>
      <c r="W31" s="208" t="str">
        <f>IF(COUNTIF($C$15:C31,C31)=1,C31 &amp; " - " &amp; TEXT(SUMIF($C:$C,C31,$T:$T),"0.00"),"")</f>
        <v/>
      </c>
      <c r="X31" s="209" t="str">
        <f>IF(COUNTIF($C$15:C31,C31)=1,ROUND(SUMIF($C:$C,C31,$V:$V),2), "")</f>
        <v/>
      </c>
    </row>
    <row r="32" spans="1:34" s="210" customFormat="1" ht="31.5" customHeight="1" x14ac:dyDescent="0.2">
      <c r="A32" s="196">
        <f t="shared" si="5"/>
        <v>18</v>
      </c>
      <c r="B32" s="196"/>
      <c r="C32" s="196" t="s">
        <v>95</v>
      </c>
      <c r="D32" s="197"/>
      <c r="E32" s="197" t="s">
        <v>11</v>
      </c>
      <c r="F32" s="198" t="s">
        <v>123</v>
      </c>
      <c r="G32" s="199" t="str">
        <f>IF(COUNTIFS($C$15:C32,C32,$H$15:H32,H32)=1,
SUMIFS($I$15:$I$43,$C$15:$C$43,C32,$H$15:$H$43,H32)&amp;H32&amp;" "&amp;C32,
"")</f>
        <v>2T CFN50131W</v>
      </c>
      <c r="H32" s="250" t="s">
        <v>12</v>
      </c>
      <c r="I32" s="200">
        <v>1</v>
      </c>
      <c r="J32" s="249"/>
      <c r="K32" s="201" cm="1">
        <f t="array" ref="K32">IF(E32="untrim",_xlfn.XLOOKUP(1,(TRIM('SIZE GUIDE'!$A$3:$A$2015)=TRIM(E32))*(TRIM('SIZE GUIDE'!$B$3:$B$2015)=TRIM(F32))*(TRIM('SIZE GUIDE'!$C$3:$C$2015)=TRIM(H32)),'SIZE GUIDE'!$D$3:$D$2015),"")</f>
        <v>76</v>
      </c>
      <c r="L32" s="265" cm="1">
        <f t="array" ref="L32">IF(E32="untrim",IFERROR(INDEX('SIZE GUIDE'!$E:$E,MATCH(1,('SIZE GUIDE'!$A:$A=$E32)*('SIZE GUIDE'!$B:$B=$F32)*('SIZE GUIDE'!$C:$C=$H32),0)),""),"")</f>
        <v>39</v>
      </c>
      <c r="M32" s="202">
        <v>40.5</v>
      </c>
      <c r="N32" s="203"/>
      <c r="O32" s="203" t="str" cm="1">
        <f t="array" ref="O32">IF(E32="trim",IFERROR(INDEX('SIZE GUIDE'!$E:$E,MATCH(1,('SIZE GUIDE'!$A:$A=$E32)*('SIZE GUIDE'!$B:$B=$F32)*('SIZE GUIDE'!$C:$C=$H32),0)),""),"")</f>
        <v/>
      </c>
      <c r="P32" s="203"/>
      <c r="Q32" s="204">
        <f t="shared" si="0"/>
        <v>74.5</v>
      </c>
      <c r="R32" s="198">
        <f t="shared" si="1"/>
        <v>37.5</v>
      </c>
      <c r="S32" s="198">
        <f t="shared" si="7"/>
        <v>40</v>
      </c>
      <c r="T32" s="205">
        <f t="shared" si="4"/>
        <v>776.04166666666663</v>
      </c>
      <c r="U32" s="206">
        <f>SUMIFS(CODE_PRICE!F:F,CODE_PRICE!B:B,C32,CODE_PRICE!A:A,$A$8)</f>
        <v>0.2316</v>
      </c>
      <c r="V32" s="207">
        <f t="shared" si="3"/>
        <v>179.73124999999999</v>
      </c>
      <c r="W32" s="208" t="str">
        <f>IF(COUNTIF($C$15:C32,C32)=1,C32 &amp; " - " &amp; TEXT(SUMIF($C:$C,C32,$T:$T),"0.00"),"")</f>
        <v/>
      </c>
      <c r="X32" s="209" t="str">
        <f>IF(COUNTIF($C$15:C32,C32)=1,ROUND(SUMIF($C:$C,C32,$V:$V),2), "")</f>
        <v/>
      </c>
    </row>
    <row r="33" spans="1:24" s="210" customFormat="1" ht="31.5" customHeight="1" x14ac:dyDescent="0.2">
      <c r="A33" s="196">
        <f t="shared" si="5"/>
        <v>19</v>
      </c>
      <c r="B33" s="196"/>
      <c r="C33" s="196" t="s">
        <v>95</v>
      </c>
      <c r="D33" s="197"/>
      <c r="E33" s="197" t="s">
        <v>11</v>
      </c>
      <c r="F33" s="198" t="s">
        <v>123</v>
      </c>
      <c r="G33" s="199" t="str">
        <f>IF(COUNTIFS($C$15:C33,C33,$H$15:H33,H33)=1,
SUMIFS($I$15:$I$43,$C$15:$C$43,C33,$H$15:$H$43,H33)&amp;H33&amp;" "&amp;C33,
"")</f>
        <v/>
      </c>
      <c r="H33" s="250" t="s">
        <v>12</v>
      </c>
      <c r="I33" s="200">
        <v>1</v>
      </c>
      <c r="J33" s="249"/>
      <c r="K33" s="201" cm="1">
        <f t="array" ref="K33">IF(E33="untrim",_xlfn.XLOOKUP(1,(TRIM('SIZE GUIDE'!$A$3:$A$2015)=TRIM(E33))*(TRIM('SIZE GUIDE'!$B$3:$B$2015)=TRIM(F33))*(TRIM('SIZE GUIDE'!$C$3:$C$2015)=TRIM(H33)),'SIZE GUIDE'!$D$3:$D$2015),"")</f>
        <v>76</v>
      </c>
      <c r="L33" s="265" cm="1">
        <f t="array" ref="L33">IF(E33="untrim",IFERROR(INDEX('SIZE GUIDE'!$E:$E,MATCH(1,('SIZE GUIDE'!$A:$A=$E33)*('SIZE GUIDE'!$B:$B=$F33)*('SIZE GUIDE'!$C:$C=$H33),0)),""),"")</f>
        <v>39</v>
      </c>
      <c r="M33" s="202">
        <v>44.5</v>
      </c>
      <c r="N33" s="203"/>
      <c r="O33" s="203" t="str" cm="1">
        <f t="array" ref="O33">IF(E33="trim",IFERROR(INDEX('SIZE GUIDE'!$E:$E,MATCH(1,('SIZE GUIDE'!$A:$A=$E33)*('SIZE GUIDE'!$B:$B=$F33)*('SIZE GUIDE'!$C:$C=$H33),0)),""),"")</f>
        <v/>
      </c>
      <c r="P33" s="203"/>
      <c r="Q33" s="204">
        <f t="shared" si="0"/>
        <v>74.5</v>
      </c>
      <c r="R33" s="198">
        <f t="shared" si="1"/>
        <v>37.5</v>
      </c>
      <c r="S33" s="198">
        <f t="shared" si="7"/>
        <v>44</v>
      </c>
      <c r="T33" s="205">
        <f t="shared" si="4"/>
        <v>853.64583333333337</v>
      </c>
      <c r="U33" s="206">
        <f>SUMIFS(CODE_PRICE!F:F,CODE_PRICE!B:B,C33,CODE_PRICE!A:A,$A$8)</f>
        <v>0.2316</v>
      </c>
      <c r="V33" s="207">
        <f t="shared" si="3"/>
        <v>197.704375</v>
      </c>
      <c r="W33" s="208" t="str">
        <f>IF(COUNTIF($C$15:C33,C33)=1,C33 &amp; " - " &amp; TEXT(SUMIF($C:$C,C33,$T:$T),"0.00"),"")</f>
        <v/>
      </c>
      <c r="X33" s="209" t="str">
        <f>IF(COUNTIF($C$15:C33,C33)=1,ROUND(SUMIF($C:$C,C33,$V:$V),2), "")</f>
        <v/>
      </c>
    </row>
    <row r="34" spans="1:24" s="210" customFormat="1" ht="31.5" hidden="1" customHeight="1" x14ac:dyDescent="0.2">
      <c r="A34" s="196"/>
      <c r="B34" s="196"/>
      <c r="C34" s="196"/>
      <c r="D34" s="197"/>
      <c r="E34" s="197"/>
      <c r="F34" s="198"/>
      <c r="G34" s="199"/>
      <c r="H34" s="250"/>
      <c r="I34" s="200"/>
      <c r="J34" s="249"/>
      <c r="K34" s="201"/>
      <c r="L34" s="265"/>
      <c r="M34" s="202"/>
      <c r="N34" s="203"/>
      <c r="O34" s="203"/>
      <c r="P34" s="203"/>
      <c r="Q34" s="204"/>
      <c r="R34" s="198"/>
      <c r="S34" s="198"/>
      <c r="T34" s="205"/>
      <c r="U34" s="206"/>
      <c r="V34" s="207"/>
      <c r="W34" s="208"/>
      <c r="X34" s="209"/>
    </row>
    <row r="35" spans="1:24" s="210" customFormat="1" ht="31.5" hidden="1" customHeight="1" x14ac:dyDescent="0.2">
      <c r="A35" s="196"/>
      <c r="B35" s="196"/>
      <c r="C35" s="196"/>
      <c r="D35" s="197"/>
      <c r="E35" s="197"/>
      <c r="F35" s="198"/>
      <c r="G35" s="199"/>
      <c r="H35" s="250"/>
      <c r="I35" s="200"/>
      <c r="J35" s="249"/>
      <c r="K35" s="201"/>
      <c r="L35" s="265"/>
      <c r="M35" s="202"/>
      <c r="N35" s="203"/>
      <c r="O35" s="203"/>
      <c r="P35" s="203"/>
      <c r="Q35" s="204"/>
      <c r="R35" s="198"/>
      <c r="S35" s="198"/>
      <c r="T35" s="205"/>
      <c r="U35" s="206"/>
      <c r="V35" s="207"/>
      <c r="W35" s="208"/>
      <c r="X35" s="209"/>
    </row>
    <row r="36" spans="1:24" s="210" customFormat="1" ht="31.5" hidden="1" customHeight="1" x14ac:dyDescent="0.2">
      <c r="A36" s="196"/>
      <c r="B36" s="196"/>
      <c r="C36" s="196"/>
      <c r="D36" s="197"/>
      <c r="E36" s="197"/>
      <c r="F36" s="198"/>
      <c r="G36" s="199"/>
      <c r="H36" s="250"/>
      <c r="I36" s="200"/>
      <c r="J36" s="249"/>
      <c r="K36" s="201"/>
      <c r="L36" s="265"/>
      <c r="M36" s="202"/>
      <c r="N36" s="203"/>
      <c r="O36" s="203"/>
      <c r="P36" s="203"/>
      <c r="Q36" s="204"/>
      <c r="R36" s="198"/>
      <c r="S36" s="198"/>
      <c r="T36" s="205"/>
      <c r="U36" s="206"/>
      <c r="V36" s="207"/>
      <c r="W36" s="208"/>
      <c r="X36" s="209"/>
    </row>
    <row r="37" spans="1:24" s="210" customFormat="1" ht="31.5" hidden="1" customHeight="1" x14ac:dyDescent="0.2">
      <c r="A37" s="196"/>
      <c r="B37" s="196"/>
      <c r="C37" s="196"/>
      <c r="D37" s="197"/>
      <c r="E37" s="197"/>
      <c r="F37" s="198"/>
      <c r="G37" s="199"/>
      <c r="H37" s="197"/>
      <c r="I37" s="200"/>
      <c r="J37" s="249"/>
      <c r="K37" s="201"/>
      <c r="L37" s="265"/>
      <c r="M37" s="202"/>
      <c r="N37" s="203"/>
      <c r="O37" s="203"/>
      <c r="P37" s="203"/>
      <c r="Q37" s="204"/>
      <c r="R37" s="198"/>
      <c r="S37" s="198"/>
      <c r="T37" s="205"/>
      <c r="U37" s="206"/>
      <c r="V37" s="207"/>
      <c r="W37" s="208"/>
      <c r="X37" s="209"/>
    </row>
    <row r="38" spans="1:24" s="210" customFormat="1" ht="31.5" hidden="1" customHeight="1" x14ac:dyDescent="0.2">
      <c r="A38" s="196"/>
      <c r="B38" s="196"/>
      <c r="C38" s="196"/>
      <c r="D38" s="197"/>
      <c r="E38" s="197"/>
      <c r="F38" s="198"/>
      <c r="G38" s="199"/>
      <c r="H38" s="197"/>
      <c r="I38" s="200"/>
      <c r="J38" s="249"/>
      <c r="K38" s="201"/>
      <c r="L38" s="265"/>
      <c r="M38" s="202"/>
      <c r="N38" s="203"/>
      <c r="O38" s="203"/>
      <c r="P38" s="203"/>
      <c r="Q38" s="204"/>
      <c r="R38" s="198"/>
      <c r="S38" s="198"/>
      <c r="T38" s="205"/>
      <c r="U38" s="206"/>
      <c r="V38" s="207"/>
      <c r="W38" s="208"/>
      <c r="X38" s="209"/>
    </row>
    <row r="39" spans="1:24" s="210" customFormat="1" ht="31.5" hidden="1" customHeight="1" x14ac:dyDescent="0.2">
      <c r="A39" s="196"/>
      <c r="B39" s="196"/>
      <c r="C39" s="196"/>
      <c r="D39" s="197"/>
      <c r="E39" s="197"/>
      <c r="F39" s="198"/>
      <c r="G39" s="199"/>
      <c r="H39" s="197"/>
      <c r="I39" s="200"/>
      <c r="J39" s="249"/>
      <c r="K39" s="201"/>
      <c r="L39" s="265"/>
      <c r="M39" s="202"/>
      <c r="N39" s="203"/>
      <c r="O39" s="203"/>
      <c r="P39" s="203"/>
      <c r="Q39" s="204"/>
      <c r="R39" s="198"/>
      <c r="S39" s="198"/>
      <c r="T39" s="205"/>
      <c r="U39" s="206"/>
      <c r="V39" s="207"/>
      <c r="W39" s="208"/>
      <c r="X39" s="209"/>
    </row>
    <row r="40" spans="1:24" s="210" customFormat="1" ht="31.5" hidden="1" customHeight="1" x14ac:dyDescent="0.2">
      <c r="A40" s="196"/>
      <c r="B40" s="196"/>
      <c r="C40" s="196"/>
      <c r="D40" s="197"/>
      <c r="E40" s="197"/>
      <c r="F40" s="198"/>
      <c r="G40" s="199"/>
      <c r="H40" s="197"/>
      <c r="I40" s="200"/>
      <c r="J40" s="249"/>
      <c r="K40" s="201"/>
      <c r="L40" s="265"/>
      <c r="M40" s="202"/>
      <c r="N40" s="203"/>
      <c r="O40" s="203"/>
      <c r="P40" s="203"/>
      <c r="Q40" s="204"/>
      <c r="R40" s="198"/>
      <c r="S40" s="198"/>
      <c r="T40" s="205"/>
      <c r="U40" s="206"/>
      <c r="V40" s="207"/>
      <c r="W40" s="208"/>
      <c r="X40" s="209"/>
    </row>
    <row r="41" spans="1:24" s="210" customFormat="1" ht="31.5" hidden="1" customHeight="1" x14ac:dyDescent="0.2">
      <c r="A41" s="196"/>
      <c r="B41" s="196"/>
      <c r="C41" s="196"/>
      <c r="D41" s="260"/>
      <c r="E41" s="197"/>
      <c r="F41" s="198"/>
      <c r="G41" s="199"/>
      <c r="H41" s="197"/>
      <c r="I41" s="200"/>
      <c r="J41" s="249"/>
      <c r="K41" s="201"/>
      <c r="L41" s="265"/>
      <c r="M41" s="202"/>
      <c r="N41" s="203"/>
      <c r="O41" s="203"/>
      <c r="P41" s="203"/>
      <c r="Q41" s="204"/>
      <c r="R41" s="198"/>
      <c r="S41" s="198"/>
      <c r="T41" s="205"/>
      <c r="U41" s="206"/>
      <c r="V41" s="207"/>
      <c r="W41" s="198"/>
      <c r="X41" s="238"/>
    </row>
    <row r="42" spans="1:24" s="210" customFormat="1" ht="31.5" hidden="1" customHeight="1" x14ac:dyDescent="0.2">
      <c r="A42" s="196"/>
      <c r="B42" s="196"/>
      <c r="C42" s="196"/>
      <c r="D42" s="260"/>
      <c r="E42" s="197"/>
      <c r="F42" s="198"/>
      <c r="G42" s="199"/>
      <c r="H42" s="197"/>
      <c r="I42" s="200"/>
      <c r="J42" s="249"/>
      <c r="K42" s="201"/>
      <c r="L42" s="265"/>
      <c r="M42" s="202"/>
      <c r="N42" s="203"/>
      <c r="O42" s="203"/>
      <c r="P42" s="203"/>
      <c r="Q42" s="204"/>
      <c r="R42" s="198"/>
      <c r="S42" s="198"/>
      <c r="T42" s="205"/>
      <c r="U42" s="206"/>
      <c r="V42" s="207"/>
      <c r="W42" s="198"/>
      <c r="X42" s="238"/>
    </row>
    <row r="43" spans="1:24" s="210" customFormat="1" ht="31.5" hidden="1" customHeight="1" x14ac:dyDescent="0.2">
      <c r="A43" s="196"/>
      <c r="B43" s="196"/>
      <c r="C43" s="196"/>
      <c r="D43" s="260"/>
      <c r="E43" s="197"/>
      <c r="F43" s="198"/>
      <c r="G43" s="199"/>
      <c r="H43" s="197"/>
      <c r="I43" s="200"/>
      <c r="J43" s="249"/>
      <c r="K43" s="201"/>
      <c r="L43" s="265"/>
      <c r="M43" s="202"/>
      <c r="N43" s="203"/>
      <c r="O43" s="203"/>
      <c r="P43" s="203"/>
      <c r="Q43" s="204"/>
      <c r="R43" s="198"/>
      <c r="S43" s="198"/>
      <c r="T43" s="205"/>
      <c r="U43" s="206"/>
      <c r="V43" s="207"/>
      <c r="W43" s="198"/>
      <c r="X43" s="238"/>
    </row>
    <row r="44" spans="1:24" s="284" customFormat="1" ht="31.5" hidden="1" customHeight="1" x14ac:dyDescent="0.2">
      <c r="A44" s="270"/>
      <c r="B44" s="270"/>
      <c r="C44" s="270"/>
      <c r="D44" s="271"/>
      <c r="E44" s="272"/>
      <c r="F44" s="273"/>
      <c r="G44" s="274"/>
      <c r="H44" s="197"/>
      <c r="I44" s="275"/>
      <c r="J44" s="276"/>
      <c r="K44" s="277"/>
      <c r="L44" s="278"/>
      <c r="M44" s="279"/>
      <c r="N44" s="277"/>
      <c r="O44" s="277"/>
      <c r="P44" s="277"/>
      <c r="Q44" s="277"/>
      <c r="R44" s="273"/>
      <c r="S44" s="273"/>
      <c r="T44" s="280"/>
      <c r="U44" s="281"/>
      <c r="V44" s="282"/>
      <c r="W44" s="273"/>
      <c r="X44" s="283"/>
    </row>
    <row r="45" spans="1:24" s="284" customFormat="1" ht="31.5" hidden="1" customHeight="1" x14ac:dyDescent="0.2">
      <c r="A45" s="270"/>
      <c r="B45" s="270"/>
      <c r="C45" s="270"/>
      <c r="D45" s="271"/>
      <c r="E45" s="272"/>
      <c r="F45" s="273"/>
      <c r="G45" s="274"/>
      <c r="H45" s="197"/>
      <c r="I45" s="275"/>
      <c r="J45" s="276"/>
      <c r="K45" s="277"/>
      <c r="L45" s="278"/>
      <c r="M45" s="279"/>
      <c r="N45" s="277"/>
      <c r="O45" s="277"/>
      <c r="P45" s="277"/>
      <c r="Q45" s="277"/>
      <c r="R45" s="273"/>
      <c r="S45" s="273"/>
      <c r="T45" s="280"/>
      <c r="U45" s="281"/>
      <c r="V45" s="282"/>
      <c r="W45" s="273"/>
      <c r="X45" s="283"/>
    </row>
    <row r="46" spans="1:24" s="210" customFormat="1" ht="31.5" customHeight="1" x14ac:dyDescent="0.2">
      <c r="A46" s="212"/>
      <c r="B46" s="212"/>
      <c r="C46" s="212"/>
      <c r="D46" s="212"/>
      <c r="E46" s="213"/>
      <c r="F46" s="212"/>
      <c r="G46" s="212"/>
      <c r="H46" s="214" t="s">
        <v>155</v>
      </c>
      <c r="I46" s="215">
        <f>SUM(I13:I43)</f>
        <v>19</v>
      </c>
      <c r="J46" s="248"/>
      <c r="K46" s="216"/>
      <c r="L46" s="264"/>
      <c r="M46" s="216"/>
      <c r="N46" s="217"/>
      <c r="O46" s="217"/>
      <c r="P46" s="217"/>
      <c r="Q46" s="213"/>
      <c r="R46" s="213"/>
      <c r="S46" s="213"/>
      <c r="T46" s="218">
        <f>SUM(T13:T45)</f>
        <v>27848.7578125</v>
      </c>
      <c r="U46" s="219"/>
      <c r="V46" s="220">
        <f>SUM(V13:V45)</f>
        <v>6449.7723093749992</v>
      </c>
      <c r="W46" s="219"/>
      <c r="X46" s="220"/>
    </row>
    <row r="47" spans="1:24" s="210" customFormat="1" ht="31.5" customHeight="1" x14ac:dyDescent="0.2">
      <c r="A47" s="196"/>
      <c r="B47" s="196"/>
      <c r="C47" s="196"/>
      <c r="D47" s="197"/>
      <c r="E47" s="197"/>
      <c r="F47" s="198"/>
      <c r="G47" s="199"/>
      <c r="H47" s="221" t="s">
        <v>156</v>
      </c>
      <c r="I47" s="222"/>
      <c r="J47" s="250"/>
      <c r="K47" s="204"/>
      <c r="L47" s="266"/>
      <c r="M47" s="223"/>
      <c r="N47" s="204"/>
      <c r="O47" s="204"/>
      <c r="P47" s="204"/>
      <c r="Q47" s="224"/>
      <c r="R47" s="224"/>
      <c r="S47" s="224"/>
      <c r="T47" s="205"/>
      <c r="U47" s="224"/>
      <c r="V47" s="207"/>
      <c r="W47" s="224"/>
      <c r="X47" s="207"/>
    </row>
    <row r="48" spans="1:24" s="210" customFormat="1" ht="31.5" customHeight="1" x14ac:dyDescent="0.2">
      <c r="A48" s="212"/>
      <c r="B48" s="212"/>
      <c r="C48" s="212"/>
      <c r="D48" s="213"/>
      <c r="E48" s="213"/>
      <c r="F48" s="213"/>
      <c r="G48" s="213"/>
      <c r="H48" s="214" t="s">
        <v>162</v>
      </c>
      <c r="I48" s="215">
        <f>SUM(I15:I43)</f>
        <v>19</v>
      </c>
      <c r="J48" s="248"/>
      <c r="K48" s="216"/>
      <c r="L48" s="264"/>
      <c r="M48" s="216"/>
      <c r="N48" s="217"/>
      <c r="O48" s="217"/>
      <c r="P48" s="217"/>
      <c r="Q48" s="213"/>
      <c r="R48" s="213"/>
      <c r="S48" s="213"/>
      <c r="T48" s="218">
        <f>SUM(T15:T45)</f>
        <v>27848.7578125</v>
      </c>
      <c r="U48" s="219"/>
      <c r="V48" s="220">
        <f>+V46+V47</f>
        <v>6449.7723093749992</v>
      </c>
      <c r="W48" s="219"/>
      <c r="X48" s="220"/>
    </row>
    <row r="49" spans="1:24" s="228" customFormat="1" ht="15" customHeight="1" x14ac:dyDescent="0.25">
      <c r="A49" s="225"/>
      <c r="B49" s="225"/>
      <c r="C49" s="225"/>
      <c r="D49" s="225"/>
      <c r="E49" s="225"/>
      <c r="F49" s="226"/>
      <c r="G49" s="225"/>
      <c r="H49" s="227"/>
      <c r="I49" s="227"/>
      <c r="J49" s="251"/>
      <c r="L49" s="267"/>
      <c r="V49" s="229"/>
      <c r="X49" s="230"/>
    </row>
    <row r="50" spans="1:24" s="228" customFormat="1" ht="15" customHeight="1" x14ac:dyDescent="0.25">
      <c r="A50" s="225" t="s">
        <v>218</v>
      </c>
      <c r="B50" s="225"/>
      <c r="C50" s="225"/>
      <c r="D50" s="225"/>
      <c r="E50" s="225"/>
      <c r="F50" s="226"/>
      <c r="G50" s="225"/>
      <c r="H50" s="227"/>
      <c r="I50" s="227"/>
      <c r="J50" s="251"/>
      <c r="L50" s="267"/>
      <c r="V50" s="229"/>
      <c r="X50" s="230"/>
    </row>
    <row r="51" spans="1:24" s="228" customFormat="1" ht="15" customHeight="1" x14ac:dyDescent="0.25">
      <c r="A51" s="225"/>
      <c r="B51" s="225"/>
      <c r="C51" s="225"/>
      <c r="D51" s="225"/>
      <c r="E51" s="225"/>
      <c r="F51" s="226"/>
      <c r="G51" s="225"/>
      <c r="H51" s="227"/>
      <c r="I51" s="227"/>
      <c r="J51" s="251"/>
      <c r="L51" s="267"/>
      <c r="V51" s="229"/>
      <c r="X51" s="230"/>
    </row>
    <row r="52" spans="1:24" s="228" customFormat="1" ht="15" customHeight="1" x14ac:dyDescent="0.25">
      <c r="A52" s="225" t="s">
        <v>219</v>
      </c>
      <c r="B52" s="225"/>
      <c r="C52" s="225"/>
      <c r="D52" s="225"/>
      <c r="E52" s="225"/>
      <c r="F52" s="226"/>
      <c r="G52" s="225"/>
      <c r="H52" s="227"/>
      <c r="I52" s="227"/>
      <c r="J52" s="251"/>
      <c r="L52" s="267"/>
      <c r="V52" s="229"/>
      <c r="X52" s="230"/>
    </row>
    <row r="53" spans="1:24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252"/>
      <c r="K53" s="35"/>
      <c r="L53" s="268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4" ht="15" customHeight="1" x14ac:dyDescent="0.25">
      <c r="A54" s="48"/>
      <c r="B54" s="48"/>
      <c r="C54" s="48"/>
      <c r="D54" s="48"/>
      <c r="E54" s="48"/>
      <c r="F54" s="84"/>
      <c r="G54" s="48"/>
      <c r="H54" s="85"/>
      <c r="I54" s="85"/>
      <c r="J54" s="252"/>
      <c r="K54" s="35"/>
      <c r="L54" s="268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4" ht="15" customHeight="1" x14ac:dyDescent="0.25">
      <c r="A55" s="86"/>
      <c r="B55" s="318"/>
      <c r="C55" s="318"/>
      <c r="D55" s="318"/>
      <c r="E55" s="318"/>
      <c r="F55" s="318"/>
      <c r="G55" s="318"/>
      <c r="H55" s="318"/>
      <c r="I55" s="318"/>
      <c r="J55" s="318"/>
      <c r="K55" s="35"/>
      <c r="L55" s="268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4" ht="15" customHeight="1" x14ac:dyDescent="0.25">
      <c r="A56" s="86"/>
      <c r="B56" s="319"/>
      <c r="C56" s="319"/>
      <c r="D56" s="319"/>
      <c r="E56" s="319"/>
      <c r="F56" s="319"/>
      <c r="G56" s="319"/>
      <c r="H56" s="319"/>
      <c r="I56" s="319"/>
      <c r="J56" s="319"/>
      <c r="K56" s="35"/>
      <c r="L56" s="268"/>
      <c r="M56" s="35"/>
      <c r="N56" s="35"/>
      <c r="O56" s="35"/>
      <c r="P56" s="35"/>
      <c r="Q56" s="35"/>
      <c r="R56" s="35"/>
      <c r="S56" s="35"/>
      <c r="T56" s="35"/>
      <c r="U56" s="35"/>
      <c r="V56" s="89"/>
    </row>
  </sheetData>
  <mergeCells count="5">
    <mergeCell ref="A7:E7"/>
    <mergeCell ref="F7:G7"/>
    <mergeCell ref="R9:S9"/>
    <mergeCell ref="B55:J55"/>
    <mergeCell ref="B56:J56"/>
  </mergeCells>
  <pageMargins left="0" right="0" top="1" bottom="0" header="0.511811023622047" footer="0.511811023622047"/>
  <pageSetup paperSize="9" scale="41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colBreaks count="2" manualBreakCount="2">
    <brk id="4" max="1048575" man="1"/>
    <brk id="6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EFBC2994-C60F-4C10-BD32-E5954BD99B24}">
          <x14:formula1>
            <xm:f>'SIZE GUIDE'!$A$3:$A$38</xm:f>
          </x14:formula1>
          <xm:sqref>E15:E48</xm:sqref>
        </x14:dataValidation>
        <x14:dataValidation type="list" allowBlank="1" xr:uid="{EE98C467-0177-46D3-BB5A-8E40BBA7F8EC}">
          <x14:formula1>
            <xm:f>LISTS!$B$2:$B$8</xm:f>
          </x14:formula1>
          <x14:formula2>
            <xm:f>0</xm:f>
          </x14:formula2>
          <xm:sqref>H37:H48</xm:sqref>
        </x14:dataValidation>
        <x14:dataValidation type="list" errorStyle="information" allowBlank="1" showInputMessage="1" xr:uid="{0193427E-CDAA-4C54-814B-5DCE96E87EC4}">
          <x14:formula1>
            <xm:f>CODE_MASTER_AS!$A$3:$A$14</xm:f>
          </x14:formula1>
          <xm:sqref>C47:C48 F46:G46 C15:C45</xm:sqref>
        </x14:dataValidation>
        <x14:dataValidation type="list" allowBlank="1" showInputMessage="1" showErrorMessage="1" xr:uid="{BB30826D-073C-4631-B36D-2B9BA3CF1EB7}">
          <x14:formula1>
            <xm:f>'SIZE GUIDE'!$B:$B</xm:f>
          </x14:formula1>
          <xm:sqref>G46 F15:F48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E50F6-D347-41B6-8454-404EBDA946CF}">
  <sheetPr codeName="Sheet36">
    <pageSetUpPr fitToPage="1"/>
  </sheetPr>
  <dimension ref="A1:AH56"/>
  <sheetViews>
    <sheetView showGridLines="0" view="pageBreakPreview" topLeftCell="A6" zoomScale="80" zoomScaleNormal="68" zoomScaleSheetLayoutView="80" workbookViewId="0">
      <selection activeCell="W54" sqref="W54:W55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25" style="16" hidden="1" customWidth="1"/>
    <col min="5" max="5" width="16.83203125" style="16" customWidth="1"/>
    <col min="6" max="6" width="15.33203125" style="16" hidden="1" customWidth="1"/>
    <col min="7" max="7" width="23.5" style="16" bestFit="1" customWidth="1"/>
    <col min="8" max="9" width="10.6640625" style="16" customWidth="1"/>
    <col min="10" max="10" width="10.6640625" style="15" hidden="1" customWidth="1"/>
    <col min="11" max="11" width="10.6640625" style="16" hidden="1" customWidth="1"/>
    <col min="12" max="12" width="10.6640625" style="269" hidden="1" customWidth="1"/>
    <col min="13" max="16" width="10.6640625" style="16" hidden="1" customWidth="1"/>
    <col min="17" max="19" width="10.6640625" style="16" customWidth="1"/>
    <col min="20" max="20" width="14.6640625" style="16" customWidth="1"/>
    <col min="21" max="21" width="14.1640625" style="16" customWidth="1"/>
    <col min="22" max="22" width="14.5" style="98" customWidth="1"/>
    <col min="23" max="23" width="28.1640625" style="16" customWidth="1"/>
    <col min="24" max="24" width="20.33203125" style="23" customWidth="1"/>
    <col min="25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45"/>
      <c r="K1" s="29"/>
      <c r="L1" s="261"/>
      <c r="M1" s="29" t="s">
        <v>204</v>
      </c>
      <c r="N1" s="27"/>
      <c r="O1" s="27"/>
      <c r="P1" s="27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246"/>
      <c r="K2" s="31"/>
      <c r="L2" s="261"/>
      <c r="M2" s="32" t="s">
        <v>161</v>
      </c>
      <c r="N2" s="27"/>
      <c r="O2" s="27"/>
      <c r="P2" s="28" t="s">
        <v>160</v>
      </c>
      <c r="R2" s="20"/>
      <c r="S2" s="21"/>
      <c r="U2" s="13"/>
      <c r="V2" s="20"/>
      <c r="W2" s="20"/>
      <c r="X2" s="20" t="s">
        <v>151</v>
      </c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247"/>
      <c r="K3" s="37"/>
      <c r="L3" s="262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247"/>
      <c r="K4" s="37"/>
      <c r="L4" s="262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247"/>
      <c r="K5" s="37"/>
      <c r="L5" s="262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247"/>
      <c r="K6" s="37"/>
      <c r="L6" s="262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5" t="s">
        <v>143</v>
      </c>
      <c r="B7" s="315"/>
      <c r="C7" s="315"/>
      <c r="D7" s="315"/>
      <c r="E7" s="315"/>
      <c r="F7" s="316"/>
      <c r="G7" s="316"/>
      <c r="H7" s="35"/>
      <c r="I7" s="35"/>
      <c r="J7" s="247"/>
      <c r="K7" s="37"/>
      <c r="L7" s="262"/>
      <c r="M7" s="37"/>
      <c r="N7" s="38"/>
      <c r="O7" s="38"/>
      <c r="P7" s="38"/>
      <c r="Q7" s="231" t="s">
        <v>147</v>
      </c>
      <c r="R7" s="231"/>
      <c r="S7" s="231"/>
      <c r="T7" s="231"/>
      <c r="U7" s="231"/>
      <c r="V7" s="231" t="s">
        <v>148</v>
      </c>
      <c r="W7" s="231"/>
      <c r="X7" s="231"/>
    </row>
    <row r="8" spans="1:24" ht="15" customHeight="1" x14ac:dyDescent="0.25">
      <c r="A8" s="44" t="s">
        <v>163</v>
      </c>
      <c r="B8" s="45"/>
      <c r="C8" s="45"/>
      <c r="D8" s="46"/>
      <c r="E8" s="46"/>
      <c r="F8" s="36"/>
      <c r="G8" s="46"/>
      <c r="H8" s="35"/>
      <c r="I8" s="35"/>
      <c r="J8" s="247"/>
      <c r="K8" s="37"/>
      <c r="L8" s="262"/>
      <c r="M8" s="37"/>
      <c r="N8" s="38"/>
      <c r="O8" s="38"/>
      <c r="P8" s="38"/>
      <c r="Q8" s="190" t="s">
        <v>328</v>
      </c>
      <c r="R8" s="191"/>
      <c r="S8" s="192"/>
      <c r="T8" s="193"/>
      <c r="U8" s="194"/>
      <c r="V8" s="195">
        <v>46220</v>
      </c>
      <c r="W8" s="232"/>
      <c r="X8" s="233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247"/>
      <c r="K9" s="37"/>
      <c r="L9" s="262"/>
      <c r="M9" s="37"/>
      <c r="N9" s="38"/>
      <c r="O9" s="38"/>
      <c r="P9" s="38"/>
      <c r="Q9" s="225"/>
      <c r="R9" s="317"/>
      <c r="S9" s="317"/>
      <c r="T9" s="228"/>
      <c r="U9" s="234"/>
      <c r="V9" s="235"/>
      <c r="W9" s="232"/>
      <c r="X9" s="233"/>
    </row>
    <row r="10" spans="1:24" ht="15" customHeight="1" x14ac:dyDescent="0.25">
      <c r="A10" s="189"/>
      <c r="B10" s="45"/>
      <c r="C10" s="46"/>
      <c r="D10" s="35"/>
      <c r="E10" s="46"/>
      <c r="F10" s="36"/>
      <c r="G10" s="46"/>
      <c r="H10" s="35"/>
      <c r="I10" s="35"/>
      <c r="J10" s="247"/>
      <c r="K10" s="37"/>
      <c r="L10" s="262"/>
      <c r="M10" s="37"/>
      <c r="N10" s="38"/>
      <c r="O10" s="38"/>
      <c r="P10" s="38"/>
      <c r="Q10" s="236" t="s">
        <v>149</v>
      </c>
      <c r="R10" s="231"/>
      <c r="S10" s="231"/>
      <c r="T10" s="231"/>
      <c r="U10" s="231"/>
      <c r="V10" s="231" t="s">
        <v>150</v>
      </c>
      <c r="W10" s="231"/>
      <c r="X10" s="231"/>
    </row>
    <row r="11" spans="1:24" ht="15" customHeight="1" x14ac:dyDescent="0.25">
      <c r="A11" s="188"/>
      <c r="B11" s="34"/>
      <c r="C11" s="35"/>
      <c r="D11" s="35"/>
      <c r="E11" s="46"/>
      <c r="F11" s="46"/>
      <c r="G11" s="46"/>
      <c r="H11" s="35"/>
      <c r="I11" s="35"/>
      <c r="J11" s="247"/>
      <c r="K11" s="37"/>
      <c r="L11" s="262"/>
      <c r="M11" s="37"/>
      <c r="N11" s="38"/>
      <c r="O11" s="38"/>
      <c r="P11" s="38"/>
      <c r="Q11" s="190" t="s">
        <v>326</v>
      </c>
      <c r="R11" s="190"/>
      <c r="S11" s="190"/>
      <c r="T11" s="193"/>
      <c r="U11" s="194"/>
      <c r="V11" s="190"/>
      <c r="W11" s="232"/>
      <c r="X11" s="233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247"/>
      <c r="K12" s="37"/>
      <c r="L12" s="262"/>
      <c r="M12" s="37"/>
      <c r="N12" s="38"/>
      <c r="O12" s="38"/>
      <c r="P12" s="38"/>
      <c r="Q12" s="190"/>
      <c r="R12" s="190"/>
      <c r="S12" s="190"/>
      <c r="T12" s="190"/>
      <c r="U12" s="194"/>
      <c r="V12" s="237"/>
      <c r="W12" s="232"/>
      <c r="X12" s="233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4"/>
      <c r="K13" s="50"/>
      <c r="L13" s="263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210" customFormat="1" ht="39.75" customHeight="1" x14ac:dyDescent="0.2">
      <c r="A14" s="212" t="s">
        <v>158</v>
      </c>
      <c r="B14" s="212" t="s">
        <v>0</v>
      </c>
      <c r="C14" s="212" t="s">
        <v>1</v>
      </c>
      <c r="D14" s="213" t="s">
        <v>135</v>
      </c>
      <c r="E14" s="213" t="s">
        <v>157</v>
      </c>
      <c r="F14" s="213" t="s">
        <v>3</v>
      </c>
      <c r="G14" s="213" t="s">
        <v>152</v>
      </c>
      <c r="H14" s="213" t="s">
        <v>105</v>
      </c>
      <c r="I14" s="213" t="s">
        <v>5</v>
      </c>
      <c r="J14" s="248" t="s">
        <v>64</v>
      </c>
      <c r="K14" s="216" t="s">
        <v>136</v>
      </c>
      <c r="L14" s="264" t="s">
        <v>24</v>
      </c>
      <c r="M14" s="216" t="s">
        <v>108</v>
      </c>
      <c r="N14" s="217" t="s">
        <v>136</v>
      </c>
      <c r="O14" s="217" t="s">
        <v>24</v>
      </c>
      <c r="P14" s="259" t="s">
        <v>108</v>
      </c>
      <c r="Q14" s="213" t="s">
        <v>136</v>
      </c>
      <c r="R14" s="213" t="s">
        <v>24</v>
      </c>
      <c r="S14" s="213" t="s">
        <v>108</v>
      </c>
      <c r="T14" s="218" t="s">
        <v>159</v>
      </c>
      <c r="U14" s="219" t="s">
        <v>6</v>
      </c>
      <c r="V14" s="220" t="s">
        <v>7</v>
      </c>
      <c r="W14" s="220" t="s">
        <v>140</v>
      </c>
      <c r="X14" s="220" t="s">
        <v>141</v>
      </c>
    </row>
    <row r="15" spans="1:24" s="210" customFormat="1" ht="31.5" customHeight="1" x14ac:dyDescent="0.2">
      <c r="A15" s="196">
        <v>1</v>
      </c>
      <c r="B15" s="196"/>
      <c r="C15" s="196" t="s">
        <v>89</v>
      </c>
      <c r="D15" s="197"/>
      <c r="E15" s="197" t="s">
        <v>11</v>
      </c>
      <c r="F15" s="198" t="s">
        <v>123</v>
      </c>
      <c r="G15" s="199" t="str">
        <f>IF(COUNTIFS($C$15:C15,C15,$H$15:H15,H15)=1,
SUMIFS($I$15:$I$43,$C$15:$C$43,C15,$H$15:$H$43,H15)&amp;H15&amp;" "&amp;C15,
"")</f>
        <v>8K CFN30100W</v>
      </c>
      <c r="H15" s="197" t="s">
        <v>18</v>
      </c>
      <c r="I15" s="200">
        <v>1</v>
      </c>
      <c r="J15" s="249"/>
      <c r="K15" s="201" cm="1">
        <f t="array" ref="K15">IF(E15="untrim",_xlfn.XLOOKUP(1,(TRIM('SIZE GUIDE'!$A$3:$A$2015)=TRIM(E15))*(TRIM('SIZE GUIDE'!$B$3:$B$2015)=TRIM(F15))*(TRIM('SIZE GUIDE'!$C$3:$C$2015)=TRIM(H15)),'SIZE GUIDE'!$D$3:$D$2015),"")</f>
        <v>81</v>
      </c>
      <c r="L15" s="265" cm="1">
        <f t="array" ref="L15">IF(E15="untrim",IFERROR(INDEX('SIZE GUIDE'!$E:$E,MATCH(1,('SIZE GUIDE'!$A:$A=$E15)*('SIZE GUIDE'!$B:$B=$F15)*('SIZE GUIDE'!$C:$C=$H15),0)),""),"")</f>
        <v>77</v>
      </c>
      <c r="M15" s="202">
        <v>45</v>
      </c>
      <c r="N15" s="203" t="str" cm="1">
        <f t="array" ref="N15">IF(E15="trim",_xlfn.XLOOKUP(1,(TRIM('SIZE GUIDE'!$A$3:$A$2015)=TRIM(E15))*(TRIM('SIZE GUIDE'!$B$3:$B$2015)=TRIM(F15))*(TRIM('SIZE GUIDE'!$C$3:$C$2015)=TRIM(H15)),'SIZE GUIDE'!$D$3:$D$2015),"")</f>
        <v/>
      </c>
      <c r="O15" s="203" t="str" cm="1">
        <f t="array" ref="O15">IF(E15="trim",IFERROR(INDEX('SIZE GUIDE'!$E:$E,MATCH(1,('SIZE GUIDE'!$A:$A=$E15)*('SIZE GUIDE'!$B:$B=$F15)*('SIZE GUIDE'!$C:$C=$H15),0)),""),"")</f>
        <v/>
      </c>
      <c r="P15" s="203"/>
      <c r="Q15" s="204">
        <v>84.5</v>
      </c>
      <c r="R15" s="198">
        <v>73.5</v>
      </c>
      <c r="S15" s="198">
        <f>IF(E15="untrim",M15-0.5,P15-0.5)</f>
        <v>44.5</v>
      </c>
      <c r="T15" s="205">
        <f>IFERROR(Q15*R15*S15/144*I15,"")</f>
        <v>1919.2942708333333</v>
      </c>
      <c r="U15" s="206">
        <f>SUMIFS(CODE_PRICE!F:F,CODE_PRICE!B:B,C15,CODE_PRICE!A:A,$A$8)</f>
        <v>0.1852</v>
      </c>
      <c r="V15" s="207">
        <f t="shared" ref="V15:V22" si="0">T15*U15</f>
        <v>355.45329895833333</v>
      </c>
      <c r="W15" s="208" t="str">
        <f>IF(COUNTIF($C$15:C15,C15)=1,C15 &amp; " - " &amp; TEXT(SUMIF($C:$C,C15,$T:$T),"0.00"),"")</f>
        <v>CFN30100W - 14924.17</v>
      </c>
      <c r="X15" s="209">
        <f>IF(COUNTIF($C$15:C15,C15)=1,ROUND(SUMIF($C:$C,C15,$V:$V),2), "")</f>
        <v>2763.96</v>
      </c>
    </row>
    <row r="16" spans="1:24" s="210" customFormat="1" ht="31.5" customHeight="1" x14ac:dyDescent="0.2">
      <c r="A16" s="196">
        <f>A15+1</f>
        <v>2</v>
      </c>
      <c r="B16" s="196"/>
      <c r="C16" s="196" t="s">
        <v>89</v>
      </c>
      <c r="D16" s="197"/>
      <c r="E16" s="197" t="s">
        <v>11</v>
      </c>
      <c r="F16" s="198" t="s">
        <v>123</v>
      </c>
      <c r="G16" s="199" t="str">
        <f>IF(COUNTIFS($C$15:C16,C16,$H$15:H16,H16)=1,
SUMIFS($I$15:$I$43,$C$15:$C$43,C16,$H$15:$H$43,H16)&amp;H16&amp;" "&amp;C16,
"")</f>
        <v/>
      </c>
      <c r="H16" s="197" t="s">
        <v>18</v>
      </c>
      <c r="I16" s="200">
        <v>1</v>
      </c>
      <c r="J16" s="249"/>
      <c r="K16" s="201" cm="1">
        <f t="array" ref="K16">IF(E16="untrim",_xlfn.XLOOKUP(1,(TRIM('SIZE GUIDE'!$A$3:$A$2015)=TRIM(E16))*(TRIM('SIZE GUIDE'!$B$3:$B$2015)=TRIM(F16))*(TRIM('SIZE GUIDE'!$C$3:$C$2015)=TRIM(H16)),'SIZE GUIDE'!$D$3:$D$2015),"")</f>
        <v>81</v>
      </c>
      <c r="L16" s="265" cm="1">
        <f t="array" ref="L16">IF(E16="untrim",IFERROR(INDEX('SIZE GUIDE'!$E:$E,MATCH(1,('SIZE GUIDE'!$A:$A=$E16)*('SIZE GUIDE'!$B:$B=$F16)*('SIZE GUIDE'!$C:$C=$H16),0)),""),"")</f>
        <v>77</v>
      </c>
      <c r="M16" s="202">
        <v>45</v>
      </c>
      <c r="N16" s="203" t="str" cm="1">
        <f t="array" ref="N16">IF(E16="trim",_xlfn.XLOOKUP(1,(TRIM('SIZE GUIDE'!$A$3:$A$2015)=TRIM(E16))*(TRIM('SIZE GUIDE'!$B$3:$B$2015)=TRIM(F16))*(TRIM('SIZE GUIDE'!$C$3:$C$2015)=TRIM(H16)),'SIZE GUIDE'!$D$3:$D$2015),"")</f>
        <v/>
      </c>
      <c r="O16" s="203" t="str" cm="1">
        <f t="array" ref="O16">IF(E16="trim",IFERROR(INDEX('SIZE GUIDE'!$E:$E,MATCH(1,('SIZE GUIDE'!$A:$A=$E16)*('SIZE GUIDE'!$B:$B=$F16)*('SIZE GUIDE'!$C:$C=$H16),0)),""),"")</f>
        <v/>
      </c>
      <c r="P16" s="203"/>
      <c r="Q16" s="204">
        <f t="shared" ref="Q16:Q22" si="1">IF(E16="untrim",K16-1.5,N16)</f>
        <v>79.5</v>
      </c>
      <c r="R16" s="198">
        <f t="shared" ref="R16:R22" si="2">IF(E16="untrim",L16-1.5,O16)</f>
        <v>75.5</v>
      </c>
      <c r="S16" s="198">
        <f t="shared" ref="S16:S22" si="3">IF(E16="untrim",M16-0.5,P16-0.5)</f>
        <v>44.5</v>
      </c>
      <c r="T16" s="205">
        <f t="shared" ref="T16:T22" si="4">IFERROR(Q16*R16*S16/144*I16,"")</f>
        <v>1854.8619791666667</v>
      </c>
      <c r="U16" s="206">
        <f>SUMIFS(CODE_PRICE!F:F,CODE_PRICE!B:B,C16,CODE_PRICE!A:A,$A$8)</f>
        <v>0.1852</v>
      </c>
      <c r="V16" s="207">
        <f t="shared" si="0"/>
        <v>343.52043854166669</v>
      </c>
      <c r="W16" s="208" t="str">
        <f>IF(COUNTIF($C$15:C16,C16)=1,C16 &amp; " - " &amp; TEXT(SUMIF($C:$C,C16,$T:$T),"0.00"),"")</f>
        <v/>
      </c>
      <c r="X16" s="209" t="str">
        <f>IF(COUNTIF($C$15:C16,C16)=1,ROUND(SUMIF($C:$C,C16,$V:$V),2), "")</f>
        <v/>
      </c>
    </row>
    <row r="17" spans="1:34" s="210" customFormat="1" ht="31.5" customHeight="1" x14ac:dyDescent="0.2">
      <c r="A17" s="196">
        <f t="shared" ref="A17:A22" si="5">A16+1</f>
        <v>3</v>
      </c>
      <c r="B17" s="196"/>
      <c r="C17" s="196" t="s">
        <v>89</v>
      </c>
      <c r="D17" s="197"/>
      <c r="E17" s="197" t="s">
        <v>11</v>
      </c>
      <c r="F17" s="198" t="s">
        <v>123</v>
      </c>
      <c r="G17" s="199" t="str">
        <f>IF(COUNTIFS($C$15:C17,C17,$H$15:H17,H17)=1,
SUMIFS($I$15:$I$43,$C$15:$C$43,C17,$H$15:$H$43,H17)&amp;H17&amp;" "&amp;C17,
"")</f>
        <v/>
      </c>
      <c r="H17" s="197" t="s">
        <v>18</v>
      </c>
      <c r="I17" s="200">
        <v>1</v>
      </c>
      <c r="J17" s="249"/>
      <c r="K17" s="201" cm="1">
        <f t="array" ref="K17">IF(E17="untrim",_xlfn.XLOOKUP(1,(TRIM('SIZE GUIDE'!$A$3:$A$2015)=TRIM(E17))*(TRIM('SIZE GUIDE'!$B$3:$B$2015)=TRIM(F17))*(TRIM('SIZE GUIDE'!$C$3:$C$2015)=TRIM(H17)),'SIZE GUIDE'!$D$3:$D$2015),"")</f>
        <v>81</v>
      </c>
      <c r="L17" s="265" cm="1">
        <f t="array" ref="L17">IF(E17="untrim",IFERROR(INDEX('SIZE GUIDE'!$E:$E,MATCH(1,('SIZE GUIDE'!$A:$A=$E17)*('SIZE GUIDE'!$B:$B=$F17)*('SIZE GUIDE'!$C:$C=$H17),0)),""),"")</f>
        <v>77</v>
      </c>
      <c r="M17" s="202">
        <v>45</v>
      </c>
      <c r="N17" s="203" t="str" cm="1">
        <f t="array" ref="N17">IF(E17="trim",_xlfn.XLOOKUP(1,(TRIM('SIZE GUIDE'!$A$3:$A$2015)=TRIM(E17))*(TRIM('SIZE GUIDE'!$B$3:$B$2015)=TRIM(F17))*(TRIM('SIZE GUIDE'!$C$3:$C$2015)=TRIM(H17)),'SIZE GUIDE'!$D$3:$D$2015),"")</f>
        <v/>
      </c>
      <c r="O17" s="203" t="str" cm="1">
        <f t="array" ref="O17">IF(E17="trim",IFERROR(INDEX('SIZE GUIDE'!$E:$E,MATCH(1,('SIZE GUIDE'!$A:$A=$E17)*('SIZE GUIDE'!$B:$B=$F17)*('SIZE GUIDE'!$C:$C=$H17),0)),""),"")</f>
        <v/>
      </c>
      <c r="P17" s="203"/>
      <c r="Q17" s="204">
        <f t="shared" si="1"/>
        <v>79.5</v>
      </c>
      <c r="R17" s="198">
        <f t="shared" si="2"/>
        <v>75.5</v>
      </c>
      <c r="S17" s="198">
        <f t="shared" si="3"/>
        <v>44.5</v>
      </c>
      <c r="T17" s="205">
        <f t="shared" si="4"/>
        <v>1854.8619791666667</v>
      </c>
      <c r="U17" s="206">
        <f>SUMIFS(CODE_PRICE!F:F,CODE_PRICE!B:B,C17,CODE_PRICE!A:A,$A$8)</f>
        <v>0.1852</v>
      </c>
      <c r="V17" s="207">
        <f t="shared" si="0"/>
        <v>343.52043854166669</v>
      </c>
      <c r="W17" s="208" t="str">
        <f>IF(COUNTIF($C$15:C17,C17)=1,C17 &amp; " - " &amp; TEXT(SUMIF($C:$C,C17,$T:$T),"0.00"),"")</f>
        <v/>
      </c>
      <c r="X17" s="209" t="str">
        <f>IF(COUNTIF($C$15:C17,C17)=1,ROUND(SUMIF($C:$C,C17,$V:$V),2), "")</f>
        <v/>
      </c>
    </row>
    <row r="18" spans="1:34" s="210" customFormat="1" ht="31.5" customHeight="1" x14ac:dyDescent="0.2">
      <c r="A18" s="196">
        <f t="shared" si="5"/>
        <v>4</v>
      </c>
      <c r="B18" s="196"/>
      <c r="C18" s="196" t="s">
        <v>89</v>
      </c>
      <c r="D18" s="197"/>
      <c r="E18" s="197" t="s">
        <v>11</v>
      </c>
      <c r="F18" s="198" t="s">
        <v>123</v>
      </c>
      <c r="G18" s="199" t="str">
        <f>IF(COUNTIFS($C$15:C18,C18,$H$15:H18,H18)=1,
SUMIFS($I$15:$I$43,$C$15:$C$43,C18,$H$15:$H$43,H18)&amp;H18&amp;" "&amp;C18,
"")</f>
        <v/>
      </c>
      <c r="H18" s="197" t="s">
        <v>18</v>
      </c>
      <c r="I18" s="200">
        <v>1</v>
      </c>
      <c r="J18" s="249"/>
      <c r="K18" s="201" cm="1">
        <f t="array" ref="K18">IF(E18="untrim",_xlfn.XLOOKUP(1,(TRIM('SIZE GUIDE'!$A$3:$A$2015)=TRIM(E18))*(TRIM('SIZE GUIDE'!$B$3:$B$2015)=TRIM(F18))*(TRIM('SIZE GUIDE'!$C$3:$C$2015)=TRIM(H18)),'SIZE GUIDE'!$D$3:$D$2015),"")</f>
        <v>81</v>
      </c>
      <c r="L18" s="265" cm="1">
        <f t="array" ref="L18">IF(E18="untrim",IFERROR(INDEX('SIZE GUIDE'!$E:$E,MATCH(1,('SIZE GUIDE'!$A:$A=$E18)*('SIZE GUIDE'!$B:$B=$F18)*('SIZE GUIDE'!$C:$C=$H18),0)),""),"")</f>
        <v>77</v>
      </c>
      <c r="M18" s="202">
        <v>45.5</v>
      </c>
      <c r="N18" s="203" t="str" cm="1">
        <f t="array" ref="N18">IF(E18="trim",_xlfn.XLOOKUP(1,(TRIM('SIZE GUIDE'!$A$3:$A$2015)=TRIM(E18))*(TRIM('SIZE GUIDE'!$B$3:$B$2015)=TRIM(F18))*(TRIM('SIZE GUIDE'!$C$3:$C$2015)=TRIM(H18)),'SIZE GUIDE'!$D$3:$D$2015),"")</f>
        <v/>
      </c>
      <c r="O18" s="203" t="str" cm="1">
        <f t="array" ref="O18">IF(E18="trim",IFERROR(INDEX('SIZE GUIDE'!$E:$E,MATCH(1,('SIZE GUIDE'!$A:$A=$E18)*('SIZE GUIDE'!$B:$B=$F18)*('SIZE GUIDE'!$C:$C=$H18),0)),""),"")</f>
        <v/>
      </c>
      <c r="P18" s="203"/>
      <c r="Q18" s="204">
        <f t="shared" si="1"/>
        <v>79.5</v>
      </c>
      <c r="R18" s="198">
        <f t="shared" si="2"/>
        <v>75.5</v>
      </c>
      <c r="S18" s="198">
        <f t="shared" si="3"/>
        <v>45</v>
      </c>
      <c r="T18" s="205">
        <f t="shared" si="4"/>
        <v>1875.703125</v>
      </c>
      <c r="U18" s="206">
        <f>SUMIFS(CODE_PRICE!F:F,CODE_PRICE!B:B,C18,CODE_PRICE!A:A,$A$8)</f>
        <v>0.1852</v>
      </c>
      <c r="V18" s="207">
        <f t="shared" si="0"/>
        <v>347.38021874999998</v>
      </c>
      <c r="W18" s="208" t="str">
        <f>IF(COUNTIF($C$15:C18,C18)=1,C18 &amp; " - " &amp; TEXT(SUMIF($C:$C,C18,$T:$T),"0.00"),"")</f>
        <v/>
      </c>
      <c r="X18" s="209" t="str">
        <f>IF(COUNTIF($C$15:C18,C18)=1,ROUND(SUMIF($C:$C,C18,$V:$V),2), "")</f>
        <v/>
      </c>
      <c r="AH18" s="211"/>
    </row>
    <row r="19" spans="1:34" s="210" customFormat="1" ht="31.5" customHeight="1" x14ac:dyDescent="0.2">
      <c r="A19" s="196">
        <f t="shared" si="5"/>
        <v>5</v>
      </c>
      <c r="B19" s="196"/>
      <c r="C19" s="196" t="s">
        <v>89</v>
      </c>
      <c r="D19" s="197"/>
      <c r="E19" s="197" t="s">
        <v>11</v>
      </c>
      <c r="F19" s="198" t="s">
        <v>123</v>
      </c>
      <c r="G19" s="199" t="str">
        <f>IF(COUNTIFS($C$15:C19,C19,$H$15:H19,H19)=1,
SUMIFS($I$15:$I$43,$C$15:$C$43,C19,$H$15:$H$43,H19)&amp;H19&amp;" "&amp;C19,
"")</f>
        <v/>
      </c>
      <c r="H19" s="197" t="s">
        <v>18</v>
      </c>
      <c r="I19" s="200">
        <v>1</v>
      </c>
      <c r="J19" s="249"/>
      <c r="K19" s="201" cm="1">
        <f t="array" ref="K19">IF(E19="untrim",_xlfn.XLOOKUP(1,(TRIM('SIZE GUIDE'!$A$3:$A$2015)=TRIM(E19))*(TRIM('SIZE GUIDE'!$B$3:$B$2015)=TRIM(F19))*(TRIM('SIZE GUIDE'!$C$3:$C$2015)=TRIM(H19)),'SIZE GUIDE'!$D$3:$D$2015),"")</f>
        <v>81</v>
      </c>
      <c r="L19" s="265" cm="1">
        <f t="array" ref="L19">IF(E19="untrim",IFERROR(INDEX('SIZE GUIDE'!$E:$E,MATCH(1,('SIZE GUIDE'!$A:$A=$E19)*('SIZE GUIDE'!$B:$B=$F19)*('SIZE GUIDE'!$C:$C=$H19),0)),""),"")</f>
        <v>77</v>
      </c>
      <c r="M19" s="202">
        <v>45</v>
      </c>
      <c r="N19" s="203" t="str" cm="1">
        <f t="array" ref="N19">IF(E19="trim",_xlfn.XLOOKUP(1,(TRIM('SIZE GUIDE'!$A$3:$A$2015)=TRIM(E19))*(TRIM('SIZE GUIDE'!$B$3:$B$2015)=TRIM(F19))*(TRIM('SIZE GUIDE'!$C$3:$C$2015)=TRIM(H19)),'SIZE GUIDE'!$D$3:$D$2015),"")</f>
        <v/>
      </c>
      <c r="O19" s="203" t="str" cm="1">
        <f t="array" ref="O19">IF(E19="trim",IFERROR(INDEX('SIZE GUIDE'!$E:$E,MATCH(1,('SIZE GUIDE'!$A:$A=$E19)*('SIZE GUIDE'!$B:$B=$F19)*('SIZE GUIDE'!$C:$C=$H19),0)),""),"")</f>
        <v/>
      </c>
      <c r="P19" s="203"/>
      <c r="Q19" s="204">
        <f t="shared" si="1"/>
        <v>79.5</v>
      </c>
      <c r="R19" s="198">
        <f t="shared" si="2"/>
        <v>75.5</v>
      </c>
      <c r="S19" s="198">
        <f t="shared" si="3"/>
        <v>44.5</v>
      </c>
      <c r="T19" s="205">
        <f t="shared" si="4"/>
        <v>1854.8619791666667</v>
      </c>
      <c r="U19" s="206">
        <f>SUMIFS(CODE_PRICE!F:F,CODE_PRICE!B:B,C19,CODE_PRICE!A:A,$A$8)</f>
        <v>0.1852</v>
      </c>
      <c r="V19" s="207">
        <f t="shared" si="0"/>
        <v>343.52043854166669</v>
      </c>
      <c r="W19" s="208" t="str">
        <f>IF(COUNTIF($C$15:C19,C19)=1,C19 &amp; " - " &amp; TEXT(SUMIF($C:$C,C19,$T:$T),"0.00"),"")</f>
        <v/>
      </c>
      <c r="X19" s="209" t="str">
        <f>IF(COUNTIF($C$15:C19,C19)=1,ROUND(SUMIF($C:$C,C19,$V:$V),2), "")</f>
        <v/>
      </c>
    </row>
    <row r="20" spans="1:34" s="210" customFormat="1" ht="31.5" customHeight="1" x14ac:dyDescent="0.2">
      <c r="A20" s="196">
        <f t="shared" si="5"/>
        <v>6</v>
      </c>
      <c r="B20" s="196"/>
      <c r="C20" s="196" t="s">
        <v>89</v>
      </c>
      <c r="D20" s="197"/>
      <c r="E20" s="197" t="s">
        <v>11</v>
      </c>
      <c r="F20" s="198" t="s">
        <v>123</v>
      </c>
      <c r="G20" s="199" t="str">
        <f>IF(COUNTIFS($C$15:C20,C20,$H$15:H20,H20)=1,
SUMIFS($I$15:$I$43,$C$15:$C$43,C20,$H$15:$H$43,H20)&amp;H20&amp;" "&amp;C20,
"")</f>
        <v/>
      </c>
      <c r="H20" s="197" t="s">
        <v>18</v>
      </c>
      <c r="I20" s="200">
        <v>1</v>
      </c>
      <c r="J20" s="249"/>
      <c r="K20" s="201" cm="1">
        <f t="array" ref="K20">IF(E20="untrim",_xlfn.XLOOKUP(1,(TRIM('SIZE GUIDE'!$A$3:$A$2015)=TRIM(E20))*(TRIM('SIZE GUIDE'!$B$3:$B$2015)=TRIM(F20))*(TRIM('SIZE GUIDE'!$C$3:$C$2015)=TRIM(H20)),'SIZE GUIDE'!$D$3:$D$2015),"")</f>
        <v>81</v>
      </c>
      <c r="L20" s="265" cm="1">
        <f t="array" ref="L20">IF(E20="untrim",IFERROR(INDEX('SIZE GUIDE'!$E:$E,MATCH(1,('SIZE GUIDE'!$A:$A=$E20)*('SIZE GUIDE'!$B:$B=$F20)*('SIZE GUIDE'!$C:$C=$H20),0)),""),"")</f>
        <v>77</v>
      </c>
      <c r="M20" s="202">
        <v>44</v>
      </c>
      <c r="N20" s="203" t="str" cm="1">
        <f t="array" ref="N20">IF(E20="trim",_xlfn.XLOOKUP(1,(TRIM('SIZE GUIDE'!$A$3:$A$2015)=TRIM(E20))*(TRIM('SIZE GUIDE'!$B$3:$B$2015)=TRIM(F20))*(TRIM('SIZE GUIDE'!$C$3:$C$2015)=TRIM(H20)),'SIZE GUIDE'!$D$3:$D$2015),"")</f>
        <v/>
      </c>
      <c r="O20" s="203" t="str" cm="1">
        <f t="array" ref="O20">IF(E20="trim",IFERROR(INDEX('SIZE GUIDE'!$E:$E,MATCH(1,('SIZE GUIDE'!$A:$A=$E20)*('SIZE GUIDE'!$B:$B=$F20)*('SIZE GUIDE'!$C:$C=$H20),0)),""),"")</f>
        <v/>
      </c>
      <c r="P20" s="203"/>
      <c r="Q20" s="204">
        <f t="shared" si="1"/>
        <v>79.5</v>
      </c>
      <c r="R20" s="198">
        <f t="shared" si="2"/>
        <v>75.5</v>
      </c>
      <c r="S20" s="198">
        <f t="shared" si="3"/>
        <v>43.5</v>
      </c>
      <c r="T20" s="205">
        <f t="shared" si="4"/>
        <v>1813.1796875</v>
      </c>
      <c r="U20" s="206">
        <f>SUMIFS(CODE_PRICE!F:F,CODE_PRICE!B:B,C20,CODE_PRICE!A:A,$A$8)</f>
        <v>0.1852</v>
      </c>
      <c r="V20" s="207">
        <f t="shared" si="0"/>
        <v>335.800878125</v>
      </c>
      <c r="W20" s="208" t="str">
        <f>IF(COUNTIF($C$15:C20,C20)=1,C20 &amp; " - " &amp; TEXT(SUMIF($C:$C,C20,$T:$T),"0.00"),"")</f>
        <v/>
      </c>
      <c r="X20" s="209" t="str">
        <f>IF(COUNTIF($C$15:C20,C20)=1,ROUND(SUMIF($C:$C,C20,$V:$V),2), "")</f>
        <v/>
      </c>
    </row>
    <row r="21" spans="1:34" s="210" customFormat="1" ht="31.5" customHeight="1" x14ac:dyDescent="0.2">
      <c r="A21" s="196">
        <f t="shared" si="5"/>
        <v>7</v>
      </c>
      <c r="B21" s="196"/>
      <c r="C21" s="196" t="s">
        <v>89</v>
      </c>
      <c r="D21" s="197"/>
      <c r="E21" s="197" t="s">
        <v>11</v>
      </c>
      <c r="F21" s="198" t="s">
        <v>123</v>
      </c>
      <c r="G21" s="199" t="str">
        <f>IF(COUNTIFS($C$15:C21,C21,$H$15:H21,H21)=1,
SUMIFS($I$15:$I$43,$C$15:$C$43,C21,$H$15:$H$43,H21)&amp;H21&amp;" "&amp;C21,
"")</f>
        <v/>
      </c>
      <c r="H21" s="197" t="s">
        <v>18</v>
      </c>
      <c r="I21" s="200">
        <v>1</v>
      </c>
      <c r="J21" s="249"/>
      <c r="K21" s="201" cm="1">
        <f t="array" ref="K21">IF(E21="untrim",_xlfn.XLOOKUP(1,(TRIM('SIZE GUIDE'!$A$3:$A$2015)=TRIM(E21))*(TRIM('SIZE GUIDE'!$B$3:$B$2015)=TRIM(F21))*(TRIM('SIZE GUIDE'!$C$3:$C$2015)=TRIM(H21)),'SIZE GUIDE'!$D$3:$D$2015),"")</f>
        <v>81</v>
      </c>
      <c r="L21" s="265" cm="1">
        <f t="array" ref="L21">IF(E21="untrim",IFERROR(INDEX('SIZE GUIDE'!$E:$E,MATCH(1,('SIZE GUIDE'!$A:$A=$E21)*('SIZE GUIDE'!$B:$B=$F21)*('SIZE GUIDE'!$C:$C=$H21),0)),""),"")</f>
        <v>77</v>
      </c>
      <c r="M21" s="202">
        <v>45.5</v>
      </c>
      <c r="N21" s="203" t="str" cm="1">
        <f t="array" ref="N21">IF(E21="trim",_xlfn.XLOOKUP(1,(TRIM('SIZE GUIDE'!$A$3:$A$2015)=TRIM(E21))*(TRIM('SIZE GUIDE'!$B$3:$B$2015)=TRIM(F21))*(TRIM('SIZE GUIDE'!$C$3:$C$2015)=TRIM(H21)),'SIZE GUIDE'!$D$3:$D$2015),"")</f>
        <v/>
      </c>
      <c r="O21" s="203" t="str" cm="1">
        <f t="array" ref="O21">IF(E21="trim",IFERROR(INDEX('SIZE GUIDE'!$E:$E,MATCH(1,('SIZE GUIDE'!$A:$A=$E21)*('SIZE GUIDE'!$B:$B=$F21)*('SIZE GUIDE'!$C:$C=$H21),0)),""),"")</f>
        <v/>
      </c>
      <c r="P21" s="203"/>
      <c r="Q21" s="204">
        <f t="shared" si="1"/>
        <v>79.5</v>
      </c>
      <c r="R21" s="198">
        <f t="shared" si="2"/>
        <v>75.5</v>
      </c>
      <c r="S21" s="198">
        <f t="shared" si="3"/>
        <v>45</v>
      </c>
      <c r="T21" s="205">
        <f t="shared" si="4"/>
        <v>1875.703125</v>
      </c>
      <c r="U21" s="206">
        <f>SUMIFS(CODE_PRICE!F:F,CODE_PRICE!B:B,C21,CODE_PRICE!A:A,$A$8)</f>
        <v>0.1852</v>
      </c>
      <c r="V21" s="207">
        <f t="shared" si="0"/>
        <v>347.38021874999998</v>
      </c>
      <c r="W21" s="208" t="str">
        <f>IF(COUNTIF($C$15:C21,C21)=1,C21 &amp; " - " &amp; TEXT(SUMIF($C:$C,C21,$T:$T),"0.00"),"")</f>
        <v/>
      </c>
      <c r="X21" s="209" t="str">
        <f>IF(COUNTIF($C$15:C21,C21)=1,ROUND(SUMIF($C:$C,C21,$V:$V),2), "")</f>
        <v/>
      </c>
    </row>
    <row r="22" spans="1:34" s="210" customFormat="1" ht="31.5" customHeight="1" x14ac:dyDescent="0.2">
      <c r="A22" s="196">
        <f t="shared" si="5"/>
        <v>8</v>
      </c>
      <c r="B22" s="196"/>
      <c r="C22" s="196" t="s">
        <v>89</v>
      </c>
      <c r="D22" s="197"/>
      <c r="E22" s="197" t="s">
        <v>11</v>
      </c>
      <c r="F22" s="198" t="s">
        <v>123</v>
      </c>
      <c r="G22" s="199" t="str">
        <f>IF(COUNTIFS($C$15:C22,C22,$H$15:H22,H22)=1,
SUMIFS($I$15:$I$43,$C$15:$C$43,C22,$H$15:$H$43,H22)&amp;H22&amp;" "&amp;C22,
"")</f>
        <v/>
      </c>
      <c r="H22" s="197" t="s">
        <v>18</v>
      </c>
      <c r="I22" s="200">
        <v>1</v>
      </c>
      <c r="J22" s="249"/>
      <c r="K22" s="201" cm="1">
        <f t="array" ref="K22">IF(E22="untrim",_xlfn.XLOOKUP(1,(TRIM('SIZE GUIDE'!$A$3:$A$2015)=TRIM(E22))*(TRIM('SIZE GUIDE'!$B$3:$B$2015)=TRIM(F22))*(TRIM('SIZE GUIDE'!$C$3:$C$2015)=TRIM(H22)),'SIZE GUIDE'!$D$3:$D$2015),"")</f>
        <v>81</v>
      </c>
      <c r="L22" s="265" cm="1">
        <f t="array" ref="L22">IF(E22="untrim",IFERROR(INDEX('SIZE GUIDE'!$E:$E,MATCH(1,('SIZE GUIDE'!$A:$A=$E22)*('SIZE GUIDE'!$B:$B=$F22)*('SIZE GUIDE'!$C:$C=$H22),0)),""),"")</f>
        <v>77</v>
      </c>
      <c r="M22" s="202">
        <v>45.5</v>
      </c>
      <c r="N22" s="203" t="str" cm="1">
        <f t="array" ref="N22">IF(E22="trim",_xlfn.XLOOKUP(1,(TRIM('SIZE GUIDE'!$A$3:$A$2015)=TRIM(E22))*(TRIM('SIZE GUIDE'!$B$3:$B$2015)=TRIM(F22))*(TRIM('SIZE GUIDE'!$C$3:$C$2015)=TRIM(H22)),'SIZE GUIDE'!$D$3:$D$2015),"")</f>
        <v/>
      </c>
      <c r="O22" s="203" t="str" cm="1">
        <f t="array" ref="O22">IF(E22="trim",IFERROR(INDEX('SIZE GUIDE'!$E:$E,MATCH(1,('SIZE GUIDE'!$A:$A=$E22)*('SIZE GUIDE'!$B:$B=$F22)*('SIZE GUIDE'!$C:$C=$H22),0)),""),"")</f>
        <v/>
      </c>
      <c r="P22" s="203"/>
      <c r="Q22" s="204">
        <f t="shared" si="1"/>
        <v>79.5</v>
      </c>
      <c r="R22" s="198">
        <f t="shared" si="2"/>
        <v>75.5</v>
      </c>
      <c r="S22" s="198">
        <f t="shared" si="3"/>
        <v>45</v>
      </c>
      <c r="T22" s="205">
        <f t="shared" si="4"/>
        <v>1875.703125</v>
      </c>
      <c r="U22" s="206">
        <f>SUMIFS(CODE_PRICE!F:F,CODE_PRICE!B:B,C22,CODE_PRICE!A:A,$A$8)</f>
        <v>0.1852</v>
      </c>
      <c r="V22" s="207">
        <f t="shared" si="0"/>
        <v>347.38021874999998</v>
      </c>
      <c r="W22" s="208" t="str">
        <f>IF(COUNTIF($C$15:C22,C22)=1,C22 &amp; " - " &amp; TEXT(SUMIF($C:$C,C22,$T:$T),"0.00"),"")</f>
        <v/>
      </c>
      <c r="X22" s="209" t="str">
        <f>IF(COUNTIF($C$15:C22,C22)=1,ROUND(SUMIF($C:$C,C22,$V:$V),2), "")</f>
        <v/>
      </c>
      <c r="AD22" s="210" t="s">
        <v>204</v>
      </c>
    </row>
    <row r="23" spans="1:34" s="210" customFormat="1" ht="31.5" hidden="1" customHeight="1" x14ac:dyDescent="0.2">
      <c r="A23" s="196"/>
      <c r="B23" s="196"/>
      <c r="C23" s="196"/>
      <c r="D23" s="197"/>
      <c r="E23" s="197"/>
      <c r="F23" s="198"/>
      <c r="G23" s="199"/>
      <c r="H23" s="197"/>
      <c r="I23" s="200"/>
      <c r="J23" s="249"/>
      <c r="K23" s="201"/>
      <c r="L23" s="265"/>
      <c r="M23" s="202"/>
      <c r="N23" s="203"/>
      <c r="O23" s="203"/>
      <c r="P23" s="203"/>
      <c r="Q23" s="204"/>
      <c r="R23" s="198"/>
      <c r="S23" s="198"/>
      <c r="T23" s="205"/>
      <c r="U23" s="206"/>
      <c r="V23" s="207"/>
      <c r="W23" s="208"/>
      <c r="X23" s="209"/>
    </row>
    <row r="24" spans="1:34" s="210" customFormat="1" ht="31.5" hidden="1" customHeight="1" x14ac:dyDescent="0.2">
      <c r="A24" s="196"/>
      <c r="B24" s="196"/>
      <c r="C24" s="196"/>
      <c r="D24" s="197"/>
      <c r="E24" s="197"/>
      <c r="F24" s="198"/>
      <c r="G24" s="199"/>
      <c r="H24" s="197"/>
      <c r="I24" s="200"/>
      <c r="J24" s="249"/>
      <c r="K24" s="201"/>
      <c r="L24" s="265"/>
      <c r="M24" s="202"/>
      <c r="N24" s="203"/>
      <c r="O24" s="203"/>
      <c r="P24" s="203"/>
      <c r="Q24" s="204"/>
      <c r="R24" s="198"/>
      <c r="S24" s="198"/>
      <c r="T24" s="205"/>
      <c r="U24" s="206"/>
      <c r="V24" s="207"/>
      <c r="W24" s="208"/>
      <c r="X24" s="209"/>
    </row>
    <row r="25" spans="1:34" s="210" customFormat="1" ht="31.5" hidden="1" customHeight="1" x14ac:dyDescent="0.2">
      <c r="A25" s="196"/>
      <c r="B25" s="196"/>
      <c r="C25" s="196"/>
      <c r="D25" s="197"/>
      <c r="E25" s="197"/>
      <c r="F25" s="198"/>
      <c r="G25" s="199"/>
      <c r="H25" s="197"/>
      <c r="I25" s="200"/>
      <c r="J25" s="249"/>
      <c r="K25" s="201"/>
      <c r="L25" s="265"/>
      <c r="M25" s="202"/>
      <c r="N25" s="203"/>
      <c r="O25" s="203"/>
      <c r="P25" s="203"/>
      <c r="Q25" s="204"/>
      <c r="R25" s="198"/>
      <c r="S25" s="198"/>
      <c r="T25" s="205"/>
      <c r="U25" s="206"/>
      <c r="V25" s="207"/>
      <c r="W25" s="208"/>
      <c r="X25" s="209"/>
    </row>
    <row r="26" spans="1:34" s="210" customFormat="1" ht="31.5" hidden="1" customHeight="1" x14ac:dyDescent="0.2">
      <c r="A26" s="196"/>
      <c r="B26" s="196"/>
      <c r="C26" s="196"/>
      <c r="D26" s="197"/>
      <c r="E26" s="197"/>
      <c r="F26" s="198"/>
      <c r="G26" s="199"/>
      <c r="H26" s="197"/>
      <c r="I26" s="200"/>
      <c r="J26" s="249"/>
      <c r="K26" s="201"/>
      <c r="L26" s="265"/>
      <c r="M26" s="202"/>
      <c r="N26" s="203"/>
      <c r="O26" s="203"/>
      <c r="P26" s="203"/>
      <c r="Q26" s="204"/>
      <c r="R26" s="198"/>
      <c r="S26" s="198"/>
      <c r="T26" s="205"/>
      <c r="U26" s="206"/>
      <c r="V26" s="207"/>
      <c r="W26" s="208"/>
      <c r="X26" s="209"/>
    </row>
    <row r="27" spans="1:34" s="210" customFormat="1" ht="31.5" hidden="1" customHeight="1" x14ac:dyDescent="0.2">
      <c r="A27" s="196"/>
      <c r="B27" s="196"/>
      <c r="C27" s="196"/>
      <c r="D27" s="197"/>
      <c r="E27" s="197"/>
      <c r="F27" s="198"/>
      <c r="G27" s="199"/>
      <c r="H27" s="197"/>
      <c r="I27" s="200"/>
      <c r="J27" s="249"/>
      <c r="K27" s="201"/>
      <c r="L27" s="265"/>
      <c r="M27" s="202"/>
      <c r="N27" s="203"/>
      <c r="O27" s="203"/>
      <c r="P27" s="203"/>
      <c r="Q27" s="204"/>
      <c r="R27" s="198"/>
      <c r="S27" s="198"/>
      <c r="T27" s="205"/>
      <c r="U27" s="206"/>
      <c r="V27" s="207"/>
      <c r="W27" s="208"/>
      <c r="X27" s="209"/>
    </row>
    <row r="28" spans="1:34" s="210" customFormat="1" ht="31.5" hidden="1" customHeight="1" x14ac:dyDescent="0.2">
      <c r="A28" s="196"/>
      <c r="B28" s="196"/>
      <c r="C28" s="196"/>
      <c r="D28" s="197"/>
      <c r="E28" s="197"/>
      <c r="F28" s="198"/>
      <c r="G28" s="199"/>
      <c r="H28" s="197"/>
      <c r="I28" s="200"/>
      <c r="J28" s="249"/>
      <c r="K28" s="201"/>
      <c r="L28" s="265"/>
      <c r="M28" s="202"/>
      <c r="N28" s="203"/>
      <c r="O28" s="203"/>
      <c r="P28" s="203"/>
      <c r="Q28" s="204"/>
      <c r="R28" s="198"/>
      <c r="S28" s="198"/>
      <c r="T28" s="205"/>
      <c r="U28" s="206"/>
      <c r="V28" s="207"/>
      <c r="W28" s="208"/>
      <c r="X28" s="209"/>
    </row>
    <row r="29" spans="1:34" s="210" customFormat="1" ht="31.5" hidden="1" customHeight="1" x14ac:dyDescent="0.2">
      <c r="A29" s="196"/>
      <c r="B29" s="196"/>
      <c r="C29" s="196"/>
      <c r="D29" s="197"/>
      <c r="E29" s="197"/>
      <c r="F29" s="198"/>
      <c r="G29" s="199"/>
      <c r="H29" s="197"/>
      <c r="I29" s="200"/>
      <c r="J29" s="249"/>
      <c r="K29" s="201"/>
      <c r="L29" s="265"/>
      <c r="M29" s="202"/>
      <c r="N29" s="203"/>
      <c r="O29" s="203"/>
      <c r="P29" s="203"/>
      <c r="Q29" s="204"/>
      <c r="R29" s="198"/>
      <c r="S29" s="198"/>
      <c r="T29" s="205"/>
      <c r="U29" s="206"/>
      <c r="V29" s="207"/>
      <c r="W29" s="208"/>
      <c r="X29" s="209"/>
    </row>
    <row r="30" spans="1:34" s="210" customFormat="1" ht="31.5" hidden="1" customHeight="1" x14ac:dyDescent="0.2">
      <c r="A30" s="196"/>
      <c r="B30" s="196"/>
      <c r="C30" s="196"/>
      <c r="D30" s="197"/>
      <c r="E30" s="197"/>
      <c r="F30" s="198"/>
      <c r="G30" s="199"/>
      <c r="H30" s="197"/>
      <c r="I30" s="200"/>
      <c r="J30" s="285"/>
      <c r="K30" s="201"/>
      <c r="L30" s="265"/>
      <c r="M30" s="202"/>
      <c r="N30" s="203"/>
      <c r="O30" s="203"/>
      <c r="P30" s="203"/>
      <c r="Q30" s="204"/>
      <c r="R30" s="198"/>
      <c r="S30" s="198"/>
      <c r="T30" s="205"/>
      <c r="U30" s="206"/>
      <c r="V30" s="207"/>
      <c r="W30" s="208"/>
      <c r="X30" s="209"/>
    </row>
    <row r="31" spans="1:34" s="210" customFormat="1" ht="31.5" hidden="1" customHeight="1" x14ac:dyDescent="0.2">
      <c r="A31" s="196"/>
      <c r="B31" s="196"/>
      <c r="C31" s="196"/>
      <c r="D31" s="197"/>
      <c r="E31" s="197"/>
      <c r="F31" s="198"/>
      <c r="G31" s="199"/>
      <c r="H31" s="197"/>
      <c r="I31" s="200"/>
      <c r="J31" s="249"/>
      <c r="K31" s="201"/>
      <c r="L31" s="265"/>
      <c r="M31" s="202"/>
      <c r="N31" s="203"/>
      <c r="O31" s="203"/>
      <c r="P31" s="203"/>
      <c r="Q31" s="204"/>
      <c r="R31" s="198"/>
      <c r="S31" s="198"/>
      <c r="T31" s="205"/>
      <c r="U31" s="206"/>
      <c r="V31" s="207"/>
      <c r="W31" s="208"/>
      <c r="X31" s="209"/>
    </row>
    <row r="32" spans="1:34" s="210" customFormat="1" ht="31.5" hidden="1" customHeight="1" x14ac:dyDescent="0.2">
      <c r="A32" s="196"/>
      <c r="B32" s="196"/>
      <c r="C32" s="196"/>
      <c r="D32" s="197"/>
      <c r="E32" s="197"/>
      <c r="F32" s="198"/>
      <c r="G32" s="199"/>
      <c r="H32" s="197"/>
      <c r="I32" s="200"/>
      <c r="J32" s="249"/>
      <c r="K32" s="201"/>
      <c r="L32" s="265"/>
      <c r="M32" s="202"/>
      <c r="N32" s="203"/>
      <c r="O32" s="203"/>
      <c r="P32" s="203"/>
      <c r="Q32" s="204"/>
      <c r="R32" s="198"/>
      <c r="S32" s="198"/>
      <c r="T32" s="205"/>
      <c r="U32" s="206"/>
      <c r="V32" s="207"/>
      <c r="W32" s="208"/>
      <c r="X32" s="209"/>
    </row>
    <row r="33" spans="1:24" s="210" customFormat="1" ht="31.5" hidden="1" customHeight="1" x14ac:dyDescent="0.2">
      <c r="A33" s="196"/>
      <c r="B33" s="196"/>
      <c r="C33" s="196"/>
      <c r="D33" s="197"/>
      <c r="E33" s="197"/>
      <c r="F33" s="198"/>
      <c r="G33" s="199"/>
      <c r="H33" s="197"/>
      <c r="I33" s="200"/>
      <c r="J33" s="249"/>
      <c r="K33" s="201"/>
      <c r="L33" s="265"/>
      <c r="M33" s="202"/>
      <c r="N33" s="203"/>
      <c r="O33" s="203"/>
      <c r="P33" s="203"/>
      <c r="Q33" s="204"/>
      <c r="R33" s="198"/>
      <c r="S33" s="198"/>
      <c r="T33" s="205"/>
      <c r="U33" s="206"/>
      <c r="V33" s="207"/>
      <c r="W33" s="208"/>
      <c r="X33" s="209"/>
    </row>
    <row r="34" spans="1:24" s="210" customFormat="1" ht="31.5" hidden="1" customHeight="1" x14ac:dyDescent="0.2">
      <c r="A34" s="196"/>
      <c r="B34" s="196"/>
      <c r="C34" s="196"/>
      <c r="D34" s="197"/>
      <c r="E34" s="197"/>
      <c r="F34" s="198"/>
      <c r="G34" s="199"/>
      <c r="H34" s="197"/>
      <c r="I34" s="200"/>
      <c r="J34" s="249"/>
      <c r="K34" s="201"/>
      <c r="L34" s="265"/>
      <c r="M34" s="202"/>
      <c r="N34" s="203"/>
      <c r="O34" s="203"/>
      <c r="P34" s="203"/>
      <c r="Q34" s="204"/>
      <c r="R34" s="198"/>
      <c r="S34" s="198"/>
      <c r="T34" s="205"/>
      <c r="U34" s="206"/>
      <c r="V34" s="207"/>
      <c r="W34" s="208"/>
      <c r="X34" s="209"/>
    </row>
    <row r="35" spans="1:24" s="210" customFormat="1" ht="31.5" hidden="1" customHeight="1" x14ac:dyDescent="0.2">
      <c r="A35" s="196"/>
      <c r="B35" s="196"/>
      <c r="C35" s="196"/>
      <c r="D35" s="197"/>
      <c r="E35" s="197"/>
      <c r="F35" s="198"/>
      <c r="G35" s="199"/>
      <c r="H35" s="197"/>
      <c r="I35" s="200"/>
      <c r="J35" s="249"/>
      <c r="K35" s="201"/>
      <c r="L35" s="265"/>
      <c r="M35" s="202"/>
      <c r="N35" s="203"/>
      <c r="O35" s="203"/>
      <c r="P35" s="203"/>
      <c r="Q35" s="204"/>
      <c r="R35" s="198"/>
      <c r="S35" s="198"/>
      <c r="T35" s="205"/>
      <c r="U35" s="206"/>
      <c r="V35" s="207"/>
      <c r="W35" s="208"/>
      <c r="X35" s="209"/>
    </row>
    <row r="36" spans="1:24" s="210" customFormat="1" ht="31.5" hidden="1" customHeight="1" x14ac:dyDescent="0.2">
      <c r="A36" s="196"/>
      <c r="B36" s="196"/>
      <c r="C36" s="196"/>
      <c r="D36" s="197"/>
      <c r="E36" s="197"/>
      <c r="F36" s="198"/>
      <c r="G36" s="199"/>
      <c r="H36" s="197"/>
      <c r="I36" s="200"/>
      <c r="J36" s="249"/>
      <c r="K36" s="201"/>
      <c r="L36" s="265"/>
      <c r="M36" s="202"/>
      <c r="N36" s="203"/>
      <c r="O36" s="203"/>
      <c r="P36" s="203"/>
      <c r="Q36" s="204"/>
      <c r="R36" s="198"/>
      <c r="S36" s="198"/>
      <c r="T36" s="205"/>
      <c r="U36" s="206"/>
      <c r="V36" s="207"/>
      <c r="W36" s="208"/>
      <c r="X36" s="209"/>
    </row>
    <row r="37" spans="1:24" s="210" customFormat="1" ht="31.5" hidden="1" customHeight="1" x14ac:dyDescent="0.2">
      <c r="A37" s="196"/>
      <c r="B37" s="196"/>
      <c r="C37" s="196"/>
      <c r="D37" s="197"/>
      <c r="E37" s="197"/>
      <c r="F37" s="198"/>
      <c r="G37" s="199"/>
      <c r="H37" s="197"/>
      <c r="I37" s="200"/>
      <c r="J37" s="249"/>
      <c r="K37" s="201"/>
      <c r="L37" s="265"/>
      <c r="M37" s="202"/>
      <c r="N37" s="203"/>
      <c r="O37" s="203"/>
      <c r="P37" s="203"/>
      <c r="Q37" s="204"/>
      <c r="R37" s="198"/>
      <c r="S37" s="198"/>
      <c r="T37" s="205"/>
      <c r="U37" s="206"/>
      <c r="V37" s="207"/>
      <c r="W37" s="208"/>
      <c r="X37" s="209"/>
    </row>
    <row r="38" spans="1:24" s="210" customFormat="1" ht="31.5" hidden="1" customHeight="1" x14ac:dyDescent="0.2">
      <c r="A38" s="196"/>
      <c r="B38" s="196"/>
      <c r="C38" s="196"/>
      <c r="D38" s="197"/>
      <c r="E38" s="197"/>
      <c r="F38" s="198"/>
      <c r="G38" s="199"/>
      <c r="H38" s="197"/>
      <c r="I38" s="200"/>
      <c r="J38" s="249"/>
      <c r="K38" s="201"/>
      <c r="L38" s="265"/>
      <c r="M38" s="202"/>
      <c r="N38" s="203"/>
      <c r="O38" s="203"/>
      <c r="P38" s="203"/>
      <c r="Q38" s="204"/>
      <c r="R38" s="198"/>
      <c r="S38" s="198"/>
      <c r="T38" s="205"/>
      <c r="U38" s="206"/>
      <c r="V38" s="207"/>
      <c r="W38" s="208"/>
      <c r="X38" s="209"/>
    </row>
    <row r="39" spans="1:24" s="210" customFormat="1" ht="31.5" hidden="1" customHeight="1" x14ac:dyDescent="0.2">
      <c r="A39" s="196"/>
      <c r="B39" s="196"/>
      <c r="C39" s="196"/>
      <c r="D39" s="197"/>
      <c r="E39" s="197"/>
      <c r="F39" s="198"/>
      <c r="G39" s="199"/>
      <c r="H39" s="197"/>
      <c r="I39" s="200"/>
      <c r="J39" s="249"/>
      <c r="K39" s="201"/>
      <c r="L39" s="265"/>
      <c r="M39" s="202"/>
      <c r="N39" s="203"/>
      <c r="O39" s="203"/>
      <c r="P39" s="203"/>
      <c r="Q39" s="204"/>
      <c r="R39" s="198"/>
      <c r="S39" s="198"/>
      <c r="T39" s="205"/>
      <c r="U39" s="206"/>
      <c r="V39" s="207"/>
      <c r="W39" s="208"/>
      <c r="X39" s="209"/>
    </row>
    <row r="40" spans="1:24" s="210" customFormat="1" ht="31.5" hidden="1" customHeight="1" x14ac:dyDescent="0.2">
      <c r="A40" s="196"/>
      <c r="B40" s="196"/>
      <c r="C40" s="196"/>
      <c r="D40" s="197"/>
      <c r="E40" s="197"/>
      <c r="F40" s="198"/>
      <c r="G40" s="199"/>
      <c r="H40" s="197"/>
      <c r="I40" s="200"/>
      <c r="J40" s="249"/>
      <c r="K40" s="201"/>
      <c r="L40" s="265"/>
      <c r="M40" s="202"/>
      <c r="N40" s="203"/>
      <c r="O40" s="203"/>
      <c r="P40" s="203"/>
      <c r="Q40" s="204"/>
      <c r="R40" s="198"/>
      <c r="S40" s="198"/>
      <c r="T40" s="205"/>
      <c r="U40" s="206"/>
      <c r="V40" s="207"/>
      <c r="W40" s="208"/>
      <c r="X40" s="209"/>
    </row>
    <row r="41" spans="1:24" s="210" customFormat="1" ht="31.5" hidden="1" customHeight="1" x14ac:dyDescent="0.2">
      <c r="A41" s="196"/>
      <c r="B41" s="196"/>
      <c r="C41" s="196"/>
      <c r="D41" s="260"/>
      <c r="E41" s="197"/>
      <c r="F41" s="198"/>
      <c r="G41" s="199"/>
      <c r="H41" s="197"/>
      <c r="I41" s="200"/>
      <c r="J41" s="249"/>
      <c r="K41" s="201"/>
      <c r="L41" s="265"/>
      <c r="M41" s="202"/>
      <c r="N41" s="203"/>
      <c r="O41" s="203"/>
      <c r="P41" s="203"/>
      <c r="Q41" s="204"/>
      <c r="R41" s="198"/>
      <c r="S41" s="198"/>
      <c r="T41" s="205"/>
      <c r="U41" s="206"/>
      <c r="V41" s="207"/>
      <c r="W41" s="198"/>
      <c r="X41" s="238"/>
    </row>
    <row r="42" spans="1:24" s="210" customFormat="1" ht="31.5" hidden="1" customHeight="1" x14ac:dyDescent="0.2">
      <c r="A42" s="196"/>
      <c r="B42" s="196"/>
      <c r="C42" s="196"/>
      <c r="D42" s="260"/>
      <c r="E42" s="197"/>
      <c r="F42" s="198"/>
      <c r="G42" s="199"/>
      <c r="H42" s="197"/>
      <c r="I42" s="200"/>
      <c r="J42" s="249"/>
      <c r="K42" s="201"/>
      <c r="L42" s="265"/>
      <c r="M42" s="202"/>
      <c r="N42" s="203"/>
      <c r="O42" s="203"/>
      <c r="P42" s="203"/>
      <c r="Q42" s="204"/>
      <c r="R42" s="198"/>
      <c r="S42" s="198"/>
      <c r="T42" s="205"/>
      <c r="U42" s="206"/>
      <c r="V42" s="207"/>
      <c r="W42" s="198"/>
      <c r="X42" s="238"/>
    </row>
    <row r="43" spans="1:24" s="210" customFormat="1" ht="31.5" hidden="1" customHeight="1" x14ac:dyDescent="0.2">
      <c r="A43" s="196"/>
      <c r="B43" s="196"/>
      <c r="C43" s="196"/>
      <c r="D43" s="260"/>
      <c r="E43" s="197"/>
      <c r="F43" s="198"/>
      <c r="G43" s="199"/>
      <c r="H43" s="197"/>
      <c r="I43" s="200"/>
      <c r="J43" s="249"/>
      <c r="K43" s="201"/>
      <c r="L43" s="265"/>
      <c r="M43" s="202"/>
      <c r="N43" s="203"/>
      <c r="O43" s="203"/>
      <c r="P43" s="203"/>
      <c r="Q43" s="204"/>
      <c r="R43" s="198"/>
      <c r="S43" s="198"/>
      <c r="T43" s="205"/>
      <c r="U43" s="206"/>
      <c r="V43" s="207"/>
      <c r="W43" s="198"/>
      <c r="X43" s="238"/>
    </row>
    <row r="44" spans="1:24" s="284" customFormat="1" ht="31.5" hidden="1" customHeight="1" x14ac:dyDescent="0.2">
      <c r="A44" s="270"/>
      <c r="B44" s="270"/>
      <c r="C44" s="270"/>
      <c r="D44" s="271"/>
      <c r="E44" s="272"/>
      <c r="F44" s="273"/>
      <c r="G44" s="274"/>
      <c r="H44" s="197"/>
      <c r="I44" s="275"/>
      <c r="J44" s="276"/>
      <c r="K44" s="277"/>
      <c r="L44" s="278"/>
      <c r="M44" s="279"/>
      <c r="N44" s="277"/>
      <c r="O44" s="277"/>
      <c r="P44" s="277"/>
      <c r="Q44" s="277"/>
      <c r="R44" s="273"/>
      <c r="S44" s="273"/>
      <c r="T44" s="280"/>
      <c r="U44" s="281"/>
      <c r="V44" s="282"/>
      <c r="W44" s="273"/>
      <c r="X44" s="283"/>
    </row>
    <row r="45" spans="1:24" s="284" customFormat="1" ht="31.5" hidden="1" customHeight="1" x14ac:dyDescent="0.2">
      <c r="A45" s="270"/>
      <c r="B45" s="270"/>
      <c r="C45" s="270"/>
      <c r="D45" s="271"/>
      <c r="E45" s="272"/>
      <c r="F45" s="273"/>
      <c r="G45" s="274"/>
      <c r="H45" s="197"/>
      <c r="I45" s="275"/>
      <c r="J45" s="276"/>
      <c r="K45" s="277"/>
      <c r="L45" s="278"/>
      <c r="M45" s="279"/>
      <c r="N45" s="277"/>
      <c r="O45" s="277"/>
      <c r="P45" s="277"/>
      <c r="Q45" s="277"/>
      <c r="R45" s="273"/>
      <c r="S45" s="273"/>
      <c r="T45" s="280"/>
      <c r="U45" s="281"/>
      <c r="V45" s="282"/>
      <c r="W45" s="273"/>
      <c r="X45" s="283"/>
    </row>
    <row r="46" spans="1:24" s="210" customFormat="1" ht="31.5" customHeight="1" x14ac:dyDescent="0.2">
      <c r="A46" s="212"/>
      <c r="B46" s="212"/>
      <c r="C46" s="212"/>
      <c r="D46" s="212"/>
      <c r="E46" s="213"/>
      <c r="F46" s="212"/>
      <c r="G46" s="212"/>
      <c r="H46" s="214" t="s">
        <v>155</v>
      </c>
      <c r="I46" s="215">
        <f>SUM(I13:I43)</f>
        <v>8</v>
      </c>
      <c r="J46" s="248"/>
      <c r="K46" s="216"/>
      <c r="L46" s="264"/>
      <c r="M46" s="216"/>
      <c r="N46" s="217"/>
      <c r="O46" s="217"/>
      <c r="P46" s="217"/>
      <c r="Q46" s="213"/>
      <c r="R46" s="213"/>
      <c r="S46" s="213"/>
      <c r="T46" s="218">
        <f>SUM(T13:T45)</f>
        <v>14924.169270833334</v>
      </c>
      <c r="U46" s="219"/>
      <c r="V46" s="220">
        <f>SUM(V13:V45)</f>
        <v>2763.9561489583334</v>
      </c>
      <c r="W46" s="219"/>
      <c r="X46" s="220"/>
    </row>
    <row r="47" spans="1:24" s="210" customFormat="1" ht="31.5" customHeight="1" x14ac:dyDescent="0.2">
      <c r="A47" s="196"/>
      <c r="B47" s="196"/>
      <c r="C47" s="196"/>
      <c r="D47" s="197"/>
      <c r="E47" s="197"/>
      <c r="F47" s="198"/>
      <c r="G47" s="199"/>
      <c r="H47" s="221" t="s">
        <v>156</v>
      </c>
      <c r="I47" s="222"/>
      <c r="J47" s="250"/>
      <c r="K47" s="204"/>
      <c r="L47" s="266"/>
      <c r="M47" s="223"/>
      <c r="N47" s="204"/>
      <c r="O47" s="204"/>
      <c r="P47" s="204"/>
      <c r="Q47" s="224"/>
      <c r="R47" s="224"/>
      <c r="S47" s="224"/>
      <c r="T47" s="205"/>
      <c r="U47" s="224"/>
      <c r="V47" s="207"/>
      <c r="W47" s="224"/>
      <c r="X47" s="207"/>
    </row>
    <row r="48" spans="1:24" s="210" customFormat="1" ht="31.5" customHeight="1" x14ac:dyDescent="0.2">
      <c r="A48" s="212"/>
      <c r="B48" s="212"/>
      <c r="C48" s="212"/>
      <c r="D48" s="213"/>
      <c r="E48" s="213"/>
      <c r="F48" s="213"/>
      <c r="G48" s="213"/>
      <c r="H48" s="214" t="s">
        <v>162</v>
      </c>
      <c r="I48" s="215">
        <f>SUM(I15:I43)</f>
        <v>8</v>
      </c>
      <c r="J48" s="248"/>
      <c r="K48" s="216"/>
      <c r="L48" s="264"/>
      <c r="M48" s="216"/>
      <c r="N48" s="217"/>
      <c r="O48" s="217"/>
      <c r="P48" s="217"/>
      <c r="Q48" s="213"/>
      <c r="R48" s="213"/>
      <c r="S48" s="213"/>
      <c r="T48" s="218">
        <f>SUM(T15:T45)</f>
        <v>14924.169270833334</v>
      </c>
      <c r="U48" s="219"/>
      <c r="V48" s="220">
        <f>+V46+V47</f>
        <v>2763.9561489583334</v>
      </c>
      <c r="W48" s="219"/>
      <c r="X48" s="220"/>
    </row>
    <row r="49" spans="1:24" s="228" customFormat="1" ht="15" customHeight="1" x14ac:dyDescent="0.25">
      <c r="A49" s="225"/>
      <c r="B49" s="225"/>
      <c r="C49" s="225"/>
      <c r="D49" s="225"/>
      <c r="E49" s="225"/>
      <c r="F49" s="226"/>
      <c r="G49" s="225"/>
      <c r="H49" s="227"/>
      <c r="I49" s="227"/>
      <c r="J49" s="251"/>
      <c r="L49" s="267"/>
      <c r="V49" s="229"/>
      <c r="X49" s="230"/>
    </row>
    <row r="50" spans="1:24" s="228" customFormat="1" ht="15" customHeight="1" x14ac:dyDescent="0.25">
      <c r="A50" s="225" t="s">
        <v>218</v>
      </c>
      <c r="B50" s="225"/>
      <c r="C50" s="225"/>
      <c r="D50" s="225"/>
      <c r="E50" s="225"/>
      <c r="F50" s="226"/>
      <c r="G50" s="225"/>
      <c r="H50" s="227"/>
      <c r="I50" s="227"/>
      <c r="J50" s="251"/>
      <c r="L50" s="267"/>
      <c r="V50" s="229"/>
      <c r="X50" s="230"/>
    </row>
    <row r="51" spans="1:24" s="228" customFormat="1" ht="15" customHeight="1" x14ac:dyDescent="0.25">
      <c r="A51" s="225"/>
      <c r="B51" s="225"/>
      <c r="C51" s="225"/>
      <c r="D51" s="225"/>
      <c r="E51" s="225"/>
      <c r="F51" s="226"/>
      <c r="G51" s="225"/>
      <c r="H51" s="227"/>
      <c r="I51" s="227"/>
      <c r="J51" s="251"/>
      <c r="L51" s="267"/>
      <c r="V51" s="229"/>
      <c r="X51" s="230"/>
    </row>
    <row r="52" spans="1:24" s="228" customFormat="1" ht="15" customHeight="1" x14ac:dyDescent="0.25">
      <c r="A52" s="225" t="s">
        <v>219</v>
      </c>
      <c r="B52" s="225"/>
      <c r="C52" s="225"/>
      <c r="D52" s="225"/>
      <c r="E52" s="225"/>
      <c r="F52" s="226"/>
      <c r="G52" s="225"/>
      <c r="H52" s="227"/>
      <c r="I52" s="227"/>
      <c r="J52" s="251"/>
      <c r="L52" s="267"/>
      <c r="V52" s="229"/>
      <c r="X52" s="230"/>
    </row>
    <row r="53" spans="1:24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252"/>
      <c r="K53" s="35"/>
      <c r="L53" s="268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4" ht="15" customHeight="1" x14ac:dyDescent="0.25">
      <c r="A54" s="48"/>
      <c r="B54" s="48"/>
      <c r="C54" s="48"/>
      <c r="D54" s="48"/>
      <c r="E54" s="48"/>
      <c r="F54" s="84"/>
      <c r="G54" s="48"/>
      <c r="H54" s="85"/>
      <c r="I54" s="85"/>
      <c r="J54" s="252"/>
      <c r="K54" s="35"/>
      <c r="L54" s="268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4" ht="15" customHeight="1" x14ac:dyDescent="0.25">
      <c r="A55" s="86"/>
      <c r="B55" s="318"/>
      <c r="C55" s="318"/>
      <c r="D55" s="318"/>
      <c r="E55" s="318"/>
      <c r="F55" s="318"/>
      <c r="G55" s="318"/>
      <c r="H55" s="318"/>
      <c r="I55" s="318"/>
      <c r="J55" s="318"/>
      <c r="K55" s="35"/>
      <c r="L55" s="268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4" ht="15" customHeight="1" x14ac:dyDescent="0.25">
      <c r="A56" s="86"/>
      <c r="B56" s="319"/>
      <c r="C56" s="319"/>
      <c r="D56" s="319"/>
      <c r="E56" s="319"/>
      <c r="F56" s="319"/>
      <c r="G56" s="319"/>
      <c r="H56" s="319"/>
      <c r="I56" s="319"/>
      <c r="J56" s="319"/>
      <c r="K56" s="35"/>
      <c r="L56" s="268"/>
      <c r="M56" s="35"/>
      <c r="N56" s="35"/>
      <c r="O56" s="35"/>
      <c r="P56" s="35"/>
      <c r="Q56" s="35"/>
      <c r="R56" s="35"/>
      <c r="S56" s="35"/>
      <c r="T56" s="35"/>
      <c r="U56" s="35"/>
      <c r="V56" s="89"/>
    </row>
  </sheetData>
  <mergeCells count="5">
    <mergeCell ref="A7:E7"/>
    <mergeCell ref="F7:G7"/>
    <mergeCell ref="R9:S9"/>
    <mergeCell ref="B55:J55"/>
    <mergeCell ref="B56:J56"/>
  </mergeCells>
  <pageMargins left="0" right="0" top="1" bottom="0" header="0.511811023622047" footer="0.511811023622047"/>
  <pageSetup paperSize="9" scale="44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colBreaks count="2" manualBreakCount="2">
    <brk id="4" max="1048575" man="1"/>
    <brk id="6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C625CA-0CA2-42CA-A762-76168AE7403A}">
          <x14:formula1>
            <xm:f>'SIZE GUIDE'!$B:$B</xm:f>
          </x14:formula1>
          <xm:sqref>G46 F15:F48</xm:sqref>
        </x14:dataValidation>
        <x14:dataValidation type="list" allowBlank="1" xr:uid="{6756340A-04F7-48ED-A0A1-2E472F7E2923}">
          <x14:formula1>
            <xm:f>'SIZE GUIDE'!$A$3:$A$38</xm:f>
          </x14:formula1>
          <xm:sqref>E15:E48</xm:sqref>
        </x14:dataValidation>
        <x14:dataValidation type="list" allowBlank="1" xr:uid="{FC19BF2A-2902-4C1A-B899-6605A5C3600D}">
          <x14:formula1>
            <xm:f>LISTS!$B$2:$B$8</xm:f>
          </x14:formula1>
          <x14:formula2>
            <xm:f>0</xm:f>
          </x14:formula2>
          <xm:sqref>H15:H48</xm:sqref>
        </x14:dataValidation>
        <x14:dataValidation type="list" errorStyle="information" allowBlank="1" showInputMessage="1" xr:uid="{FE1823AC-19E3-4EF3-99FA-5EF4036BF309}">
          <x14:formula1>
            <xm:f>CODE_MASTER_AS!$A$3:$A$14</xm:f>
          </x14:formula1>
          <xm:sqref>C47:C48 F46:G46 C15:C45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F9C79-35F4-4EEA-8E4D-45C09F72644D}">
  <sheetPr codeName="Sheet37">
    <pageSetUpPr fitToPage="1"/>
  </sheetPr>
  <dimension ref="A1:AH56"/>
  <sheetViews>
    <sheetView showGridLines="0" view="pageBreakPreview" zoomScale="80" zoomScaleNormal="68" zoomScaleSheetLayoutView="80" workbookViewId="0">
      <selection activeCell="AB17" sqref="AB17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25" style="16" hidden="1" customWidth="1"/>
    <col min="5" max="5" width="16.83203125" style="16" customWidth="1"/>
    <col min="6" max="6" width="26.1640625" style="16" customWidth="1"/>
    <col min="7" max="7" width="23.5" style="16" bestFit="1" customWidth="1"/>
    <col min="8" max="9" width="10.6640625" style="16" customWidth="1"/>
    <col min="10" max="10" width="10.6640625" style="15" hidden="1" customWidth="1"/>
    <col min="11" max="11" width="10.6640625" style="16" hidden="1" customWidth="1"/>
    <col min="12" max="12" width="10.6640625" style="269" hidden="1" customWidth="1"/>
    <col min="13" max="16" width="10.6640625" style="16" hidden="1" customWidth="1"/>
    <col min="17" max="19" width="10.6640625" style="16" customWidth="1"/>
    <col min="20" max="20" width="14.6640625" style="16" customWidth="1"/>
    <col min="21" max="21" width="14.1640625" style="16" customWidth="1"/>
    <col min="22" max="22" width="14.5" style="98" customWidth="1"/>
    <col min="23" max="23" width="28.1640625" style="16" customWidth="1"/>
    <col min="24" max="24" width="20.33203125" style="23" customWidth="1"/>
    <col min="25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45"/>
      <c r="K1" s="29"/>
      <c r="L1" s="261"/>
      <c r="M1" s="29" t="s">
        <v>204</v>
      </c>
      <c r="N1" s="27"/>
      <c r="O1" s="27"/>
      <c r="P1" s="27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246"/>
      <c r="K2" s="31"/>
      <c r="L2" s="261"/>
      <c r="M2" s="32" t="s">
        <v>161</v>
      </c>
      <c r="N2" s="27"/>
      <c r="O2" s="27"/>
      <c r="P2" s="28" t="s">
        <v>160</v>
      </c>
      <c r="R2" s="20"/>
      <c r="S2" s="21"/>
      <c r="U2" s="13"/>
      <c r="V2" s="20"/>
      <c r="W2" s="20"/>
      <c r="X2" s="20" t="s">
        <v>151</v>
      </c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247"/>
      <c r="K3" s="37"/>
      <c r="L3" s="262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247"/>
      <c r="K4" s="37"/>
      <c r="L4" s="262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247"/>
      <c r="K5" s="37"/>
      <c r="L5" s="262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247"/>
      <c r="K6" s="37"/>
      <c r="L6" s="262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5" t="s">
        <v>143</v>
      </c>
      <c r="B7" s="315"/>
      <c r="C7" s="315"/>
      <c r="D7" s="315"/>
      <c r="E7" s="315"/>
      <c r="F7" s="316"/>
      <c r="G7" s="316"/>
      <c r="H7" s="35"/>
      <c r="I7" s="35"/>
      <c r="J7" s="247"/>
      <c r="K7" s="37"/>
      <c r="L7" s="262"/>
      <c r="M7" s="37"/>
      <c r="N7" s="38"/>
      <c r="O7" s="38"/>
      <c r="P7" s="38"/>
      <c r="Q7" s="231" t="s">
        <v>147</v>
      </c>
      <c r="R7" s="231"/>
      <c r="S7" s="231"/>
      <c r="T7" s="231"/>
      <c r="U7" s="231"/>
      <c r="V7" s="231" t="s">
        <v>148</v>
      </c>
      <c r="W7" s="231"/>
      <c r="X7" s="231"/>
    </row>
    <row r="8" spans="1:24" ht="15" customHeight="1" x14ac:dyDescent="0.25">
      <c r="A8" s="44" t="s">
        <v>125</v>
      </c>
      <c r="B8" s="45"/>
      <c r="C8" s="45"/>
      <c r="D8" s="46"/>
      <c r="E8" s="46"/>
      <c r="F8" s="36"/>
      <c r="G8" s="46"/>
      <c r="H8" s="35"/>
      <c r="I8" s="35"/>
      <c r="J8" s="247"/>
      <c r="K8" s="37"/>
      <c r="L8" s="262"/>
      <c r="M8" s="37"/>
      <c r="N8" s="38"/>
      <c r="O8" s="38"/>
      <c r="P8" s="38"/>
      <c r="Q8" s="190" t="s">
        <v>330</v>
      </c>
      <c r="R8" s="191"/>
      <c r="S8" s="192"/>
      <c r="T8" s="193"/>
      <c r="U8" s="194"/>
      <c r="V8" s="195">
        <v>46220</v>
      </c>
      <c r="W8" s="232"/>
      <c r="X8" s="233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247"/>
      <c r="K9" s="37"/>
      <c r="L9" s="262"/>
      <c r="M9" s="37"/>
      <c r="N9" s="38"/>
      <c r="O9" s="38"/>
      <c r="P9" s="38"/>
      <c r="Q9" s="225"/>
      <c r="R9" s="317"/>
      <c r="S9" s="317"/>
      <c r="T9" s="228"/>
      <c r="U9" s="234"/>
      <c r="V9" s="235"/>
      <c r="W9" s="232"/>
      <c r="X9" s="233"/>
    </row>
    <row r="10" spans="1:24" ht="15" customHeight="1" x14ac:dyDescent="0.25">
      <c r="A10" s="189"/>
      <c r="B10" s="45"/>
      <c r="C10" s="46"/>
      <c r="D10" s="35"/>
      <c r="E10" s="46"/>
      <c r="F10" s="36"/>
      <c r="G10" s="46"/>
      <c r="H10" s="35"/>
      <c r="I10" s="35"/>
      <c r="J10" s="247"/>
      <c r="K10" s="37"/>
      <c r="L10" s="262"/>
      <c r="M10" s="37"/>
      <c r="N10" s="38"/>
      <c r="O10" s="38"/>
      <c r="P10" s="38"/>
      <c r="Q10" s="236" t="s">
        <v>149</v>
      </c>
      <c r="R10" s="231"/>
      <c r="S10" s="231"/>
      <c r="T10" s="231"/>
      <c r="U10" s="231"/>
      <c r="V10" s="231" t="s">
        <v>150</v>
      </c>
      <c r="W10" s="231"/>
      <c r="X10" s="231"/>
    </row>
    <row r="11" spans="1:24" ht="15" customHeight="1" x14ac:dyDescent="0.25">
      <c r="A11" s="188"/>
      <c r="B11" s="34"/>
      <c r="C11" s="35"/>
      <c r="D11" s="35"/>
      <c r="E11" s="46"/>
      <c r="F11" s="46"/>
      <c r="G11" s="46"/>
      <c r="H11" s="35"/>
      <c r="I11" s="35"/>
      <c r="J11" s="247"/>
      <c r="K11" s="37"/>
      <c r="L11" s="262"/>
      <c r="M11" s="37"/>
      <c r="N11" s="38"/>
      <c r="O11" s="38"/>
      <c r="P11" s="38"/>
      <c r="Q11" s="190" t="s">
        <v>329</v>
      </c>
      <c r="R11" s="190"/>
      <c r="S11" s="190"/>
      <c r="T11" s="193"/>
      <c r="U11" s="194"/>
      <c r="V11" s="190"/>
      <c r="W11" s="232"/>
      <c r="X11" s="233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247"/>
      <c r="K12" s="37"/>
      <c r="L12" s="262"/>
      <c r="M12" s="37"/>
      <c r="N12" s="38"/>
      <c r="O12" s="38"/>
      <c r="P12" s="38"/>
      <c r="Q12" s="190"/>
      <c r="R12" s="190"/>
      <c r="S12" s="190"/>
      <c r="T12" s="190"/>
      <c r="U12" s="194"/>
      <c r="V12" s="237"/>
      <c r="W12" s="232"/>
      <c r="X12" s="233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4"/>
      <c r="K13" s="50"/>
      <c r="L13" s="263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210" customFormat="1" ht="39.75" customHeight="1" x14ac:dyDescent="0.2">
      <c r="A14" s="212" t="s">
        <v>158</v>
      </c>
      <c r="B14" s="212" t="s">
        <v>0</v>
      </c>
      <c r="C14" s="212" t="s">
        <v>1</v>
      </c>
      <c r="D14" s="213" t="s">
        <v>135</v>
      </c>
      <c r="E14" s="213" t="s">
        <v>157</v>
      </c>
      <c r="F14" s="213" t="s">
        <v>3</v>
      </c>
      <c r="G14" s="213" t="s">
        <v>152</v>
      </c>
      <c r="H14" s="213" t="s">
        <v>105</v>
      </c>
      <c r="I14" s="213" t="s">
        <v>5</v>
      </c>
      <c r="J14" s="248" t="s">
        <v>64</v>
      </c>
      <c r="K14" s="216" t="s">
        <v>136</v>
      </c>
      <c r="L14" s="264" t="s">
        <v>24</v>
      </c>
      <c r="M14" s="216" t="s">
        <v>108</v>
      </c>
      <c r="N14" s="217" t="s">
        <v>136</v>
      </c>
      <c r="O14" s="217" t="s">
        <v>24</v>
      </c>
      <c r="P14" s="259" t="s">
        <v>108</v>
      </c>
      <c r="Q14" s="213" t="s">
        <v>136</v>
      </c>
      <c r="R14" s="213" t="s">
        <v>24</v>
      </c>
      <c r="S14" s="213" t="s">
        <v>108</v>
      </c>
      <c r="T14" s="218" t="s">
        <v>159</v>
      </c>
      <c r="U14" s="219" t="s">
        <v>6</v>
      </c>
      <c r="V14" s="220" t="s">
        <v>7</v>
      </c>
      <c r="W14" s="220" t="s">
        <v>140</v>
      </c>
      <c r="X14" s="220" t="s">
        <v>141</v>
      </c>
    </row>
    <row r="15" spans="1:24" s="210" customFormat="1" ht="31.5" customHeight="1" x14ac:dyDescent="0.2">
      <c r="A15" s="196">
        <v>1</v>
      </c>
      <c r="B15" s="196"/>
      <c r="C15" s="196" t="s">
        <v>95</v>
      </c>
      <c r="D15" s="197"/>
      <c r="E15" s="197" t="s">
        <v>124</v>
      </c>
      <c r="F15" s="198" t="s">
        <v>125</v>
      </c>
      <c r="G15" s="199" t="str">
        <f>IF(COUNTIFS($C$15:C15,C15,$H$15:H15,H15)=1,
SUMIFS($I$15:$I$43,$C$15:$C$43,C15,$H$15:$H$43,H15)&amp;H15&amp;" "&amp;C15,
"")</f>
        <v>4K CFN50131W</v>
      </c>
      <c r="H15" s="197" t="s">
        <v>18</v>
      </c>
      <c r="I15" s="200">
        <v>1</v>
      </c>
      <c r="J15" s="249"/>
      <c r="K15" s="201" t="str" cm="1">
        <f t="array" ref="K15">IF(E15="untrim",_xlfn.XLOOKUP(1,(TRIM('SIZE GUIDE'!$A$3:$A$2015)=TRIM(E15))*(TRIM('SIZE GUIDE'!$B$3:$B$2015)=TRIM(F15))*(TRIM('SIZE GUIDE'!$C$3:$C$2015)=TRIM(H15)),'SIZE GUIDE'!$D$3:$D$2015),"")</f>
        <v/>
      </c>
      <c r="L15" s="265"/>
      <c r="M15" s="202"/>
      <c r="N15" s="203" cm="1">
        <f t="array" ref="N15">IF(E15="trim",_xlfn.XLOOKUP(1,(TRIM('SIZE GUIDE'!$A$3:$A$2015)=TRIM(E15))*(TRIM('SIZE GUIDE'!$B$3:$B$2015)=TRIM(F15))*(TRIM('SIZE GUIDE'!$C$3:$C$2015)=TRIM(H15)),'SIZE GUIDE'!$D$3:$D$2015),"")</f>
        <v>79</v>
      </c>
      <c r="O15" s="203" cm="1">
        <f t="array" ref="O15">IF(E15="trim",IFERROR(INDEX('SIZE GUIDE'!$E:$E,MATCH(1,('SIZE GUIDE'!$A:$A=$E15)*('SIZE GUIDE'!$B:$B=$F15)*('SIZE GUIDE'!$C:$C=$H15),0)),""),"")</f>
        <v>75</v>
      </c>
      <c r="P15" s="203">
        <v>35</v>
      </c>
      <c r="Q15" s="204">
        <v>79</v>
      </c>
      <c r="R15" s="198">
        <v>75</v>
      </c>
      <c r="S15" s="198">
        <f>IF(E15="untrim",M15-0.5,P15-0.5)</f>
        <v>34.5</v>
      </c>
      <c r="T15" s="205">
        <f>IFERROR(Q15*R15*S15/144*I15,"")</f>
        <v>1419.53125</v>
      </c>
      <c r="U15" s="206">
        <v>0.30719999999999997</v>
      </c>
      <c r="V15" s="207">
        <f t="shared" ref="V15" si="0">T15*U15</f>
        <v>436.08</v>
      </c>
      <c r="W15" s="208" t="str">
        <f>IF(COUNTIF($C$15:C15,C15)=1,C15 &amp; " - " &amp; TEXT(SUMIF($C:$C,C15,$T:$T),"0.00"),"")</f>
        <v>CFN50131W - 26017.79</v>
      </c>
      <c r="X15" s="209">
        <f>IF(COUNTIF($C$15:C15,C15)=1,ROUND(SUMIF($C:$C,C15,$V:$V),2), "")</f>
        <v>7992.67</v>
      </c>
    </row>
    <row r="16" spans="1:24" s="210" customFormat="1" ht="31.5" customHeight="1" x14ac:dyDescent="0.2">
      <c r="A16" s="196">
        <f>A15+1</f>
        <v>2</v>
      </c>
      <c r="B16" s="196"/>
      <c r="C16" s="196" t="s">
        <v>95</v>
      </c>
      <c r="D16" s="197"/>
      <c r="E16" s="197" t="s">
        <v>124</v>
      </c>
      <c r="F16" s="198" t="s">
        <v>125</v>
      </c>
      <c r="G16" s="199" t="str">
        <f>IF(COUNTIFS($C$15:C16,C16,$H$15:H16,H16)=1,
SUMIFS($I$15:$I$43,$C$15:$C$43,C16,$H$15:$H$43,H16)&amp;H16&amp;" "&amp;C16,
"")</f>
        <v/>
      </c>
      <c r="H16" s="197" t="s">
        <v>18</v>
      </c>
      <c r="I16" s="200">
        <v>1</v>
      </c>
      <c r="J16" s="249"/>
      <c r="K16" s="201" t="str" cm="1">
        <f t="array" ref="K16">IF(E16="untrim",_xlfn.XLOOKUP(1,(TRIM('SIZE GUIDE'!$A$3:$A$2015)=TRIM(E16))*(TRIM('SIZE GUIDE'!$B$3:$B$2015)=TRIM(F16))*(TRIM('SIZE GUIDE'!$C$3:$C$2015)=TRIM(H16)),'SIZE GUIDE'!$D$3:$D$2015),"")</f>
        <v/>
      </c>
      <c r="L16" s="265"/>
      <c r="M16" s="202"/>
      <c r="N16" s="203" cm="1">
        <f t="array" ref="N16">IF(E16="trim",_xlfn.XLOOKUP(1,(TRIM('SIZE GUIDE'!$A$3:$A$2015)=TRIM(E16))*(TRIM('SIZE GUIDE'!$B$3:$B$2015)=TRIM(F16))*(TRIM('SIZE GUIDE'!$C$3:$C$2015)=TRIM(H16)),'SIZE GUIDE'!$D$3:$D$2015),"")</f>
        <v>79</v>
      </c>
      <c r="O16" s="203" cm="1">
        <f t="array" ref="O16">IF(E16="trim",IFERROR(INDEX('SIZE GUIDE'!$E:$E,MATCH(1,('SIZE GUIDE'!$A:$A=$E16)*('SIZE GUIDE'!$B:$B=$F16)*('SIZE GUIDE'!$C:$C=$H16),0)),""),"")</f>
        <v>75</v>
      </c>
      <c r="P16" s="203">
        <v>32.5</v>
      </c>
      <c r="Q16" s="204">
        <v>79</v>
      </c>
      <c r="R16" s="198">
        <v>75</v>
      </c>
      <c r="S16" s="198">
        <f t="shared" ref="S16:S32" si="1">IF(E16="untrim",M16-0.5,P16-0.5)</f>
        <v>32</v>
      </c>
      <c r="T16" s="205">
        <f t="shared" ref="T16:T32" si="2">IFERROR(Q16*R16*S16/144*I16,"")</f>
        <v>1316.6666666666667</v>
      </c>
      <c r="U16" s="206">
        <v>0.30719999999999997</v>
      </c>
      <c r="V16" s="207">
        <f t="shared" ref="V16:V32" si="3">T16*U16</f>
        <v>404.47999999999996</v>
      </c>
      <c r="W16" s="208" t="str">
        <f>IF(COUNTIF($C$15:C16,C16)=1,C16 &amp; " - " &amp; TEXT(SUMIF($C:$C,C16,$T:$T),"0.00"),"")</f>
        <v/>
      </c>
      <c r="X16" s="209" t="str">
        <f>IF(COUNTIF($C$15:C16,C16)=1,ROUND(SUMIF($C:$C,C16,$V:$V),2), "")</f>
        <v/>
      </c>
    </row>
    <row r="17" spans="1:34" s="210" customFormat="1" ht="31.5" customHeight="1" x14ac:dyDescent="0.2">
      <c r="A17" s="196">
        <f t="shared" ref="A17:A36" si="4">A16+1</f>
        <v>3</v>
      </c>
      <c r="B17" s="196"/>
      <c r="C17" s="196" t="s">
        <v>95</v>
      </c>
      <c r="D17" s="197"/>
      <c r="E17" s="197" t="s">
        <v>124</v>
      </c>
      <c r="F17" s="198" t="s">
        <v>125</v>
      </c>
      <c r="G17" s="199" t="str">
        <f>IF(COUNTIFS($C$15:C17,C17,$H$15:H17,H17)=1,
SUMIFS($I$15:$I$43,$C$15:$C$43,C17,$H$15:$H$43,H17)&amp;H17&amp;" "&amp;C17,
"")</f>
        <v/>
      </c>
      <c r="H17" s="197" t="s">
        <v>18</v>
      </c>
      <c r="I17" s="200">
        <v>1</v>
      </c>
      <c r="J17" s="249"/>
      <c r="K17" s="201" t="str" cm="1">
        <f t="array" ref="K17">IF(E17="untrim",_xlfn.XLOOKUP(1,(TRIM('SIZE GUIDE'!$A$3:$A$2015)=TRIM(E17))*(TRIM('SIZE GUIDE'!$B$3:$B$2015)=TRIM(F17))*(TRIM('SIZE GUIDE'!$C$3:$C$2015)=TRIM(H17)),'SIZE GUIDE'!$D$3:$D$2015),"")</f>
        <v/>
      </c>
      <c r="L17" s="265"/>
      <c r="M17" s="202"/>
      <c r="N17" s="203" cm="1">
        <f t="array" ref="N17">IF(E17="trim",_xlfn.XLOOKUP(1,(TRIM('SIZE GUIDE'!$A$3:$A$2015)=TRIM(E17))*(TRIM('SIZE GUIDE'!$B$3:$B$2015)=TRIM(F17))*(TRIM('SIZE GUIDE'!$C$3:$C$2015)=TRIM(H17)),'SIZE GUIDE'!$D$3:$D$2015),"")</f>
        <v>79</v>
      </c>
      <c r="O17" s="203" cm="1">
        <f t="array" ref="O17">IF(E17="trim",IFERROR(INDEX('SIZE GUIDE'!$E:$E,MATCH(1,('SIZE GUIDE'!$A:$A=$E17)*('SIZE GUIDE'!$B:$B=$F17)*('SIZE GUIDE'!$C:$C=$H17),0)),""),"")</f>
        <v>75</v>
      </c>
      <c r="P17" s="203">
        <v>35</v>
      </c>
      <c r="Q17" s="204">
        <v>79</v>
      </c>
      <c r="R17" s="198">
        <v>75</v>
      </c>
      <c r="S17" s="198">
        <f t="shared" si="1"/>
        <v>34.5</v>
      </c>
      <c r="T17" s="205">
        <f t="shared" si="2"/>
        <v>1419.53125</v>
      </c>
      <c r="U17" s="206">
        <v>0.30719999999999997</v>
      </c>
      <c r="V17" s="207">
        <f t="shared" si="3"/>
        <v>436.08</v>
      </c>
      <c r="W17" s="208" t="str">
        <f>IF(COUNTIF($C$15:C17,C17)=1,C17 &amp; " - " &amp; TEXT(SUMIF($C:$C,C17,$T:$T),"0.00"),"")</f>
        <v/>
      </c>
      <c r="X17" s="209" t="str">
        <f>IF(COUNTIF($C$15:C17,C17)=1,ROUND(SUMIF($C:$C,C17,$V:$V),2), "")</f>
        <v/>
      </c>
    </row>
    <row r="18" spans="1:34" s="210" customFormat="1" ht="31.5" customHeight="1" x14ac:dyDescent="0.2">
      <c r="A18" s="196">
        <f t="shared" si="4"/>
        <v>4</v>
      </c>
      <c r="B18" s="196"/>
      <c r="C18" s="196" t="s">
        <v>95</v>
      </c>
      <c r="D18" s="197"/>
      <c r="E18" s="197" t="s">
        <v>124</v>
      </c>
      <c r="F18" s="198" t="s">
        <v>125</v>
      </c>
      <c r="G18" s="199" t="str">
        <f>IF(COUNTIFS($C$15:C18,C18,$H$15:H18,H18)=1,
SUMIFS($I$15:$I$43,$C$15:$C$43,C18,$H$15:$H$43,H18)&amp;H18&amp;" "&amp;C18,
"")</f>
        <v/>
      </c>
      <c r="H18" s="197" t="s">
        <v>18</v>
      </c>
      <c r="I18" s="200">
        <v>1</v>
      </c>
      <c r="J18" s="249"/>
      <c r="K18" s="201" t="str" cm="1">
        <f t="array" ref="K18">IF(E18="untrim",_xlfn.XLOOKUP(1,(TRIM('SIZE GUIDE'!$A$3:$A$2015)=TRIM(E18))*(TRIM('SIZE GUIDE'!$B$3:$B$2015)=TRIM(F18))*(TRIM('SIZE GUIDE'!$C$3:$C$2015)=TRIM(H18)),'SIZE GUIDE'!$D$3:$D$2015),"")</f>
        <v/>
      </c>
      <c r="L18" s="265"/>
      <c r="M18" s="202"/>
      <c r="N18" s="203" cm="1">
        <f t="array" ref="N18">IF(E18="trim",_xlfn.XLOOKUP(1,(TRIM('SIZE GUIDE'!$A$3:$A$2015)=TRIM(E18))*(TRIM('SIZE GUIDE'!$B$3:$B$2015)=TRIM(F18))*(TRIM('SIZE GUIDE'!$C$3:$C$2015)=TRIM(H18)),'SIZE GUIDE'!$D$3:$D$2015),"")</f>
        <v>79</v>
      </c>
      <c r="O18" s="203" cm="1">
        <f t="array" ref="O18">IF(E18="trim",IFERROR(INDEX('SIZE GUIDE'!$E:$E,MATCH(1,('SIZE GUIDE'!$A:$A=$E18)*('SIZE GUIDE'!$B:$B=$F18)*('SIZE GUIDE'!$C:$C=$H18),0)),""),"")</f>
        <v>75</v>
      </c>
      <c r="P18" s="203">
        <v>34</v>
      </c>
      <c r="Q18" s="204">
        <v>79</v>
      </c>
      <c r="R18" s="198">
        <v>75</v>
      </c>
      <c r="S18" s="198">
        <f t="shared" si="1"/>
        <v>33.5</v>
      </c>
      <c r="T18" s="205">
        <f t="shared" si="2"/>
        <v>1378.3854166666667</v>
      </c>
      <c r="U18" s="206">
        <v>0.30719999999999997</v>
      </c>
      <c r="V18" s="207">
        <f t="shared" si="3"/>
        <v>423.44</v>
      </c>
      <c r="W18" s="208" t="str">
        <f>IF(COUNTIF($C$15:C18,C18)=1,C18 &amp; " - " &amp; TEXT(SUMIF($C:$C,C18,$T:$T),"0.00"),"")</f>
        <v/>
      </c>
      <c r="X18" s="209" t="str">
        <f>IF(COUNTIF($C$15:C18,C18)=1,ROUND(SUMIF($C:$C,C18,$V:$V),2), "")</f>
        <v/>
      </c>
      <c r="AH18" s="211"/>
    </row>
    <row r="19" spans="1:34" s="210" customFormat="1" ht="31.5" customHeight="1" x14ac:dyDescent="0.2">
      <c r="A19" s="196">
        <f t="shared" si="4"/>
        <v>5</v>
      </c>
      <c r="B19" s="196"/>
      <c r="C19" s="196" t="s">
        <v>95</v>
      </c>
      <c r="D19" s="197"/>
      <c r="E19" s="197" t="s">
        <v>124</v>
      </c>
      <c r="F19" s="198" t="s">
        <v>125</v>
      </c>
      <c r="G19" s="199" t="str">
        <f>IF(COUNTIFS($C$15:C19,C19,$H$15:H19,H19)=1,
SUMIFS($I$15:$I$43,$C$15:$C$43,C19,$H$15:$H$43,H19)&amp;H19&amp;" "&amp;C19,
"")</f>
        <v>8Q CFN50131W</v>
      </c>
      <c r="H19" s="197" t="s">
        <v>16</v>
      </c>
      <c r="I19" s="200">
        <v>1</v>
      </c>
      <c r="J19" s="249"/>
      <c r="K19" s="201" t="str" cm="1">
        <f t="array" ref="K19">IF(E19="untrim",_xlfn.XLOOKUP(1,(TRIM('SIZE GUIDE'!$A$3:$A$2015)=TRIM(E19))*(TRIM('SIZE GUIDE'!$B$3:$B$2015)=TRIM(F19))*(TRIM('SIZE GUIDE'!$C$3:$C$2015)=TRIM(H19)),'SIZE GUIDE'!$D$3:$D$2015),"")</f>
        <v/>
      </c>
      <c r="L19" s="265"/>
      <c r="M19" s="202"/>
      <c r="N19" s="203" cm="1">
        <f t="array" ref="N19">IF(E19="trim",_xlfn.XLOOKUP(1,(TRIM('SIZE GUIDE'!$A$3:$A$2015)=TRIM(E19))*(TRIM('SIZE GUIDE'!$B$3:$B$2015)=TRIM(F19))*(TRIM('SIZE GUIDE'!$C$3:$C$2015)=TRIM(H19)),'SIZE GUIDE'!$D$3:$D$2015),"")</f>
        <v>79</v>
      </c>
      <c r="O19" s="203" cm="1">
        <f t="array" ref="O19">IF(E19="trim",IFERROR(INDEX('SIZE GUIDE'!$E:$E,MATCH(1,('SIZE GUIDE'!$A:$A=$E19)*('SIZE GUIDE'!$B:$B=$F19)*('SIZE GUIDE'!$C:$C=$H19),0)),""),"")</f>
        <v>59</v>
      </c>
      <c r="P19" s="203">
        <v>42</v>
      </c>
      <c r="Q19" s="204">
        <v>79</v>
      </c>
      <c r="R19" s="198">
        <v>59</v>
      </c>
      <c r="S19" s="198">
        <f t="shared" si="1"/>
        <v>41.5</v>
      </c>
      <c r="T19" s="205">
        <f t="shared" si="2"/>
        <v>1343.2743055555557</v>
      </c>
      <c r="U19" s="206">
        <v>0.30719999999999997</v>
      </c>
      <c r="V19" s="207">
        <f t="shared" si="3"/>
        <v>412.65386666666666</v>
      </c>
      <c r="W19" s="208" t="str">
        <f>IF(COUNTIF($C$15:C19,C19)=1,C19 &amp; " - " &amp; TEXT(SUMIF($C:$C,C19,$T:$T),"0.00"),"")</f>
        <v/>
      </c>
      <c r="X19" s="209" t="str">
        <f>IF(COUNTIF($C$15:C19,C19)=1,ROUND(SUMIF($C:$C,C19,$V:$V),2), "")</f>
        <v/>
      </c>
    </row>
    <row r="20" spans="1:34" s="210" customFormat="1" ht="31.5" customHeight="1" x14ac:dyDescent="0.2">
      <c r="A20" s="196">
        <f t="shared" si="4"/>
        <v>6</v>
      </c>
      <c r="B20" s="196"/>
      <c r="C20" s="196" t="s">
        <v>95</v>
      </c>
      <c r="D20" s="197"/>
      <c r="E20" s="197" t="s">
        <v>124</v>
      </c>
      <c r="F20" s="198" t="s">
        <v>125</v>
      </c>
      <c r="G20" s="199" t="str">
        <f>IF(COUNTIFS($C$15:C20,C20,$H$15:H20,H20)=1,
SUMIFS($I$15:$I$43,$C$15:$C$43,C20,$H$15:$H$43,H20)&amp;H20&amp;" "&amp;C20,
"")</f>
        <v/>
      </c>
      <c r="H20" s="197" t="s">
        <v>16</v>
      </c>
      <c r="I20" s="200">
        <v>1</v>
      </c>
      <c r="J20" s="249"/>
      <c r="K20" s="201" t="str" cm="1">
        <f t="array" ref="K20">IF(E20="untrim",_xlfn.XLOOKUP(1,(TRIM('SIZE GUIDE'!$A$3:$A$2015)=TRIM(E20))*(TRIM('SIZE GUIDE'!$B$3:$B$2015)=TRIM(F20))*(TRIM('SIZE GUIDE'!$C$3:$C$2015)=TRIM(H20)),'SIZE GUIDE'!$D$3:$D$2015),"")</f>
        <v/>
      </c>
      <c r="L20" s="265"/>
      <c r="M20" s="202"/>
      <c r="N20" s="203" cm="1">
        <f t="array" ref="N20">IF(E20="trim",_xlfn.XLOOKUP(1,(TRIM('SIZE GUIDE'!$A$3:$A$2015)=TRIM(E20))*(TRIM('SIZE GUIDE'!$B$3:$B$2015)=TRIM(F20))*(TRIM('SIZE GUIDE'!$C$3:$C$2015)=TRIM(H20)),'SIZE GUIDE'!$D$3:$D$2015),"")</f>
        <v>79</v>
      </c>
      <c r="O20" s="203" cm="1">
        <f t="array" ref="O20">IF(E20="trim",IFERROR(INDEX('SIZE GUIDE'!$E:$E,MATCH(1,('SIZE GUIDE'!$A:$A=$E20)*('SIZE GUIDE'!$B:$B=$F20)*('SIZE GUIDE'!$C:$C=$H20),0)),""),"")</f>
        <v>59</v>
      </c>
      <c r="P20" s="203">
        <v>42</v>
      </c>
      <c r="Q20" s="204">
        <v>79</v>
      </c>
      <c r="R20" s="198">
        <v>59</v>
      </c>
      <c r="S20" s="198">
        <f t="shared" si="1"/>
        <v>41.5</v>
      </c>
      <c r="T20" s="205">
        <f t="shared" si="2"/>
        <v>1343.2743055555557</v>
      </c>
      <c r="U20" s="206">
        <v>0.30719999999999997</v>
      </c>
      <c r="V20" s="207">
        <f t="shared" si="3"/>
        <v>412.65386666666666</v>
      </c>
      <c r="W20" s="208" t="str">
        <f>IF(COUNTIF($C$15:C20,C20)=1,C20 &amp; " - " &amp; TEXT(SUMIF($C:$C,C20,$T:$T),"0.00"),"")</f>
        <v/>
      </c>
      <c r="X20" s="209" t="str">
        <f>IF(COUNTIF($C$15:C20,C20)=1,ROUND(SUMIF($C:$C,C20,$V:$V),2), "")</f>
        <v/>
      </c>
    </row>
    <row r="21" spans="1:34" s="210" customFormat="1" ht="31.5" customHeight="1" x14ac:dyDescent="0.2">
      <c r="A21" s="196">
        <f t="shared" si="4"/>
        <v>7</v>
      </c>
      <c r="B21" s="196"/>
      <c r="C21" s="196" t="s">
        <v>95</v>
      </c>
      <c r="D21" s="197"/>
      <c r="E21" s="197" t="s">
        <v>124</v>
      </c>
      <c r="F21" s="198" t="s">
        <v>125</v>
      </c>
      <c r="G21" s="199" t="str">
        <f>IF(COUNTIFS($C$15:C21,C21,$H$15:H21,H21)=1,
SUMIFS($I$15:$I$43,$C$15:$C$43,C21,$H$15:$H$43,H21)&amp;H21&amp;" "&amp;C21,
"")</f>
        <v/>
      </c>
      <c r="H21" s="197" t="s">
        <v>16</v>
      </c>
      <c r="I21" s="200">
        <v>1</v>
      </c>
      <c r="J21" s="249"/>
      <c r="K21" s="201" t="str" cm="1">
        <f t="array" ref="K21">IF(E21="untrim",_xlfn.XLOOKUP(1,(TRIM('SIZE GUIDE'!$A$3:$A$2015)=TRIM(E21))*(TRIM('SIZE GUIDE'!$B$3:$B$2015)=TRIM(F21))*(TRIM('SIZE GUIDE'!$C$3:$C$2015)=TRIM(H21)),'SIZE GUIDE'!$D$3:$D$2015),"")</f>
        <v/>
      </c>
      <c r="L21" s="265"/>
      <c r="M21" s="202"/>
      <c r="N21" s="203" cm="1">
        <f t="array" ref="N21">IF(E21="trim",_xlfn.XLOOKUP(1,(TRIM('SIZE GUIDE'!$A$3:$A$2015)=TRIM(E21))*(TRIM('SIZE GUIDE'!$B$3:$B$2015)=TRIM(F21))*(TRIM('SIZE GUIDE'!$C$3:$C$2015)=TRIM(H21)),'SIZE GUIDE'!$D$3:$D$2015),"")</f>
        <v>79</v>
      </c>
      <c r="O21" s="203" cm="1">
        <f t="array" ref="O21">IF(E21="trim",IFERROR(INDEX('SIZE GUIDE'!$E:$E,MATCH(1,('SIZE GUIDE'!$A:$A=$E21)*('SIZE GUIDE'!$B:$B=$F21)*('SIZE GUIDE'!$C:$C=$H21),0)),""),"")</f>
        <v>59</v>
      </c>
      <c r="P21" s="203">
        <v>39</v>
      </c>
      <c r="Q21" s="204">
        <v>79</v>
      </c>
      <c r="R21" s="198">
        <v>59</v>
      </c>
      <c r="S21" s="198">
        <f t="shared" si="1"/>
        <v>38.5</v>
      </c>
      <c r="T21" s="205">
        <f t="shared" si="2"/>
        <v>1246.1701388888889</v>
      </c>
      <c r="U21" s="206">
        <v>0.30719999999999997</v>
      </c>
      <c r="V21" s="207">
        <f t="shared" si="3"/>
        <v>382.82346666666666</v>
      </c>
      <c r="W21" s="208" t="str">
        <f>IF(COUNTIF($C$15:C21,C21)=1,C21 &amp; " - " &amp; TEXT(SUMIF($C:$C,C21,$T:$T),"0.00"),"")</f>
        <v/>
      </c>
      <c r="X21" s="209" t="str">
        <f>IF(COUNTIF($C$15:C21,C21)=1,ROUND(SUMIF($C:$C,C21,$V:$V),2), "")</f>
        <v/>
      </c>
    </row>
    <row r="22" spans="1:34" s="210" customFormat="1" ht="31.5" customHeight="1" x14ac:dyDescent="0.2">
      <c r="A22" s="196">
        <f t="shared" si="4"/>
        <v>8</v>
      </c>
      <c r="B22" s="196"/>
      <c r="C22" s="196" t="s">
        <v>95</v>
      </c>
      <c r="D22" s="197"/>
      <c r="E22" s="197" t="s">
        <v>124</v>
      </c>
      <c r="F22" s="198" t="s">
        <v>125</v>
      </c>
      <c r="G22" s="199" t="str">
        <f>IF(COUNTIFS($C$15:C22,C22,$H$15:H22,H22)=1,
SUMIFS($I$15:$I$43,$C$15:$C$43,C22,$H$15:$H$43,H22)&amp;H22&amp;" "&amp;C22,
"")</f>
        <v/>
      </c>
      <c r="H22" s="197" t="s">
        <v>16</v>
      </c>
      <c r="I22" s="200">
        <v>1</v>
      </c>
      <c r="J22" s="249"/>
      <c r="K22" s="201" t="str" cm="1">
        <f t="array" ref="K22">IF(E22="untrim",_xlfn.XLOOKUP(1,(TRIM('SIZE GUIDE'!$A$3:$A$2015)=TRIM(E22))*(TRIM('SIZE GUIDE'!$B$3:$B$2015)=TRIM(F22))*(TRIM('SIZE GUIDE'!$C$3:$C$2015)=TRIM(H22)),'SIZE GUIDE'!$D$3:$D$2015),"")</f>
        <v/>
      </c>
      <c r="L22" s="265"/>
      <c r="M22" s="202"/>
      <c r="N22" s="203" cm="1">
        <f t="array" ref="N22">IF(E22="trim",_xlfn.XLOOKUP(1,(TRIM('SIZE GUIDE'!$A$3:$A$2015)=TRIM(E22))*(TRIM('SIZE GUIDE'!$B$3:$B$2015)=TRIM(F22))*(TRIM('SIZE GUIDE'!$C$3:$C$2015)=TRIM(H22)),'SIZE GUIDE'!$D$3:$D$2015),"")</f>
        <v>79</v>
      </c>
      <c r="O22" s="203" cm="1">
        <f t="array" ref="O22">IF(E22="trim",IFERROR(INDEX('SIZE GUIDE'!$E:$E,MATCH(1,('SIZE GUIDE'!$A:$A=$E22)*('SIZE GUIDE'!$B:$B=$F22)*('SIZE GUIDE'!$C:$C=$H22),0)),""),"")</f>
        <v>59</v>
      </c>
      <c r="P22" s="203">
        <v>42</v>
      </c>
      <c r="Q22" s="204">
        <v>79</v>
      </c>
      <c r="R22" s="198">
        <v>59</v>
      </c>
      <c r="S22" s="198">
        <f t="shared" si="1"/>
        <v>41.5</v>
      </c>
      <c r="T22" s="205">
        <f t="shared" si="2"/>
        <v>1343.2743055555557</v>
      </c>
      <c r="U22" s="206">
        <v>0.30719999999999997</v>
      </c>
      <c r="V22" s="207">
        <f t="shared" si="3"/>
        <v>412.65386666666666</v>
      </c>
      <c r="W22" s="208" t="str">
        <f>IF(COUNTIF($C$15:C22,C22)=1,C22 &amp; " - " &amp; TEXT(SUMIF($C:$C,C22,$T:$T),"0.00"),"")</f>
        <v/>
      </c>
      <c r="X22" s="209" t="str">
        <f>IF(COUNTIF($C$15:C22,C22)=1,ROUND(SUMIF($C:$C,C22,$V:$V),2), "")</f>
        <v/>
      </c>
      <c r="AD22" s="210" t="s">
        <v>204</v>
      </c>
    </row>
    <row r="23" spans="1:34" s="210" customFormat="1" ht="31.5" customHeight="1" x14ac:dyDescent="0.2">
      <c r="A23" s="196">
        <f t="shared" si="4"/>
        <v>9</v>
      </c>
      <c r="B23" s="196"/>
      <c r="C23" s="196" t="s">
        <v>95</v>
      </c>
      <c r="D23" s="197"/>
      <c r="E23" s="197" t="s">
        <v>124</v>
      </c>
      <c r="F23" s="198" t="s">
        <v>125</v>
      </c>
      <c r="G23" s="199" t="str">
        <f>IF(COUNTIFS($C$15:C23,C23,$H$15:H23,H23)=1,
SUMIFS($I$15:$I$43,$C$15:$C$43,C23,$H$15:$H$43,H23)&amp;H23&amp;" "&amp;C23,
"")</f>
        <v/>
      </c>
      <c r="H23" s="197" t="s">
        <v>16</v>
      </c>
      <c r="I23" s="200">
        <v>1</v>
      </c>
      <c r="J23" s="249"/>
      <c r="K23" s="201"/>
      <c r="L23" s="265"/>
      <c r="M23" s="202"/>
      <c r="N23" s="203" cm="1">
        <f t="array" ref="N23">IF(E23="trim",_xlfn.XLOOKUP(1,(TRIM('SIZE GUIDE'!$A$3:$A$2015)=TRIM(E23))*(TRIM('SIZE GUIDE'!$B$3:$B$2015)=TRIM(F23))*(TRIM('SIZE GUIDE'!$C$3:$C$2015)=TRIM(H23)),'SIZE GUIDE'!$D$3:$D$2015),"")</f>
        <v>79</v>
      </c>
      <c r="O23" s="203" cm="1">
        <f t="array" ref="O23">IF(E23="trim",IFERROR(INDEX('SIZE GUIDE'!$E:$E,MATCH(1,('SIZE GUIDE'!$A:$A=$E23)*('SIZE GUIDE'!$B:$B=$F23)*('SIZE GUIDE'!$C:$C=$H23),0)),""),"")</f>
        <v>59</v>
      </c>
      <c r="P23" s="203">
        <v>40</v>
      </c>
      <c r="Q23" s="204">
        <v>79</v>
      </c>
      <c r="R23" s="198">
        <v>59</v>
      </c>
      <c r="S23" s="198">
        <f t="shared" si="1"/>
        <v>39.5</v>
      </c>
      <c r="T23" s="205">
        <f t="shared" si="2"/>
        <v>1278.5381944444443</v>
      </c>
      <c r="U23" s="206">
        <v>0.30719999999999997</v>
      </c>
      <c r="V23" s="207">
        <f t="shared" si="3"/>
        <v>392.76693333333327</v>
      </c>
      <c r="W23" s="208" t="str">
        <f>IF(COUNTIF($C$15:C23,C23)=1,C23 &amp; " - " &amp; TEXT(SUMIF($C:$C,C23,$T:$T),"0.00"),"")</f>
        <v/>
      </c>
      <c r="X23" s="209" t="str">
        <f>IF(COUNTIF($C$15:C23,C23)=1,ROUND(SUMIF($C:$C,C23,$V:$V),2), "")</f>
        <v/>
      </c>
    </row>
    <row r="24" spans="1:34" s="210" customFormat="1" ht="31.5" customHeight="1" x14ac:dyDescent="0.2">
      <c r="A24" s="196">
        <f t="shared" si="4"/>
        <v>10</v>
      </c>
      <c r="B24" s="196"/>
      <c r="C24" s="196" t="s">
        <v>95</v>
      </c>
      <c r="D24" s="197"/>
      <c r="E24" s="197" t="s">
        <v>124</v>
      </c>
      <c r="F24" s="198" t="s">
        <v>125</v>
      </c>
      <c r="G24" s="199" t="str">
        <f>IF(COUNTIFS($C$15:C24,C24,$H$15:H24,H24)=1,
SUMIFS($I$15:$I$43,$C$15:$C$43,C24,$H$15:$H$43,H24)&amp;H24&amp;" "&amp;C24,
"")</f>
        <v/>
      </c>
      <c r="H24" s="197" t="s">
        <v>16</v>
      </c>
      <c r="I24" s="200">
        <v>1</v>
      </c>
      <c r="J24" s="249"/>
      <c r="K24" s="201"/>
      <c r="L24" s="265"/>
      <c r="M24" s="202"/>
      <c r="N24" s="203" cm="1">
        <f t="array" ref="N24">IF(E24="trim",_xlfn.XLOOKUP(1,(TRIM('SIZE GUIDE'!$A$3:$A$2015)=TRIM(E24))*(TRIM('SIZE GUIDE'!$B$3:$B$2015)=TRIM(F24))*(TRIM('SIZE GUIDE'!$C$3:$C$2015)=TRIM(H24)),'SIZE GUIDE'!$D$3:$D$2015),"")</f>
        <v>79</v>
      </c>
      <c r="O24" s="203" cm="1">
        <f t="array" ref="O24">IF(E24="trim",IFERROR(INDEX('SIZE GUIDE'!$E:$E,MATCH(1,('SIZE GUIDE'!$A:$A=$E24)*('SIZE GUIDE'!$B:$B=$F24)*('SIZE GUIDE'!$C:$C=$H24),0)),""),"")</f>
        <v>59</v>
      </c>
      <c r="P24" s="203">
        <v>40.5</v>
      </c>
      <c r="Q24" s="204">
        <v>79</v>
      </c>
      <c r="R24" s="198">
        <v>59</v>
      </c>
      <c r="S24" s="198">
        <f t="shared" si="1"/>
        <v>40</v>
      </c>
      <c r="T24" s="205">
        <f t="shared" si="2"/>
        <v>1294.7222222222222</v>
      </c>
      <c r="U24" s="206">
        <v>0.30719999999999997</v>
      </c>
      <c r="V24" s="207">
        <f t="shared" si="3"/>
        <v>397.73866666666663</v>
      </c>
      <c r="W24" s="208" t="str">
        <f>IF(COUNTIF($C$15:C24,C24)=1,C24 &amp; " - " &amp; TEXT(SUMIF($C:$C,C24,$T:$T),"0.00"),"")</f>
        <v/>
      </c>
      <c r="X24" s="209" t="str">
        <f>IF(COUNTIF($C$15:C24,C24)=1,ROUND(SUMIF($C:$C,C24,$V:$V),2), "")</f>
        <v/>
      </c>
    </row>
    <row r="25" spans="1:34" s="210" customFormat="1" ht="31.5" customHeight="1" x14ac:dyDescent="0.2">
      <c r="A25" s="196">
        <f t="shared" si="4"/>
        <v>11</v>
      </c>
      <c r="B25" s="196"/>
      <c r="C25" s="196" t="s">
        <v>95</v>
      </c>
      <c r="D25" s="197"/>
      <c r="E25" s="197" t="s">
        <v>124</v>
      </c>
      <c r="F25" s="198" t="s">
        <v>125</v>
      </c>
      <c r="G25" s="199" t="str">
        <f>IF(COUNTIFS($C$15:C25,C25,$H$15:H25,H25)=1,
SUMIFS($I$15:$I$43,$C$15:$C$43,C25,$H$15:$H$43,H25)&amp;H25&amp;" "&amp;C25,
"")</f>
        <v/>
      </c>
      <c r="H25" s="197" t="s">
        <v>16</v>
      </c>
      <c r="I25" s="200">
        <v>1</v>
      </c>
      <c r="J25" s="249"/>
      <c r="K25" s="201"/>
      <c r="L25" s="265"/>
      <c r="M25" s="202"/>
      <c r="N25" s="203" cm="1">
        <f t="array" ref="N25">IF(E25="trim",_xlfn.XLOOKUP(1,(TRIM('SIZE GUIDE'!$A$3:$A$2015)=TRIM(E25))*(TRIM('SIZE GUIDE'!$B$3:$B$2015)=TRIM(F25))*(TRIM('SIZE GUIDE'!$C$3:$C$2015)=TRIM(H25)),'SIZE GUIDE'!$D$3:$D$2015),"")</f>
        <v>79</v>
      </c>
      <c r="O25" s="203" cm="1">
        <f t="array" ref="O25">IF(E25="trim",IFERROR(INDEX('SIZE GUIDE'!$E:$E,MATCH(1,('SIZE GUIDE'!$A:$A=$E25)*('SIZE GUIDE'!$B:$B=$F25)*('SIZE GUIDE'!$C:$C=$H25),0)),""),"")</f>
        <v>59</v>
      </c>
      <c r="P25" s="203">
        <v>42</v>
      </c>
      <c r="Q25" s="204">
        <v>79</v>
      </c>
      <c r="R25" s="198">
        <v>59</v>
      </c>
      <c r="S25" s="198">
        <f t="shared" si="1"/>
        <v>41.5</v>
      </c>
      <c r="T25" s="205">
        <f t="shared" si="2"/>
        <v>1343.2743055555557</v>
      </c>
      <c r="U25" s="206">
        <v>0.30719999999999997</v>
      </c>
      <c r="V25" s="207">
        <f t="shared" si="3"/>
        <v>412.65386666666666</v>
      </c>
      <c r="W25" s="208" t="str">
        <f>IF(COUNTIF($C$15:C25,C25)=1,C25 &amp; " - " &amp; TEXT(SUMIF($C:$C,C25,$T:$T),"0.00"),"")</f>
        <v/>
      </c>
      <c r="X25" s="209" t="str">
        <f>IF(COUNTIF($C$15:C25,C25)=1,ROUND(SUMIF($C:$C,C25,$V:$V),2), "")</f>
        <v/>
      </c>
    </row>
    <row r="26" spans="1:34" s="210" customFormat="1" ht="31.5" customHeight="1" x14ac:dyDescent="0.2">
      <c r="A26" s="196">
        <f t="shared" si="4"/>
        <v>12</v>
      </c>
      <c r="B26" s="196"/>
      <c r="C26" s="196" t="s">
        <v>95</v>
      </c>
      <c r="D26" s="197"/>
      <c r="E26" s="197" t="s">
        <v>124</v>
      </c>
      <c r="F26" s="198" t="s">
        <v>125</v>
      </c>
      <c r="G26" s="199" t="str">
        <f>IF(COUNTIFS($C$15:C26,C26,$H$15:H26,H26)=1,
SUMIFS($I$15:$I$43,$C$15:$C$43,C26,$H$15:$H$43,H26)&amp;H26&amp;" "&amp;C26,
"")</f>
        <v/>
      </c>
      <c r="H26" s="197" t="s">
        <v>16</v>
      </c>
      <c r="I26" s="200">
        <v>1</v>
      </c>
      <c r="J26" s="249"/>
      <c r="K26" s="201"/>
      <c r="L26" s="265"/>
      <c r="M26" s="202"/>
      <c r="N26" s="203" cm="1">
        <f t="array" ref="N26">IF(E26="trim",_xlfn.XLOOKUP(1,(TRIM('SIZE GUIDE'!$A$3:$A$2015)=TRIM(E26))*(TRIM('SIZE GUIDE'!$B$3:$B$2015)=TRIM(F26))*(TRIM('SIZE GUIDE'!$C$3:$C$2015)=TRIM(H26)),'SIZE GUIDE'!$D$3:$D$2015),"")</f>
        <v>79</v>
      </c>
      <c r="O26" s="203" cm="1">
        <f t="array" ref="O26">IF(E26="trim",IFERROR(INDEX('SIZE GUIDE'!$E:$E,MATCH(1,('SIZE GUIDE'!$A:$A=$E26)*('SIZE GUIDE'!$B:$B=$F26)*('SIZE GUIDE'!$C:$C=$H26),0)),""),"")</f>
        <v>59</v>
      </c>
      <c r="P26" s="203">
        <v>40</v>
      </c>
      <c r="Q26" s="204">
        <v>79</v>
      </c>
      <c r="R26" s="198">
        <v>59</v>
      </c>
      <c r="S26" s="198">
        <f t="shared" si="1"/>
        <v>39.5</v>
      </c>
      <c r="T26" s="205">
        <f t="shared" si="2"/>
        <v>1278.5381944444443</v>
      </c>
      <c r="U26" s="206">
        <v>0.30719999999999997</v>
      </c>
      <c r="V26" s="207">
        <f t="shared" si="3"/>
        <v>392.76693333333327</v>
      </c>
      <c r="W26" s="208" t="str">
        <f>IF(COUNTIF($C$15:C26,C26)=1,C26 &amp; " - " &amp; TEXT(SUMIF($C:$C,C26,$T:$T),"0.00"),"")</f>
        <v/>
      </c>
      <c r="X26" s="209" t="str">
        <f>IF(COUNTIF($C$15:C26,C26)=1,ROUND(SUMIF($C:$C,C26,$V:$V),2), "")</f>
        <v/>
      </c>
    </row>
    <row r="27" spans="1:34" s="210" customFormat="1" ht="31.5" customHeight="1" x14ac:dyDescent="0.2">
      <c r="A27" s="196">
        <f t="shared" si="4"/>
        <v>13</v>
      </c>
      <c r="B27" s="196"/>
      <c r="C27" s="196" t="s">
        <v>95</v>
      </c>
      <c r="D27" s="197"/>
      <c r="E27" s="197" t="s">
        <v>124</v>
      </c>
      <c r="F27" s="198" t="s">
        <v>125</v>
      </c>
      <c r="G27" s="199" t="str">
        <f>IF(COUNTIFS($C$15:C27,C27,$H$15:H27,H27)=1,
SUMIFS($I$15:$I$43,$C$15:$C$43,C27,$H$15:$H$43,H27)&amp;H27&amp;" "&amp;C27,
"")</f>
        <v>6F CFN50131W</v>
      </c>
      <c r="H27" s="197" t="s">
        <v>14</v>
      </c>
      <c r="I27" s="200">
        <v>1</v>
      </c>
      <c r="J27" s="249"/>
      <c r="K27" s="201"/>
      <c r="L27" s="265"/>
      <c r="M27" s="202"/>
      <c r="N27" s="203" cm="1">
        <f t="array" ref="N27">IF(E27="trim",_xlfn.XLOOKUP(1,(TRIM('SIZE GUIDE'!$A$3:$A$2015)=TRIM(E27))*(TRIM('SIZE GUIDE'!$B$3:$B$2015)=TRIM(F27))*(TRIM('SIZE GUIDE'!$C$3:$C$2015)=TRIM(H27)),'SIZE GUIDE'!$D$3:$D$2015),"")</f>
        <v>74</v>
      </c>
      <c r="O27" s="203" cm="1">
        <f t="array" ref="O27">IF(E27="trim",IFERROR(INDEX('SIZE GUIDE'!$E:$E,MATCH(1,('SIZE GUIDE'!$A:$A=$E27)*('SIZE GUIDE'!$B:$B=$F27)*('SIZE GUIDE'!$C:$C=$H27),0)),""),"")</f>
        <v>52</v>
      </c>
      <c r="P27" s="203">
        <v>44</v>
      </c>
      <c r="Q27" s="204">
        <v>74</v>
      </c>
      <c r="R27" s="198">
        <v>52</v>
      </c>
      <c r="S27" s="198">
        <f t="shared" si="1"/>
        <v>43.5</v>
      </c>
      <c r="T27" s="205">
        <f t="shared" si="2"/>
        <v>1162.4166666666667</v>
      </c>
      <c r="U27" s="206">
        <v>0.30719999999999997</v>
      </c>
      <c r="V27" s="207">
        <f t="shared" si="3"/>
        <v>357.09440000000001</v>
      </c>
      <c r="W27" s="208" t="str">
        <f>IF(COUNTIF($C$15:C27,C27)=1,C27 &amp; " - " &amp; TEXT(SUMIF($C:$C,C27,$T:$T),"0.00"),"")</f>
        <v/>
      </c>
      <c r="X27" s="209" t="str">
        <f>IF(COUNTIF($C$15:C27,C27)=1,ROUND(SUMIF($C:$C,C27,$V:$V),2), "")</f>
        <v/>
      </c>
    </row>
    <row r="28" spans="1:34" s="210" customFormat="1" ht="31.5" customHeight="1" x14ac:dyDescent="0.2">
      <c r="A28" s="196">
        <f t="shared" si="4"/>
        <v>14</v>
      </c>
      <c r="B28" s="196"/>
      <c r="C28" s="196" t="s">
        <v>95</v>
      </c>
      <c r="D28" s="197"/>
      <c r="E28" s="197" t="s">
        <v>124</v>
      </c>
      <c r="F28" s="198" t="s">
        <v>125</v>
      </c>
      <c r="G28" s="199" t="str">
        <f>IF(COUNTIFS($C$15:C28,C28,$H$15:H28,H28)=1,
SUMIFS($I$15:$I$43,$C$15:$C$43,C28,$H$15:$H$43,H28)&amp;H28&amp;" "&amp;C28,
"")</f>
        <v/>
      </c>
      <c r="H28" s="197" t="s">
        <v>14</v>
      </c>
      <c r="I28" s="200">
        <v>1</v>
      </c>
      <c r="J28" s="250"/>
      <c r="K28" s="204"/>
      <c r="L28" s="266"/>
      <c r="M28" s="223"/>
      <c r="N28" s="203" cm="1">
        <f t="array" ref="N28">IF(E28="trim",_xlfn.XLOOKUP(1,(TRIM('SIZE GUIDE'!$A$3:$A$2015)=TRIM(E28))*(TRIM('SIZE GUIDE'!$B$3:$B$2015)=TRIM(F28))*(TRIM('SIZE GUIDE'!$C$3:$C$2015)=TRIM(H28)),'SIZE GUIDE'!$D$3:$D$2015),"")</f>
        <v>74</v>
      </c>
      <c r="O28" s="203" cm="1">
        <f t="array" ref="O28">IF(E28="trim",IFERROR(INDEX('SIZE GUIDE'!$E:$E,MATCH(1,('SIZE GUIDE'!$A:$A=$E28)*('SIZE GUIDE'!$B:$B=$F28)*('SIZE GUIDE'!$C:$C=$H28),0)),""),"")</f>
        <v>52</v>
      </c>
      <c r="P28" s="203">
        <v>41.5</v>
      </c>
      <c r="Q28" s="204">
        <v>74</v>
      </c>
      <c r="R28" s="198">
        <v>52</v>
      </c>
      <c r="S28" s="198">
        <f t="shared" si="1"/>
        <v>41</v>
      </c>
      <c r="T28" s="312">
        <f t="shared" si="2"/>
        <v>1095.6111111111111</v>
      </c>
      <c r="U28" s="206">
        <v>0.30719999999999997</v>
      </c>
      <c r="V28" s="313">
        <f t="shared" si="3"/>
        <v>336.57173333333327</v>
      </c>
      <c r="W28" s="208" t="str">
        <f>IF(COUNTIF($C$15:C28,C28)=1,C28 &amp; " - " &amp; TEXT(SUMIF($C:$C,C28,$T:$T),"0.00"),"")</f>
        <v/>
      </c>
      <c r="X28" s="314" t="str">
        <f>IF(COUNTIF($C$15:C28,C28)=1,ROUND(SUMIF($C:$C,C28,$V:$V),2), "")</f>
        <v/>
      </c>
    </row>
    <row r="29" spans="1:34" s="210" customFormat="1" ht="31.5" customHeight="1" x14ac:dyDescent="0.2">
      <c r="A29" s="196">
        <f t="shared" si="4"/>
        <v>15</v>
      </c>
      <c r="B29" s="196"/>
      <c r="C29" s="196" t="s">
        <v>95</v>
      </c>
      <c r="D29" s="197"/>
      <c r="E29" s="197" t="s">
        <v>124</v>
      </c>
      <c r="F29" s="198" t="s">
        <v>125</v>
      </c>
      <c r="G29" s="199" t="str">
        <f>IF(COUNTIFS($C$15:C29,C29,$H$15:H29,H29)=1,
SUMIFS($I$15:$I$43,$C$15:$C$43,C29,$H$15:$H$43,H29)&amp;H29&amp;" "&amp;C29,
"")</f>
        <v/>
      </c>
      <c r="H29" s="197" t="s">
        <v>14</v>
      </c>
      <c r="I29" s="200">
        <v>1</v>
      </c>
      <c r="J29" s="249"/>
      <c r="K29" s="201"/>
      <c r="L29" s="265"/>
      <c r="M29" s="202"/>
      <c r="N29" s="203" cm="1">
        <f t="array" ref="N29">IF(E29="trim",_xlfn.XLOOKUP(1,(TRIM('SIZE GUIDE'!$A$3:$A$2015)=TRIM(E29))*(TRIM('SIZE GUIDE'!$B$3:$B$2015)=TRIM(F29))*(TRIM('SIZE GUIDE'!$C$3:$C$2015)=TRIM(H29)),'SIZE GUIDE'!$D$3:$D$2015),"")</f>
        <v>74</v>
      </c>
      <c r="O29" s="203" cm="1">
        <f t="array" ref="O29">IF(E29="trim",IFERROR(INDEX('SIZE GUIDE'!$E:$E,MATCH(1,('SIZE GUIDE'!$A:$A=$E29)*('SIZE GUIDE'!$B:$B=$F29)*('SIZE GUIDE'!$C:$C=$H29),0)),""),"")</f>
        <v>52</v>
      </c>
      <c r="P29" s="203">
        <v>44.5</v>
      </c>
      <c r="Q29" s="204">
        <v>74</v>
      </c>
      <c r="R29" s="198">
        <v>52</v>
      </c>
      <c r="S29" s="198">
        <f t="shared" si="1"/>
        <v>44</v>
      </c>
      <c r="T29" s="205">
        <f t="shared" si="2"/>
        <v>1175.7777777777778</v>
      </c>
      <c r="U29" s="206">
        <v>0.30719999999999997</v>
      </c>
      <c r="V29" s="207">
        <f t="shared" si="3"/>
        <v>361.19893333333334</v>
      </c>
      <c r="W29" s="208" t="str">
        <f>IF(COUNTIF($C$15:C29,C29)=1,C29 &amp; " - " &amp; TEXT(SUMIF($C:$C,C29,$T:$T),"0.00"),"")</f>
        <v/>
      </c>
      <c r="X29" s="209" t="str">
        <f>IF(COUNTIF($C$15:C29,C29)=1,ROUND(SUMIF($C:$C,C29,$V:$V),2), "")</f>
        <v/>
      </c>
    </row>
    <row r="30" spans="1:34" s="210" customFormat="1" ht="31.5" customHeight="1" x14ac:dyDescent="0.2">
      <c r="A30" s="196">
        <f t="shared" si="4"/>
        <v>16</v>
      </c>
      <c r="B30" s="196"/>
      <c r="C30" s="196" t="s">
        <v>95</v>
      </c>
      <c r="D30" s="197"/>
      <c r="E30" s="197" t="s">
        <v>124</v>
      </c>
      <c r="F30" s="198" t="s">
        <v>125</v>
      </c>
      <c r="G30" s="199" t="str">
        <f>IF(COUNTIFS($C$15:C30,C30,$H$15:H30,H30)=1,
SUMIFS($I$15:$I$43,$C$15:$C$43,C30,$H$15:$H$43,H30)&amp;H30&amp;" "&amp;C30,
"")</f>
        <v/>
      </c>
      <c r="H30" s="197" t="s">
        <v>14</v>
      </c>
      <c r="I30" s="200">
        <v>1</v>
      </c>
      <c r="J30" s="285"/>
      <c r="K30" s="201"/>
      <c r="L30" s="265"/>
      <c r="M30" s="202"/>
      <c r="N30" s="203" cm="1">
        <f t="array" ref="N30">IF(E30="trim",_xlfn.XLOOKUP(1,(TRIM('SIZE GUIDE'!$A$3:$A$2015)=TRIM(E30))*(TRIM('SIZE GUIDE'!$B$3:$B$2015)=TRIM(F30))*(TRIM('SIZE GUIDE'!$C$3:$C$2015)=TRIM(H30)),'SIZE GUIDE'!$D$3:$D$2015),"")</f>
        <v>74</v>
      </c>
      <c r="O30" s="203" cm="1">
        <f t="array" ref="O30">IF(E30="trim",IFERROR(INDEX('SIZE GUIDE'!$E:$E,MATCH(1,('SIZE GUIDE'!$A:$A=$E30)*('SIZE GUIDE'!$B:$B=$F30)*('SIZE GUIDE'!$C:$C=$H30),0)),""),"")</f>
        <v>52</v>
      </c>
      <c r="P30" s="203">
        <v>42.5</v>
      </c>
      <c r="Q30" s="204">
        <v>74</v>
      </c>
      <c r="R30" s="198">
        <v>52</v>
      </c>
      <c r="S30" s="198">
        <f t="shared" si="1"/>
        <v>42</v>
      </c>
      <c r="T30" s="205">
        <f t="shared" si="2"/>
        <v>1122.3333333333333</v>
      </c>
      <c r="U30" s="206">
        <v>0.30719999999999997</v>
      </c>
      <c r="V30" s="207">
        <f t="shared" si="3"/>
        <v>344.78079999999994</v>
      </c>
      <c r="W30" s="208" t="str">
        <f>IF(COUNTIF($C$15:C30,C30)=1,C30 &amp; " - " &amp; TEXT(SUMIF($C:$C,C30,$T:$T),"0.00"),"")</f>
        <v/>
      </c>
      <c r="X30" s="209" t="str">
        <f>IF(COUNTIF($C$15:C30,C30)=1,ROUND(SUMIF($C:$C,C30,$V:$V),2), "")</f>
        <v/>
      </c>
    </row>
    <row r="31" spans="1:34" s="210" customFormat="1" ht="31.5" customHeight="1" x14ac:dyDescent="0.2">
      <c r="A31" s="196">
        <f t="shared" si="4"/>
        <v>17</v>
      </c>
      <c r="B31" s="196"/>
      <c r="C31" s="196" t="s">
        <v>95</v>
      </c>
      <c r="D31" s="197"/>
      <c r="E31" s="197" t="s">
        <v>124</v>
      </c>
      <c r="F31" s="198" t="s">
        <v>125</v>
      </c>
      <c r="G31" s="199" t="str">
        <f>IF(COUNTIFS($C$15:C31,C31,$H$15:H31,H31)=1,
SUMIFS($I$15:$I$43,$C$15:$C$43,C31,$H$15:$H$43,H31)&amp;H31&amp;" "&amp;C31,
"")</f>
        <v/>
      </c>
      <c r="H31" s="197" t="s">
        <v>14</v>
      </c>
      <c r="I31" s="200">
        <v>1</v>
      </c>
      <c r="J31" s="249"/>
      <c r="K31" s="201"/>
      <c r="L31" s="265"/>
      <c r="M31" s="202"/>
      <c r="N31" s="203" cm="1">
        <f t="array" ref="N31">IF(E31="trim",_xlfn.XLOOKUP(1,(TRIM('SIZE GUIDE'!$A$3:$A$2015)=TRIM(E31))*(TRIM('SIZE GUIDE'!$B$3:$B$2015)=TRIM(F31))*(TRIM('SIZE GUIDE'!$C$3:$C$2015)=TRIM(H31)),'SIZE GUIDE'!$D$3:$D$2015),"")</f>
        <v>74</v>
      </c>
      <c r="O31" s="203" cm="1">
        <f t="array" ref="O31">IF(E31="trim",IFERROR(INDEX('SIZE GUIDE'!$E:$E,MATCH(1,('SIZE GUIDE'!$A:$A=$E31)*('SIZE GUIDE'!$B:$B=$F31)*('SIZE GUIDE'!$C:$C=$H31),0)),""),"")</f>
        <v>52</v>
      </c>
      <c r="P31" s="203">
        <v>44</v>
      </c>
      <c r="Q31" s="204">
        <v>74</v>
      </c>
      <c r="R31" s="198">
        <v>52</v>
      </c>
      <c r="S31" s="198">
        <f t="shared" si="1"/>
        <v>43.5</v>
      </c>
      <c r="T31" s="205">
        <f t="shared" si="2"/>
        <v>1162.4166666666667</v>
      </c>
      <c r="U31" s="206">
        <v>0.30719999999999997</v>
      </c>
      <c r="V31" s="207">
        <f t="shared" si="3"/>
        <v>357.09440000000001</v>
      </c>
      <c r="W31" s="208" t="str">
        <f>IF(COUNTIF($C$15:C31,C31)=1,C31 &amp; " - " &amp; TEXT(SUMIF($C:$C,C31,$T:$T),"0.00"),"")</f>
        <v/>
      </c>
      <c r="X31" s="209" t="str">
        <f>IF(COUNTIF($C$15:C31,C31)=1,ROUND(SUMIF($C:$C,C31,$V:$V),2), "")</f>
        <v/>
      </c>
    </row>
    <row r="32" spans="1:34" s="210" customFormat="1" ht="31.5" customHeight="1" x14ac:dyDescent="0.2">
      <c r="A32" s="196">
        <f t="shared" si="4"/>
        <v>18</v>
      </c>
      <c r="B32" s="196"/>
      <c r="C32" s="196" t="s">
        <v>95</v>
      </c>
      <c r="D32" s="197"/>
      <c r="E32" s="197" t="s">
        <v>124</v>
      </c>
      <c r="F32" s="198" t="s">
        <v>125</v>
      </c>
      <c r="G32" s="199" t="str">
        <f>IF(COUNTIFS($C$15:C32,C32,$H$15:H32,H32)=1,
SUMIFS($I$15:$I$43,$C$15:$C$43,C32,$H$15:$H$43,H32)&amp;H32&amp;" "&amp;C32,
"")</f>
        <v/>
      </c>
      <c r="H32" s="197" t="s">
        <v>14</v>
      </c>
      <c r="I32" s="200">
        <v>1</v>
      </c>
      <c r="J32" s="249"/>
      <c r="K32" s="201"/>
      <c r="L32" s="265"/>
      <c r="M32" s="202"/>
      <c r="N32" s="203" cm="1">
        <f t="array" ref="N32">IF(E32="trim",_xlfn.XLOOKUP(1,(TRIM('SIZE GUIDE'!$A$3:$A$2015)=TRIM(E32))*(TRIM('SIZE GUIDE'!$B$3:$B$2015)=TRIM(F32))*(TRIM('SIZE GUIDE'!$C$3:$C$2015)=TRIM(H32)),'SIZE GUIDE'!$D$3:$D$2015),"")</f>
        <v>74</v>
      </c>
      <c r="O32" s="203" cm="1">
        <f t="array" ref="O32">IF(E32="trim",IFERROR(INDEX('SIZE GUIDE'!$E:$E,MATCH(1,('SIZE GUIDE'!$A:$A=$E32)*('SIZE GUIDE'!$B:$B=$F32)*('SIZE GUIDE'!$C:$C=$H32),0)),""),"")</f>
        <v>52</v>
      </c>
      <c r="P32" s="203">
        <v>44.5</v>
      </c>
      <c r="Q32" s="204">
        <v>74</v>
      </c>
      <c r="R32" s="198">
        <v>52</v>
      </c>
      <c r="S32" s="198">
        <f t="shared" si="1"/>
        <v>44</v>
      </c>
      <c r="T32" s="205">
        <f t="shared" si="2"/>
        <v>1175.7777777777778</v>
      </c>
      <c r="U32" s="206">
        <v>0.30719999999999997</v>
      </c>
      <c r="V32" s="207">
        <f t="shared" si="3"/>
        <v>361.19893333333334</v>
      </c>
      <c r="W32" s="208" t="str">
        <f>IF(COUNTIF($C$15:C32,C32)=1,C32 &amp; " - " &amp; TEXT(SUMIF($C:$C,C32,$T:$T),"0.00"),"")</f>
        <v/>
      </c>
      <c r="X32" s="209" t="str">
        <f>IF(COUNTIF($C$15:C32,C32)=1,ROUND(SUMIF($C:$C,C32,$V:$V),2), "")</f>
        <v/>
      </c>
    </row>
    <row r="33" spans="1:24" s="210" customFormat="1" ht="31.5" customHeight="1" x14ac:dyDescent="0.2">
      <c r="A33" s="196">
        <f t="shared" si="4"/>
        <v>19</v>
      </c>
      <c r="B33" s="196"/>
      <c r="C33" s="196" t="s">
        <v>95</v>
      </c>
      <c r="D33" s="197"/>
      <c r="E33" s="197" t="s">
        <v>124</v>
      </c>
      <c r="F33" s="198" t="s">
        <v>125</v>
      </c>
      <c r="G33" s="199" t="str">
        <f>IF(COUNTIFS($C$15:C33,C33,$H$15:H33,H33)=1,
SUMIFS($I$15:$I$43,$C$15:$C$43,C33,$H$15:$H$43,H33)&amp;H33&amp;" "&amp;C33,
"")</f>
        <v>4T CFN50131W</v>
      </c>
      <c r="H33" s="197" t="s">
        <v>12</v>
      </c>
      <c r="I33" s="200">
        <v>1</v>
      </c>
      <c r="J33" s="249"/>
      <c r="K33" s="201"/>
      <c r="L33" s="265"/>
      <c r="M33" s="202"/>
      <c r="N33" s="203" cm="1">
        <f t="array" ref="N33">IF(E33="trim",_xlfn.XLOOKUP(1,(TRIM('SIZE GUIDE'!$A$3:$A$2015)=TRIM(E33))*(TRIM('SIZE GUIDE'!$B$3:$B$2015)=TRIM(F33))*(TRIM('SIZE GUIDE'!$C$3:$C$2015)=TRIM(H33)),'SIZE GUIDE'!$D$3:$D$2015),"")</f>
        <v>74</v>
      </c>
      <c r="O33" s="203" cm="1">
        <f t="array" ref="O33">IF(E33="trim",IFERROR(INDEX('SIZE GUIDE'!$E:$E,MATCH(1,('SIZE GUIDE'!$A:$A=$E33)*('SIZE GUIDE'!$B:$B=$F33)*('SIZE GUIDE'!$C:$C=$H33),0)),""),"")</f>
        <v>37</v>
      </c>
      <c r="P33" s="203">
        <v>40</v>
      </c>
      <c r="Q33" s="204">
        <v>74</v>
      </c>
      <c r="R33" s="198">
        <v>37</v>
      </c>
      <c r="S33" s="198">
        <f t="shared" ref="S33:S36" si="5">IF(E33="untrim",M33-0.5,P33-0.5)</f>
        <v>39.5</v>
      </c>
      <c r="T33" s="205">
        <f t="shared" ref="T33:T36" si="6">IFERROR(Q33*R33*S33/144*I33,"")</f>
        <v>751.04861111111109</v>
      </c>
      <c r="U33" s="206">
        <v>0.30719999999999997</v>
      </c>
      <c r="V33" s="207">
        <f t="shared" ref="V33:V36" si="7">T33*U33</f>
        <v>230.72213333333332</v>
      </c>
      <c r="W33" s="208"/>
      <c r="X33" s="209"/>
    </row>
    <row r="34" spans="1:24" s="210" customFormat="1" ht="31.5" customHeight="1" x14ac:dyDescent="0.2">
      <c r="A34" s="196">
        <f t="shared" si="4"/>
        <v>20</v>
      </c>
      <c r="B34" s="196"/>
      <c r="C34" s="196" t="s">
        <v>95</v>
      </c>
      <c r="D34" s="197"/>
      <c r="E34" s="197" t="s">
        <v>124</v>
      </c>
      <c r="F34" s="198" t="s">
        <v>125</v>
      </c>
      <c r="G34" s="199" t="str">
        <f>IF(COUNTIFS($C$15:C34,C34,$H$15:H34,H34)=1,
SUMIFS($I$15:$I$43,$C$15:$C$43,C34,$H$15:$H$43,H34)&amp;H34&amp;" "&amp;C34,
"")</f>
        <v/>
      </c>
      <c r="H34" s="197" t="s">
        <v>12</v>
      </c>
      <c r="I34" s="200">
        <v>1</v>
      </c>
      <c r="J34" s="249"/>
      <c r="K34" s="201"/>
      <c r="L34" s="265"/>
      <c r="M34" s="202"/>
      <c r="N34" s="203" cm="1">
        <f t="array" ref="N34">IF(E34="trim",_xlfn.XLOOKUP(1,(TRIM('SIZE GUIDE'!$A$3:$A$2015)=TRIM(E34))*(TRIM('SIZE GUIDE'!$B$3:$B$2015)=TRIM(F34))*(TRIM('SIZE GUIDE'!$C$3:$C$2015)=TRIM(H34)),'SIZE GUIDE'!$D$3:$D$2015),"")</f>
        <v>74</v>
      </c>
      <c r="O34" s="203" cm="1">
        <f t="array" ref="O34">IF(E34="trim",IFERROR(INDEX('SIZE GUIDE'!$E:$E,MATCH(1,('SIZE GUIDE'!$A:$A=$E34)*('SIZE GUIDE'!$B:$B=$F34)*('SIZE GUIDE'!$C:$C=$H34),0)),""),"")</f>
        <v>37</v>
      </c>
      <c r="P34" s="203">
        <v>40</v>
      </c>
      <c r="Q34" s="204">
        <v>74</v>
      </c>
      <c r="R34" s="198">
        <v>37</v>
      </c>
      <c r="S34" s="198">
        <f t="shared" si="5"/>
        <v>39.5</v>
      </c>
      <c r="T34" s="205">
        <f t="shared" si="6"/>
        <v>751.04861111111109</v>
      </c>
      <c r="U34" s="206">
        <v>0.30719999999999997</v>
      </c>
      <c r="V34" s="207">
        <f t="shared" si="7"/>
        <v>230.72213333333332</v>
      </c>
      <c r="W34" s="208" t="str">
        <f>IF(COUNTIF($C$15:C34,C34)=1,C34 &amp; " - " &amp; TEXT(SUMIF($C:$C,C34,$T:$T),"0.00"),"")</f>
        <v/>
      </c>
      <c r="X34" s="209" t="str">
        <f>IF(COUNTIF($C$15:C34,C34)=1,ROUND(SUMIF($C:$C,C34,$V:$V),2), "")</f>
        <v/>
      </c>
    </row>
    <row r="35" spans="1:24" s="210" customFormat="1" ht="31.5" customHeight="1" x14ac:dyDescent="0.2">
      <c r="A35" s="196">
        <f t="shared" si="4"/>
        <v>21</v>
      </c>
      <c r="B35" s="196"/>
      <c r="C35" s="196" t="s">
        <v>95</v>
      </c>
      <c r="D35" s="197"/>
      <c r="E35" s="197" t="s">
        <v>124</v>
      </c>
      <c r="F35" s="198" t="s">
        <v>125</v>
      </c>
      <c r="G35" s="199" t="str">
        <f>IF(COUNTIFS($C$15:C35,C35,$H$15:H35,H35)=1,
SUMIFS($I$15:$I$43,$C$15:$C$43,C35,$H$15:$H$43,H35)&amp;H35&amp;" "&amp;C35,
"")</f>
        <v/>
      </c>
      <c r="H35" s="197" t="s">
        <v>12</v>
      </c>
      <c r="I35" s="200">
        <v>1</v>
      </c>
      <c r="J35" s="249"/>
      <c r="K35" s="201"/>
      <c r="L35" s="265"/>
      <c r="M35" s="202"/>
      <c r="N35" s="203" cm="1">
        <f t="array" ref="N35">IF(E35="trim",_xlfn.XLOOKUP(1,(TRIM('SIZE GUIDE'!$A$3:$A$2015)=TRIM(E35))*(TRIM('SIZE GUIDE'!$B$3:$B$2015)=TRIM(F35))*(TRIM('SIZE GUIDE'!$C$3:$C$2015)=TRIM(H35)),'SIZE GUIDE'!$D$3:$D$2015),"")</f>
        <v>74</v>
      </c>
      <c r="O35" s="203" cm="1">
        <f t="array" ref="O35">IF(E35="trim",IFERROR(INDEX('SIZE GUIDE'!$E:$E,MATCH(1,('SIZE GUIDE'!$A:$A=$E35)*('SIZE GUIDE'!$B:$B=$F35)*('SIZE GUIDE'!$C:$C=$H35),0)),""),"")</f>
        <v>37</v>
      </c>
      <c r="P35" s="203">
        <v>42.5</v>
      </c>
      <c r="Q35" s="204">
        <v>74</v>
      </c>
      <c r="R35" s="198">
        <v>37</v>
      </c>
      <c r="S35" s="198">
        <f t="shared" si="5"/>
        <v>42</v>
      </c>
      <c r="T35" s="205">
        <f t="shared" si="6"/>
        <v>798.58333333333337</v>
      </c>
      <c r="U35" s="206">
        <v>0.30719999999999997</v>
      </c>
      <c r="V35" s="207">
        <f t="shared" si="7"/>
        <v>245.32479999999998</v>
      </c>
      <c r="W35" s="208" t="str">
        <f>IF(COUNTIF($C$15:C35,C35)=1,C35 &amp; " - " &amp; TEXT(SUMIF($C:$C,C35,$T:$T),"0.00"),"")</f>
        <v/>
      </c>
      <c r="X35" s="209" t="str">
        <f>IF(COUNTIF($C$15:C35,C35)=1,ROUND(SUMIF($C:$C,C35,$V:$V),2), "")</f>
        <v/>
      </c>
    </row>
    <row r="36" spans="1:24" s="210" customFormat="1" ht="31.5" customHeight="1" x14ac:dyDescent="0.2">
      <c r="A36" s="196">
        <f t="shared" si="4"/>
        <v>22</v>
      </c>
      <c r="B36" s="196"/>
      <c r="C36" s="196" t="s">
        <v>95</v>
      </c>
      <c r="D36" s="197"/>
      <c r="E36" s="197" t="s">
        <v>124</v>
      </c>
      <c r="F36" s="198" t="s">
        <v>125</v>
      </c>
      <c r="G36" s="199" t="str">
        <f>IF(COUNTIFS($C$15:C36,C36,$H$15:H36,H36)=1,
SUMIFS($I$15:$I$43,$C$15:$C$43,C36,$H$15:$H$43,H36)&amp;H36&amp;" "&amp;C36,
"")</f>
        <v/>
      </c>
      <c r="H36" s="197" t="s">
        <v>12</v>
      </c>
      <c r="I36" s="200">
        <v>1</v>
      </c>
      <c r="J36" s="249"/>
      <c r="K36" s="201"/>
      <c r="L36" s="265"/>
      <c r="M36" s="202"/>
      <c r="N36" s="203" cm="1">
        <f t="array" ref="N36">IF(E36="trim",_xlfn.XLOOKUP(1,(TRIM('SIZE GUIDE'!$A$3:$A$2015)=TRIM(E36))*(TRIM('SIZE GUIDE'!$B$3:$B$2015)=TRIM(F36))*(TRIM('SIZE GUIDE'!$C$3:$C$2015)=TRIM(H36)),'SIZE GUIDE'!$D$3:$D$2015),"")</f>
        <v>74</v>
      </c>
      <c r="O36" s="203" cm="1">
        <f t="array" ref="O36">IF(E36="trim",IFERROR(INDEX('SIZE GUIDE'!$E:$E,MATCH(1,('SIZE GUIDE'!$A:$A=$E36)*('SIZE GUIDE'!$B:$B=$F36)*('SIZE GUIDE'!$C:$C=$H36),0)),""),"")</f>
        <v>37</v>
      </c>
      <c r="P36" s="203">
        <v>43.5</v>
      </c>
      <c r="Q36" s="204">
        <v>74</v>
      </c>
      <c r="R36" s="198">
        <v>37</v>
      </c>
      <c r="S36" s="198">
        <f t="shared" si="5"/>
        <v>43</v>
      </c>
      <c r="T36" s="205">
        <f t="shared" si="6"/>
        <v>817.59722222222217</v>
      </c>
      <c r="U36" s="206">
        <v>0.30719999999999997</v>
      </c>
      <c r="V36" s="207">
        <f t="shared" si="7"/>
        <v>251.16586666666663</v>
      </c>
      <c r="W36" s="208" t="str">
        <f>IF(COUNTIF($C$15:C36,C36)=1,C36 &amp; " - " &amp; TEXT(SUMIF($C:$C,C36,$T:$T),"0.00"),"")</f>
        <v/>
      </c>
      <c r="X36" s="209" t="str">
        <f>IF(COUNTIF($C$15:C36,C36)=1,ROUND(SUMIF($C:$C,C36,$V:$V),2), "")</f>
        <v/>
      </c>
    </row>
    <row r="37" spans="1:24" s="210" customFormat="1" ht="31.5" hidden="1" customHeight="1" x14ac:dyDescent="0.2">
      <c r="A37" s="196"/>
      <c r="B37" s="196"/>
      <c r="C37" s="196"/>
      <c r="D37" s="197"/>
      <c r="E37" s="197"/>
      <c r="F37" s="198"/>
      <c r="G37" s="199"/>
      <c r="H37" s="197"/>
      <c r="I37" s="200"/>
      <c r="J37" s="249"/>
      <c r="K37" s="201"/>
      <c r="L37" s="265"/>
      <c r="M37" s="202"/>
      <c r="N37" s="203"/>
      <c r="O37" s="203"/>
      <c r="P37" s="203"/>
      <c r="Q37" s="204"/>
      <c r="R37" s="198"/>
      <c r="S37" s="198"/>
      <c r="T37" s="205"/>
      <c r="U37" s="206"/>
      <c r="V37" s="207"/>
      <c r="W37" s="208"/>
      <c r="X37" s="209"/>
    </row>
    <row r="38" spans="1:24" s="210" customFormat="1" ht="31.5" hidden="1" customHeight="1" x14ac:dyDescent="0.2">
      <c r="A38" s="196"/>
      <c r="B38" s="196"/>
      <c r="C38" s="196"/>
      <c r="D38" s="197"/>
      <c r="E38" s="197"/>
      <c r="F38" s="198"/>
      <c r="G38" s="199"/>
      <c r="H38" s="197"/>
      <c r="I38" s="200"/>
      <c r="J38" s="249"/>
      <c r="K38" s="201"/>
      <c r="L38" s="265"/>
      <c r="M38" s="202"/>
      <c r="N38" s="203"/>
      <c r="O38" s="203"/>
      <c r="P38" s="203"/>
      <c r="Q38" s="204"/>
      <c r="R38" s="198"/>
      <c r="S38" s="198"/>
      <c r="T38" s="205"/>
      <c r="U38" s="206"/>
      <c r="V38" s="207"/>
      <c r="W38" s="208"/>
      <c r="X38" s="209"/>
    </row>
    <row r="39" spans="1:24" s="210" customFormat="1" ht="31.5" hidden="1" customHeight="1" x14ac:dyDescent="0.2">
      <c r="A39" s="196"/>
      <c r="B39" s="196"/>
      <c r="C39" s="196"/>
      <c r="D39" s="197"/>
      <c r="E39" s="197"/>
      <c r="F39" s="198"/>
      <c r="G39" s="199"/>
      <c r="H39" s="197"/>
      <c r="I39" s="200"/>
      <c r="J39" s="249"/>
      <c r="K39" s="201"/>
      <c r="L39" s="265"/>
      <c r="M39" s="202"/>
      <c r="N39" s="203"/>
      <c r="O39" s="203"/>
      <c r="P39" s="203"/>
      <c r="Q39" s="204"/>
      <c r="R39" s="198"/>
      <c r="S39" s="198"/>
      <c r="T39" s="205"/>
      <c r="U39" s="206"/>
      <c r="V39" s="207"/>
      <c r="W39" s="208"/>
      <c r="X39" s="209"/>
    </row>
    <row r="40" spans="1:24" s="210" customFormat="1" ht="31.5" hidden="1" customHeight="1" x14ac:dyDescent="0.2">
      <c r="A40" s="196"/>
      <c r="B40" s="196"/>
      <c r="C40" s="196"/>
      <c r="D40" s="197"/>
      <c r="E40" s="197"/>
      <c r="F40" s="198"/>
      <c r="G40" s="199"/>
      <c r="H40" s="197"/>
      <c r="I40" s="200"/>
      <c r="J40" s="249"/>
      <c r="K40" s="201"/>
      <c r="L40" s="265"/>
      <c r="M40" s="202"/>
      <c r="N40" s="203"/>
      <c r="O40" s="203"/>
      <c r="P40" s="203"/>
      <c r="Q40" s="204"/>
      <c r="R40" s="198"/>
      <c r="S40" s="198"/>
      <c r="T40" s="205"/>
      <c r="U40" s="206"/>
      <c r="V40" s="207"/>
      <c r="W40" s="208"/>
      <c r="X40" s="209"/>
    </row>
    <row r="41" spans="1:24" s="210" customFormat="1" ht="31.5" hidden="1" customHeight="1" x14ac:dyDescent="0.2">
      <c r="A41" s="196"/>
      <c r="B41" s="196"/>
      <c r="C41" s="196"/>
      <c r="D41" s="260"/>
      <c r="E41" s="197"/>
      <c r="F41" s="198"/>
      <c r="G41" s="199"/>
      <c r="H41" s="197"/>
      <c r="I41" s="200"/>
      <c r="J41" s="249"/>
      <c r="K41" s="201"/>
      <c r="L41" s="265"/>
      <c r="M41" s="202"/>
      <c r="N41" s="203"/>
      <c r="O41" s="203"/>
      <c r="P41" s="203"/>
      <c r="Q41" s="204"/>
      <c r="R41" s="198"/>
      <c r="S41" s="198"/>
      <c r="T41" s="205"/>
      <c r="U41" s="206"/>
      <c r="V41" s="207"/>
      <c r="W41" s="198"/>
      <c r="X41" s="238"/>
    </row>
    <row r="42" spans="1:24" s="210" customFormat="1" ht="31.5" hidden="1" customHeight="1" x14ac:dyDescent="0.2">
      <c r="A42" s="196"/>
      <c r="B42" s="196"/>
      <c r="C42" s="196"/>
      <c r="D42" s="260"/>
      <c r="E42" s="197"/>
      <c r="F42" s="198"/>
      <c r="G42" s="199"/>
      <c r="H42" s="197"/>
      <c r="I42" s="200"/>
      <c r="J42" s="249"/>
      <c r="K42" s="201"/>
      <c r="L42" s="265"/>
      <c r="M42" s="202"/>
      <c r="N42" s="203"/>
      <c r="O42" s="203"/>
      <c r="P42" s="203"/>
      <c r="Q42" s="204"/>
      <c r="R42" s="198"/>
      <c r="S42" s="198"/>
      <c r="T42" s="205"/>
      <c r="U42" s="206"/>
      <c r="V42" s="207"/>
      <c r="W42" s="198"/>
      <c r="X42" s="238"/>
    </row>
    <row r="43" spans="1:24" s="210" customFormat="1" ht="31.5" hidden="1" customHeight="1" x14ac:dyDescent="0.2">
      <c r="A43" s="196"/>
      <c r="B43" s="196"/>
      <c r="C43" s="196"/>
      <c r="D43" s="260"/>
      <c r="E43" s="197"/>
      <c r="F43" s="198"/>
      <c r="G43" s="199"/>
      <c r="H43" s="197"/>
      <c r="I43" s="200"/>
      <c r="J43" s="249"/>
      <c r="K43" s="201"/>
      <c r="L43" s="265"/>
      <c r="M43" s="202"/>
      <c r="N43" s="203"/>
      <c r="O43" s="203"/>
      <c r="P43" s="203"/>
      <c r="Q43" s="204"/>
      <c r="R43" s="198"/>
      <c r="S43" s="198"/>
      <c r="T43" s="205"/>
      <c r="U43" s="206"/>
      <c r="V43" s="207"/>
      <c r="W43" s="198"/>
      <c r="X43" s="238"/>
    </row>
    <row r="44" spans="1:24" s="284" customFormat="1" ht="31.5" hidden="1" customHeight="1" x14ac:dyDescent="0.2">
      <c r="A44" s="270"/>
      <c r="B44" s="270"/>
      <c r="C44" s="270"/>
      <c r="D44" s="271"/>
      <c r="E44" s="272"/>
      <c r="F44" s="273"/>
      <c r="G44" s="274"/>
      <c r="H44" s="197"/>
      <c r="I44" s="275"/>
      <c r="J44" s="276"/>
      <c r="K44" s="277"/>
      <c r="L44" s="278"/>
      <c r="M44" s="279"/>
      <c r="N44" s="277"/>
      <c r="O44" s="277"/>
      <c r="P44" s="277"/>
      <c r="Q44" s="277"/>
      <c r="R44" s="273"/>
      <c r="S44" s="273"/>
      <c r="T44" s="280"/>
      <c r="U44" s="281"/>
      <c r="V44" s="282"/>
      <c r="W44" s="273"/>
      <c r="X44" s="283"/>
    </row>
    <row r="45" spans="1:24" s="284" customFormat="1" ht="31.5" hidden="1" customHeight="1" x14ac:dyDescent="0.2">
      <c r="A45" s="270"/>
      <c r="B45" s="270"/>
      <c r="C45" s="270"/>
      <c r="D45" s="271"/>
      <c r="E45" s="272"/>
      <c r="F45" s="273"/>
      <c r="G45" s="274"/>
      <c r="H45" s="197"/>
      <c r="I45" s="275"/>
      <c r="J45" s="276"/>
      <c r="K45" s="277"/>
      <c r="L45" s="278"/>
      <c r="M45" s="279"/>
      <c r="N45" s="277"/>
      <c r="O45" s="277"/>
      <c r="P45" s="277"/>
      <c r="Q45" s="277"/>
      <c r="R45" s="273"/>
      <c r="S45" s="273"/>
      <c r="T45" s="280"/>
      <c r="U45" s="281"/>
      <c r="V45" s="282"/>
      <c r="W45" s="273"/>
      <c r="X45" s="283"/>
    </row>
    <row r="46" spans="1:24" s="210" customFormat="1" ht="31.5" customHeight="1" x14ac:dyDescent="0.2">
      <c r="A46" s="212"/>
      <c r="B46" s="212"/>
      <c r="C46" s="212"/>
      <c r="D46" s="212"/>
      <c r="E46" s="213"/>
      <c r="F46" s="212"/>
      <c r="G46" s="212"/>
      <c r="H46" s="214" t="s">
        <v>155</v>
      </c>
      <c r="I46" s="215">
        <f>SUM(I13:I43)</f>
        <v>22</v>
      </c>
      <c r="J46" s="248"/>
      <c r="K46" s="216"/>
      <c r="L46" s="264"/>
      <c r="M46" s="216"/>
      <c r="N46" s="217"/>
      <c r="O46" s="217"/>
      <c r="P46" s="217"/>
      <c r="Q46" s="213"/>
      <c r="R46" s="213"/>
      <c r="S46" s="213"/>
      <c r="T46" s="218">
        <f>SUM(T13:T45)</f>
        <v>26017.791666666664</v>
      </c>
      <c r="U46" s="219"/>
      <c r="V46" s="220">
        <f>SUM(V13:V45)</f>
        <v>7992.6655999999984</v>
      </c>
      <c r="W46" s="219"/>
      <c r="X46" s="220"/>
    </row>
    <row r="47" spans="1:24" s="210" customFormat="1" ht="31.5" customHeight="1" x14ac:dyDescent="0.2">
      <c r="A47" s="196"/>
      <c r="B47" s="196"/>
      <c r="C47" s="196"/>
      <c r="D47" s="197"/>
      <c r="E47" s="197"/>
      <c r="F47" s="198"/>
      <c r="G47" s="199"/>
      <c r="H47" s="221" t="s">
        <v>156</v>
      </c>
      <c r="I47" s="222"/>
      <c r="J47" s="250"/>
      <c r="K47" s="204"/>
      <c r="L47" s="266"/>
      <c r="M47" s="223"/>
      <c r="N47" s="204"/>
      <c r="O47" s="204"/>
      <c r="P47" s="204"/>
      <c r="Q47" s="224"/>
      <c r="R47" s="224"/>
      <c r="S47" s="224"/>
      <c r="T47" s="205"/>
      <c r="U47" s="224"/>
      <c r="V47" s="207"/>
      <c r="W47" s="224"/>
      <c r="X47" s="207"/>
    </row>
    <row r="48" spans="1:24" s="210" customFormat="1" ht="31.5" customHeight="1" x14ac:dyDescent="0.2">
      <c r="A48" s="212"/>
      <c r="B48" s="212"/>
      <c r="C48" s="212"/>
      <c r="D48" s="213"/>
      <c r="E48" s="213"/>
      <c r="F48" s="213"/>
      <c r="G48" s="213"/>
      <c r="H48" s="214" t="s">
        <v>162</v>
      </c>
      <c r="I48" s="215">
        <f>SUM(I15:I43)</f>
        <v>22</v>
      </c>
      <c r="J48" s="248"/>
      <c r="K48" s="216"/>
      <c r="L48" s="264"/>
      <c r="M48" s="216"/>
      <c r="N48" s="217"/>
      <c r="O48" s="217"/>
      <c r="P48" s="217"/>
      <c r="Q48" s="213"/>
      <c r="R48" s="213"/>
      <c r="S48" s="213"/>
      <c r="T48" s="218">
        <f>SUM(T15:T45)</f>
        <v>26017.791666666664</v>
      </c>
      <c r="U48" s="219"/>
      <c r="V48" s="220">
        <f>+V46+V47</f>
        <v>7992.6655999999984</v>
      </c>
      <c r="W48" s="219"/>
      <c r="X48" s="220"/>
    </row>
    <row r="49" spans="1:24" s="228" customFormat="1" ht="15" customHeight="1" x14ac:dyDescent="0.25">
      <c r="A49" s="225"/>
      <c r="B49" s="225"/>
      <c r="C49" s="225"/>
      <c r="D49" s="225"/>
      <c r="E49" s="225"/>
      <c r="F49" s="226"/>
      <c r="G49" s="225"/>
      <c r="H49" s="227"/>
      <c r="I49" s="227"/>
      <c r="J49" s="251"/>
      <c r="L49" s="267"/>
      <c r="V49" s="229"/>
      <c r="X49" s="230"/>
    </row>
    <row r="50" spans="1:24" s="228" customFormat="1" ht="15" customHeight="1" x14ac:dyDescent="0.25">
      <c r="A50" s="225" t="s">
        <v>218</v>
      </c>
      <c r="B50" s="225"/>
      <c r="C50" s="225"/>
      <c r="D50" s="225"/>
      <c r="E50" s="225"/>
      <c r="F50" s="226"/>
      <c r="G50" s="225"/>
      <c r="H50" s="227"/>
      <c r="I50" s="227"/>
      <c r="J50" s="251"/>
      <c r="L50" s="267"/>
      <c r="V50" s="229"/>
      <c r="X50" s="230"/>
    </row>
    <row r="51" spans="1:24" s="228" customFormat="1" ht="15" customHeight="1" x14ac:dyDescent="0.25">
      <c r="A51" s="225"/>
      <c r="B51" s="225"/>
      <c r="C51" s="225"/>
      <c r="D51" s="225"/>
      <c r="E51" s="225"/>
      <c r="F51" s="226"/>
      <c r="G51" s="225"/>
      <c r="H51" s="227"/>
      <c r="I51" s="227"/>
      <c r="J51" s="251"/>
      <c r="L51" s="267"/>
      <c r="V51" s="229"/>
      <c r="X51" s="230"/>
    </row>
    <row r="52" spans="1:24" s="228" customFormat="1" ht="15" customHeight="1" x14ac:dyDescent="0.25">
      <c r="A52" s="225" t="s">
        <v>219</v>
      </c>
      <c r="B52" s="225"/>
      <c r="C52" s="225"/>
      <c r="D52" s="225"/>
      <c r="E52" s="225"/>
      <c r="F52" s="226"/>
      <c r="G52" s="225"/>
      <c r="H52" s="227"/>
      <c r="I52" s="227"/>
      <c r="J52" s="251"/>
      <c r="L52" s="267"/>
      <c r="V52" s="229"/>
      <c r="X52" s="230"/>
    </row>
    <row r="53" spans="1:24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252"/>
      <c r="K53" s="35"/>
      <c r="L53" s="268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4" ht="15" customHeight="1" x14ac:dyDescent="0.25">
      <c r="A54" s="48"/>
      <c r="B54" s="48"/>
      <c r="C54" s="48"/>
      <c r="D54" s="48"/>
      <c r="E54" s="48"/>
      <c r="F54" s="84"/>
      <c r="G54" s="48"/>
      <c r="H54" s="85"/>
      <c r="I54" s="85"/>
      <c r="J54" s="252"/>
      <c r="K54" s="35"/>
      <c r="L54" s="268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4" ht="15" customHeight="1" x14ac:dyDescent="0.25">
      <c r="A55" s="86"/>
      <c r="B55" s="318"/>
      <c r="C55" s="318"/>
      <c r="D55" s="318"/>
      <c r="E55" s="318"/>
      <c r="F55" s="318"/>
      <c r="G55" s="318"/>
      <c r="H55" s="318"/>
      <c r="I55" s="318"/>
      <c r="J55" s="318"/>
      <c r="K55" s="35"/>
      <c r="L55" s="268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4" ht="15" customHeight="1" x14ac:dyDescent="0.25">
      <c r="A56" s="86"/>
      <c r="B56" s="319"/>
      <c r="C56" s="319"/>
      <c r="D56" s="319"/>
      <c r="E56" s="319"/>
      <c r="F56" s="319"/>
      <c r="G56" s="319"/>
      <c r="H56" s="319"/>
      <c r="I56" s="319"/>
      <c r="J56" s="319"/>
      <c r="K56" s="35"/>
      <c r="L56" s="268"/>
      <c r="M56" s="35"/>
      <c r="N56" s="35"/>
      <c r="O56" s="35"/>
      <c r="P56" s="35"/>
      <c r="Q56" s="35"/>
      <c r="R56" s="35"/>
      <c r="S56" s="35"/>
      <c r="T56" s="35"/>
      <c r="U56" s="35"/>
      <c r="V56" s="89"/>
    </row>
  </sheetData>
  <mergeCells count="5">
    <mergeCell ref="A7:E7"/>
    <mergeCell ref="F7:G7"/>
    <mergeCell ref="R9:S9"/>
    <mergeCell ref="B55:J55"/>
    <mergeCell ref="B56:J56"/>
  </mergeCells>
  <pageMargins left="0" right="0" top="1" bottom="0" header="0.511811023622047" footer="0.511811023622047"/>
  <pageSetup paperSize="9" scale="39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colBreaks count="2" manualBreakCount="2">
    <brk id="4" max="1048575" man="1"/>
    <brk id="6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xr:uid="{4267E924-349E-412C-9E85-EEB6EC9DC559}">
          <x14:formula1>
            <xm:f>CODE_MASTER_AS!$A$3:$A$14</xm:f>
          </x14:formula1>
          <xm:sqref>C47:C48 F46:G46 C15:C45</xm:sqref>
        </x14:dataValidation>
        <x14:dataValidation type="list" allowBlank="1" xr:uid="{EA40C95E-310D-4F09-B772-0F6E5CA14ABC}">
          <x14:formula1>
            <xm:f>LISTS!$B$2:$B$8</xm:f>
          </x14:formula1>
          <x14:formula2>
            <xm:f>0</xm:f>
          </x14:formula2>
          <xm:sqref>H15:H48</xm:sqref>
        </x14:dataValidation>
        <x14:dataValidation type="list" allowBlank="1" xr:uid="{69A4E2F5-3245-4FD6-8A0F-8259E970C0E9}">
          <x14:formula1>
            <xm:f>'SIZE GUIDE'!$A$3:$A$38</xm:f>
          </x14:formula1>
          <xm:sqref>E15:E48</xm:sqref>
        </x14:dataValidation>
        <x14:dataValidation type="list" allowBlank="1" showInputMessage="1" showErrorMessage="1" xr:uid="{9DB32F56-6995-4F17-9664-3DA79ED1A2E7}">
          <x14:formula1>
            <xm:f>'SIZE GUIDE'!$B:$B</xm:f>
          </x14:formula1>
          <xm:sqref>G46 F15:F48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275D3-E58D-41B8-923C-15893F191056}">
  <sheetPr codeName="Sheet38">
    <pageSetUpPr fitToPage="1"/>
  </sheetPr>
  <dimension ref="A1:AH56"/>
  <sheetViews>
    <sheetView showGridLines="0" tabSelected="1" zoomScale="93" zoomScaleNormal="68" zoomScaleSheetLayoutView="80" workbookViewId="0">
      <selection activeCell="S22" sqref="S22"/>
    </sheetView>
  </sheetViews>
  <sheetFormatPr baseColWidth="10" defaultColWidth="8.6640625" defaultRowHeight="15" customHeight="1" x14ac:dyDescent="0.2"/>
  <cols>
    <col min="1" max="1" width="6.5" style="16" customWidth="1"/>
    <col min="2" max="2" width="23.6640625" style="15" hidden="1" customWidth="1"/>
    <col min="3" max="3" width="18" style="16" customWidth="1"/>
    <col min="4" max="4" width="25" style="16" hidden="1" customWidth="1"/>
    <col min="5" max="5" width="16.83203125" style="16" customWidth="1"/>
    <col min="6" max="6" width="15.33203125" style="16" customWidth="1"/>
    <col min="7" max="7" width="23.5" style="16" bestFit="1" customWidth="1"/>
    <col min="8" max="9" width="10.6640625" style="16" customWidth="1"/>
    <col min="10" max="10" width="10.6640625" style="15" customWidth="1"/>
    <col min="11" max="11" width="10.6640625" style="16" customWidth="1"/>
    <col min="12" max="12" width="10.6640625" style="269" customWidth="1"/>
    <col min="13" max="13" width="10.6640625" style="16" customWidth="1"/>
    <col min="14" max="16" width="10.6640625" style="16" hidden="1" customWidth="1"/>
    <col min="17" max="19" width="10.6640625" style="16" customWidth="1"/>
    <col min="20" max="20" width="14.6640625" style="16" customWidth="1"/>
    <col min="21" max="21" width="14.1640625" style="16" customWidth="1"/>
    <col min="22" max="22" width="14.5" style="98" customWidth="1"/>
    <col min="23" max="23" width="28.1640625" style="16" customWidth="1"/>
    <col min="24" max="24" width="20.33203125" style="23" customWidth="1"/>
    <col min="25" max="16384" width="8.6640625" style="16"/>
  </cols>
  <sheetData>
    <row r="1" spans="1:24" s="14" customFormat="1" ht="27" customHeight="1" x14ac:dyDescent="0.2">
      <c r="A1" s="13"/>
      <c r="B1" s="13"/>
      <c r="C1" s="13"/>
      <c r="D1" s="13"/>
      <c r="E1" s="13"/>
      <c r="F1" s="13"/>
      <c r="G1" s="13"/>
      <c r="H1" s="13"/>
      <c r="I1" s="13"/>
      <c r="J1" s="245"/>
      <c r="K1" s="29"/>
      <c r="L1" s="261"/>
      <c r="M1" s="29" t="s">
        <v>204</v>
      </c>
      <c r="N1" s="27"/>
      <c r="O1" s="27"/>
      <c r="P1" s="27"/>
      <c r="Q1" s="13"/>
      <c r="R1" s="13"/>
      <c r="S1" s="13"/>
      <c r="T1" s="13"/>
      <c r="U1" s="13"/>
      <c r="V1" s="22"/>
      <c r="W1" s="13"/>
      <c r="X1" s="22"/>
    </row>
    <row r="2" spans="1:24" s="14" customFormat="1" ht="33.75" customHeight="1" x14ac:dyDescent="0.2">
      <c r="A2" s="13"/>
      <c r="B2" s="13"/>
      <c r="C2" s="13"/>
      <c r="D2" s="13"/>
      <c r="E2" s="13"/>
      <c r="F2" s="13"/>
      <c r="J2" s="246"/>
      <c r="K2" s="31"/>
      <c r="L2" s="261"/>
      <c r="M2" s="32" t="s">
        <v>161</v>
      </c>
      <c r="N2" s="27"/>
      <c r="O2" s="27"/>
      <c r="P2" s="28" t="s">
        <v>160</v>
      </c>
      <c r="R2" s="20"/>
      <c r="S2" s="21"/>
      <c r="U2" s="13"/>
      <c r="V2" s="20"/>
      <c r="W2" s="20"/>
      <c r="X2" s="20" t="s">
        <v>151</v>
      </c>
    </row>
    <row r="3" spans="1:24" ht="15" customHeight="1" x14ac:dyDescent="0.25">
      <c r="A3" s="33" t="s">
        <v>144</v>
      </c>
      <c r="B3" s="34"/>
      <c r="C3" s="35"/>
      <c r="D3" s="35"/>
      <c r="E3" s="35"/>
      <c r="F3" s="36"/>
      <c r="G3" s="35"/>
      <c r="H3" s="35"/>
      <c r="I3" s="35"/>
      <c r="J3" s="247"/>
      <c r="K3" s="37"/>
      <c r="L3" s="262"/>
      <c r="M3" s="37"/>
      <c r="N3" s="38"/>
      <c r="O3" s="38"/>
      <c r="P3" s="38"/>
      <c r="Q3" s="39"/>
      <c r="R3" s="39"/>
      <c r="S3" s="39"/>
      <c r="T3" s="35"/>
      <c r="U3" s="36"/>
      <c r="V3" s="39"/>
      <c r="W3" s="13"/>
      <c r="X3" s="22"/>
    </row>
    <row r="4" spans="1:24" ht="21" customHeight="1" x14ac:dyDescent="0.25">
      <c r="A4" s="33" t="s">
        <v>145</v>
      </c>
      <c r="B4" s="34"/>
      <c r="C4" s="40"/>
      <c r="D4" s="35"/>
      <c r="E4" s="35"/>
      <c r="F4" s="36"/>
      <c r="G4" s="35"/>
      <c r="H4" s="35"/>
      <c r="I4" s="35"/>
      <c r="J4" s="247"/>
      <c r="K4" s="37"/>
      <c r="L4" s="262"/>
      <c r="M4" s="37"/>
      <c r="N4" s="38"/>
      <c r="O4" s="38"/>
      <c r="P4" s="38"/>
      <c r="Q4" s="39"/>
      <c r="R4" s="39"/>
      <c r="S4" s="39"/>
      <c r="T4" s="35"/>
      <c r="U4" s="36"/>
      <c r="V4" s="39"/>
      <c r="W4" s="13"/>
      <c r="X4" s="22"/>
    </row>
    <row r="5" spans="1:24" ht="21" customHeight="1" x14ac:dyDescent="0.25">
      <c r="A5" s="33" t="s">
        <v>146</v>
      </c>
      <c r="B5" s="34"/>
      <c r="C5" s="34"/>
      <c r="D5" s="35"/>
      <c r="E5" s="35"/>
      <c r="F5" s="36"/>
      <c r="G5" s="35"/>
      <c r="H5" s="35"/>
      <c r="I5" s="35"/>
      <c r="J5" s="247"/>
      <c r="K5" s="37"/>
      <c r="L5" s="262"/>
      <c r="M5" s="37"/>
      <c r="N5" s="38"/>
      <c r="O5" s="38"/>
      <c r="P5" s="38"/>
      <c r="Q5" s="39"/>
      <c r="R5" s="39"/>
      <c r="S5" s="39"/>
      <c r="T5" s="35"/>
      <c r="U5" s="36"/>
      <c r="V5" s="39"/>
      <c r="W5" s="13"/>
      <c r="X5" s="22"/>
    </row>
    <row r="6" spans="1:24" ht="21" customHeight="1" x14ac:dyDescent="0.25">
      <c r="A6" s="41"/>
      <c r="B6" s="34"/>
      <c r="C6" s="34"/>
      <c r="D6" s="35"/>
      <c r="E6" s="35"/>
      <c r="F6" s="36"/>
      <c r="G6" s="35"/>
      <c r="H6" s="35"/>
      <c r="I6" s="35"/>
      <c r="J6" s="247"/>
      <c r="K6" s="37"/>
      <c r="L6" s="262"/>
      <c r="M6" s="37"/>
      <c r="N6" s="38"/>
      <c r="O6" s="38"/>
      <c r="P6" s="38"/>
      <c r="Q6" s="39"/>
      <c r="R6" s="39"/>
      <c r="S6" s="39"/>
      <c r="T6" s="35"/>
      <c r="U6" s="36"/>
      <c r="V6" s="39"/>
      <c r="W6" s="13"/>
      <c r="X6" s="22"/>
    </row>
    <row r="7" spans="1:24" ht="15" customHeight="1" x14ac:dyDescent="0.25">
      <c r="A7" s="315" t="s">
        <v>143</v>
      </c>
      <c r="B7" s="315"/>
      <c r="C7" s="315"/>
      <c r="D7" s="315"/>
      <c r="E7" s="315"/>
      <c r="F7" s="316"/>
      <c r="G7" s="316"/>
      <c r="H7" s="35"/>
      <c r="I7" s="35"/>
      <c r="J7" s="247"/>
      <c r="K7" s="37"/>
      <c r="L7" s="262"/>
      <c r="M7" s="37"/>
      <c r="N7" s="38"/>
      <c r="O7" s="38"/>
      <c r="P7" s="38"/>
      <c r="Q7" s="231" t="s">
        <v>147</v>
      </c>
      <c r="R7" s="231"/>
      <c r="S7" s="231"/>
      <c r="T7" s="231"/>
      <c r="U7" s="231"/>
      <c r="V7" s="231" t="s">
        <v>148</v>
      </c>
      <c r="W7" s="231"/>
      <c r="X7" s="231"/>
    </row>
    <row r="8" spans="1:24" ht="15" customHeight="1" x14ac:dyDescent="0.25">
      <c r="A8" s="44" t="s">
        <v>212</v>
      </c>
      <c r="B8" s="45"/>
      <c r="C8" s="45"/>
      <c r="D8" s="46"/>
      <c r="E8" s="46"/>
      <c r="F8" s="36"/>
      <c r="G8" s="46"/>
      <c r="H8" s="35"/>
      <c r="I8" s="35"/>
      <c r="J8" s="247"/>
      <c r="K8" s="37"/>
      <c r="L8" s="262"/>
      <c r="M8" s="37"/>
      <c r="N8" s="38"/>
      <c r="O8" s="38"/>
      <c r="P8" s="38"/>
      <c r="Q8" s="190"/>
      <c r="R8" s="191"/>
      <c r="S8" s="192"/>
      <c r="T8" s="193"/>
      <c r="U8" s="194"/>
      <c r="V8" s="195">
        <v>46223</v>
      </c>
      <c r="W8" s="232"/>
      <c r="X8" s="233"/>
    </row>
    <row r="9" spans="1:24" ht="15" customHeight="1" x14ac:dyDescent="0.25">
      <c r="A9" s="46"/>
      <c r="B9" s="45"/>
      <c r="C9" s="46"/>
      <c r="D9" s="35"/>
      <c r="E9" s="46"/>
      <c r="F9" s="36"/>
      <c r="G9" s="46"/>
      <c r="H9" s="35"/>
      <c r="I9" s="35"/>
      <c r="J9" s="247"/>
      <c r="K9" s="37"/>
      <c r="L9" s="262"/>
      <c r="M9" s="37"/>
      <c r="N9" s="38"/>
      <c r="O9" s="38"/>
      <c r="P9" s="38"/>
      <c r="Q9" s="225"/>
      <c r="R9" s="317"/>
      <c r="S9" s="317"/>
      <c r="T9" s="228"/>
      <c r="U9" s="234"/>
      <c r="V9" s="235"/>
      <c r="W9" s="232"/>
      <c r="X9" s="233"/>
    </row>
    <row r="10" spans="1:24" ht="15" customHeight="1" x14ac:dyDescent="0.25">
      <c r="A10" s="189" t="s">
        <v>231</v>
      </c>
      <c r="B10" s="45"/>
      <c r="C10" s="46"/>
      <c r="D10" s="35"/>
      <c r="E10" s="46"/>
      <c r="F10" s="36"/>
      <c r="G10" s="46"/>
      <c r="H10" s="35"/>
      <c r="I10" s="35"/>
      <c r="J10" s="247"/>
      <c r="K10" s="37"/>
      <c r="L10" s="262"/>
      <c r="M10" s="37"/>
      <c r="N10" s="38"/>
      <c r="O10" s="38"/>
      <c r="P10" s="38"/>
      <c r="Q10" s="236" t="s">
        <v>149</v>
      </c>
      <c r="R10" s="231"/>
      <c r="S10" s="231"/>
      <c r="T10" s="231"/>
      <c r="U10" s="231"/>
      <c r="V10" s="231" t="s">
        <v>150</v>
      </c>
      <c r="W10" s="231"/>
      <c r="X10" s="231"/>
    </row>
    <row r="11" spans="1:24" ht="15" customHeight="1" x14ac:dyDescent="0.25">
      <c r="A11" s="188" t="s">
        <v>288</v>
      </c>
      <c r="B11" s="34"/>
      <c r="C11" s="35"/>
      <c r="D11" s="35"/>
      <c r="E11" s="46"/>
      <c r="F11" s="46"/>
      <c r="G11" s="46"/>
      <c r="H11" s="35"/>
      <c r="I11" s="35"/>
      <c r="J11" s="247"/>
      <c r="K11" s="37"/>
      <c r="L11" s="262"/>
      <c r="M11" s="37"/>
      <c r="N11" s="38"/>
      <c r="O11" s="38"/>
      <c r="P11" s="38"/>
      <c r="Q11" s="190" t="s">
        <v>331</v>
      </c>
      <c r="R11" s="190"/>
      <c r="S11" s="190"/>
      <c r="T11" s="193"/>
      <c r="U11" s="194"/>
      <c r="V11" s="190"/>
      <c r="W11" s="232"/>
      <c r="X11" s="233"/>
    </row>
    <row r="12" spans="1:24" ht="15" customHeight="1" x14ac:dyDescent="0.25">
      <c r="A12" s="46"/>
      <c r="B12" s="34"/>
      <c r="C12" s="35"/>
      <c r="D12" s="35"/>
      <c r="E12" s="46"/>
      <c r="F12" s="46"/>
      <c r="G12" s="46"/>
      <c r="H12" s="35"/>
      <c r="I12" s="35"/>
      <c r="J12" s="247"/>
      <c r="K12" s="37"/>
      <c r="L12" s="262"/>
      <c r="M12" s="37"/>
      <c r="N12" s="38"/>
      <c r="O12" s="38"/>
      <c r="P12" s="38"/>
      <c r="Q12" s="190"/>
      <c r="R12" s="190"/>
      <c r="S12" s="190"/>
      <c r="T12" s="190"/>
      <c r="U12" s="194"/>
      <c r="V12" s="237"/>
      <c r="W12" s="232"/>
      <c r="X12" s="233"/>
    </row>
    <row r="13" spans="1:24" ht="15" hidden="1" customHeight="1" x14ac:dyDescent="0.25">
      <c r="A13" s="35"/>
      <c r="B13" s="34"/>
      <c r="C13" s="35"/>
      <c r="D13" s="35"/>
      <c r="E13" s="35"/>
      <c r="F13" s="35"/>
      <c r="G13" s="35"/>
      <c r="H13" s="35"/>
      <c r="I13" s="35"/>
      <c r="J13" s="34"/>
      <c r="K13" s="50"/>
      <c r="L13" s="263" t="s">
        <v>137</v>
      </c>
      <c r="M13" s="50"/>
      <c r="N13" s="51"/>
      <c r="O13" s="51" t="s">
        <v>138</v>
      </c>
      <c r="P13" s="51"/>
      <c r="Q13" s="52"/>
      <c r="R13" s="52" t="s">
        <v>134</v>
      </c>
      <c r="S13" s="52"/>
      <c r="T13" s="35"/>
      <c r="U13" s="35"/>
      <c r="V13" s="89"/>
      <c r="W13" s="16" t="s">
        <v>142</v>
      </c>
    </row>
    <row r="14" spans="1:24" s="210" customFormat="1" ht="39.75" customHeight="1" x14ac:dyDescent="0.2">
      <c r="A14" s="212" t="s">
        <v>158</v>
      </c>
      <c r="B14" s="212" t="s">
        <v>0</v>
      </c>
      <c r="C14" s="212" t="s">
        <v>1</v>
      </c>
      <c r="D14" s="213" t="s">
        <v>135</v>
      </c>
      <c r="E14" s="213" t="s">
        <v>157</v>
      </c>
      <c r="F14" s="213" t="s">
        <v>3</v>
      </c>
      <c r="G14" s="213" t="s">
        <v>152</v>
      </c>
      <c r="H14" s="213" t="s">
        <v>105</v>
      </c>
      <c r="I14" s="213" t="s">
        <v>5</v>
      </c>
      <c r="J14" s="248" t="s">
        <v>64</v>
      </c>
      <c r="K14" s="216" t="s">
        <v>136</v>
      </c>
      <c r="L14" s="264" t="s">
        <v>24</v>
      </c>
      <c r="M14" s="216" t="s">
        <v>108</v>
      </c>
      <c r="N14" s="217" t="s">
        <v>136</v>
      </c>
      <c r="O14" s="217" t="s">
        <v>24</v>
      </c>
      <c r="P14" s="259" t="s">
        <v>108</v>
      </c>
      <c r="Q14" s="213" t="s">
        <v>136</v>
      </c>
      <c r="R14" s="213" t="s">
        <v>24</v>
      </c>
      <c r="S14" s="213" t="s">
        <v>108</v>
      </c>
      <c r="T14" s="218" t="s">
        <v>159</v>
      </c>
      <c r="U14" s="219" t="s">
        <v>6</v>
      </c>
      <c r="V14" s="220" t="s">
        <v>7</v>
      </c>
      <c r="W14" s="220" t="s">
        <v>140</v>
      </c>
      <c r="X14" s="220" t="s">
        <v>141</v>
      </c>
    </row>
    <row r="15" spans="1:24" s="210" customFormat="1" ht="31.5" customHeight="1" x14ac:dyDescent="0.2">
      <c r="A15" s="196">
        <v>1</v>
      </c>
      <c r="B15" s="196"/>
      <c r="C15" s="196" t="s">
        <v>89</v>
      </c>
      <c r="D15" s="197"/>
      <c r="E15" s="197" t="s">
        <v>11</v>
      </c>
      <c r="F15" s="198" t="s">
        <v>123</v>
      </c>
      <c r="G15" s="199" t="str">
        <f>IF(COUNTIFS($C$15:C15,C15,$H$15:H15,H15)=1,
SUMIFS($I$15:$I$43,$C$15:$C$43,C15,$H$15:$H$43,H15)&amp;H15&amp;" "&amp;C15,
"")</f>
        <v>3F CFN30100W</v>
      </c>
      <c r="H15" s="250" t="s">
        <v>14</v>
      </c>
      <c r="I15" s="200">
        <v>1</v>
      </c>
      <c r="J15" s="249"/>
      <c r="K15" s="201" cm="1">
        <f t="array" ref="K15">IF(E15="untrim",_xlfn.XLOOKUP(1,(TRIM('SIZE GUIDE'!$A$3:$A$2015)=TRIM(E15))*(TRIM('SIZE GUIDE'!$B$3:$B$2015)=TRIM(F15))*(TRIM('SIZE GUIDE'!$C$3:$C$2015)=TRIM(H15)),'SIZE GUIDE'!$D$3:$D$2015),"")</f>
        <v>76</v>
      </c>
      <c r="L15" s="265" cm="1">
        <f t="array" ref="L15">IF(E15="untrim",IFERROR(INDEX('SIZE GUIDE'!$E:$E,MATCH(1,('SIZE GUIDE'!$A:$A=$E15)*('SIZE GUIDE'!$B:$B=$F15)*('SIZE GUIDE'!$C:$C=$H15),0)),""),"")</f>
        <v>55</v>
      </c>
      <c r="M15" s="202">
        <v>34.5</v>
      </c>
      <c r="N15" s="203"/>
      <c r="O15" s="203" t="str" cm="1">
        <f t="array" ref="O15">IF(E15="trim",IFERROR(INDEX('SIZE GUIDE'!$E:$E,MATCH(1,('SIZE GUIDE'!$A:$A=$E15)*('SIZE GUIDE'!$B:$B=$F15)*('SIZE GUIDE'!$C:$C=$H15),0)),""),"")</f>
        <v/>
      </c>
      <c r="P15" s="203"/>
      <c r="Q15" s="204">
        <f t="shared" ref="Q15:Q33" si="0">IF(E15="untrim",K15-1.5,N15)</f>
        <v>74.5</v>
      </c>
      <c r="R15" s="198">
        <f t="shared" ref="R15:R33" si="1">IF(E15="untrim",L15-1.5,O15)</f>
        <v>53.5</v>
      </c>
      <c r="S15" s="198">
        <f t="shared" ref="S15:S20" si="2">IF(E15="untrim",M15-0.5,P15-0.5)</f>
        <v>34</v>
      </c>
      <c r="T15" s="205">
        <f>IFERROR(Q15*R15*S15/144*I15,"")</f>
        <v>941.07986111111109</v>
      </c>
      <c r="U15" s="206">
        <f>SUMIFS(CODE_PRICE!F:F,CODE_PRICE!B:B,C15,CODE_PRICE!A:A,$A$8)</f>
        <v>0.1895</v>
      </c>
      <c r="V15" s="207">
        <f t="shared" ref="V15:V33" si="3">T15*U15</f>
        <v>178.33463368055556</v>
      </c>
      <c r="W15" s="208" t="str">
        <f>IF(COUNTIF($C$15:C15,C15)=1,C15 &amp; " - " &amp; TEXT(SUMIF($C:$C,C15,$T:$T),"0.00"),"")</f>
        <v>CFN30100W - 27969.03</v>
      </c>
      <c r="X15" s="209">
        <f>IF(COUNTIF($C$15:C15,C15)=1,ROUND(SUMIF($C:$C,C15,$V:$V),2), "")</f>
        <v>5300.13</v>
      </c>
    </row>
    <row r="16" spans="1:24" s="210" customFormat="1" ht="31.5" customHeight="1" x14ac:dyDescent="0.2">
      <c r="A16" s="196">
        <f>A15+1</f>
        <v>2</v>
      </c>
      <c r="B16" s="196"/>
      <c r="C16" s="196" t="s">
        <v>89</v>
      </c>
      <c r="D16" s="197"/>
      <c r="E16" s="197" t="s">
        <v>11</v>
      </c>
      <c r="F16" s="198" t="s">
        <v>123</v>
      </c>
      <c r="G16" s="199" t="str">
        <f>IF(COUNTIFS($C$15:C16,C16,$H$15:H16,H16)=1,
SUMIFS($I$15:$I$43,$C$15:$C$43,C16,$H$15:$H$43,H16)&amp;H16&amp;" "&amp;C16,
"")</f>
        <v/>
      </c>
      <c r="H16" s="250" t="s">
        <v>14</v>
      </c>
      <c r="I16" s="200">
        <v>1</v>
      </c>
      <c r="J16" s="249"/>
      <c r="K16" s="201" cm="1">
        <f t="array" ref="K16">IF(E16="untrim",_xlfn.XLOOKUP(1,(TRIM('SIZE GUIDE'!$A$3:$A$2015)=TRIM(E16))*(TRIM('SIZE GUIDE'!$B$3:$B$2015)=TRIM(F16))*(TRIM('SIZE GUIDE'!$C$3:$C$2015)=TRIM(H16)),'SIZE GUIDE'!$D$3:$D$2015),"")</f>
        <v>76</v>
      </c>
      <c r="L16" s="265" cm="1">
        <f t="array" ref="L16">IF(E16="untrim",IFERROR(INDEX('SIZE GUIDE'!$E:$E,MATCH(1,('SIZE GUIDE'!$A:$A=$E16)*('SIZE GUIDE'!$B:$B=$F16)*('SIZE GUIDE'!$C:$C=$H16),0)),""),"")</f>
        <v>55</v>
      </c>
      <c r="M16" s="202">
        <v>35.5</v>
      </c>
      <c r="N16" s="203"/>
      <c r="O16" s="203" t="str" cm="1">
        <f t="array" ref="O16">IF(E16="trim",IFERROR(INDEX('SIZE GUIDE'!$E:$E,MATCH(1,('SIZE GUIDE'!$A:$A=$E16)*('SIZE GUIDE'!$B:$B=$F16)*('SIZE GUIDE'!$C:$C=$H16),0)),""),"")</f>
        <v/>
      </c>
      <c r="P16" s="203"/>
      <c r="Q16" s="204">
        <f t="shared" si="0"/>
        <v>74.5</v>
      </c>
      <c r="R16" s="198">
        <f t="shared" si="1"/>
        <v>53.5</v>
      </c>
      <c r="S16" s="198">
        <f t="shared" si="2"/>
        <v>35</v>
      </c>
      <c r="T16" s="205">
        <f t="shared" ref="T16:T33" si="4">IFERROR(Q16*R16*S16/144*I16,"")</f>
        <v>968.75868055555554</v>
      </c>
      <c r="U16" s="206">
        <f>SUMIFS(CODE_PRICE!F:F,CODE_PRICE!B:B,C16,CODE_PRICE!A:A,$A$8)</f>
        <v>0.1895</v>
      </c>
      <c r="V16" s="207">
        <f t="shared" si="3"/>
        <v>183.57976996527779</v>
      </c>
      <c r="W16" s="208" t="str">
        <f>IF(COUNTIF($C$15:C16,C16)=1,C16 &amp; " - " &amp; TEXT(SUMIF($C:$C,C16,$T:$T),"0.00"),"")</f>
        <v/>
      </c>
      <c r="X16" s="209" t="str">
        <f>IF(COUNTIF($C$15:C16,C16)=1,ROUND(SUMIF($C:$C,C16,$V:$V),2), "")</f>
        <v/>
      </c>
    </row>
    <row r="17" spans="1:34" s="210" customFormat="1" ht="31.5" customHeight="1" x14ac:dyDescent="0.2">
      <c r="A17" s="196">
        <f t="shared" ref="A17:A38" si="5">A16+1</f>
        <v>3</v>
      </c>
      <c r="B17" s="196"/>
      <c r="C17" s="196" t="s">
        <v>89</v>
      </c>
      <c r="D17" s="197"/>
      <c r="E17" s="197" t="s">
        <v>11</v>
      </c>
      <c r="F17" s="198" t="s">
        <v>123</v>
      </c>
      <c r="G17" s="199" t="str">
        <f>IF(COUNTIFS($C$15:C17,C17,$H$15:H17,H17)=1,
SUMIFS($I$15:$I$43,$C$15:$C$43,C17,$H$15:$H$43,H17)&amp;H17&amp;" "&amp;C17,
"")</f>
        <v/>
      </c>
      <c r="H17" s="250" t="s">
        <v>14</v>
      </c>
      <c r="I17" s="200">
        <v>1</v>
      </c>
      <c r="J17" s="249"/>
      <c r="K17" s="201" cm="1">
        <f t="array" ref="K17">IF(E17="untrim",_xlfn.XLOOKUP(1,(TRIM('SIZE GUIDE'!$A$3:$A$2015)=TRIM(E17))*(TRIM('SIZE GUIDE'!$B$3:$B$2015)=TRIM(F17))*(TRIM('SIZE GUIDE'!$C$3:$C$2015)=TRIM(H17)),'SIZE GUIDE'!$D$3:$D$2015),"")</f>
        <v>76</v>
      </c>
      <c r="L17" s="265" cm="1">
        <f t="array" ref="L17">IF(E17="untrim",IFERROR(INDEX('SIZE GUIDE'!$E:$E,MATCH(1,('SIZE GUIDE'!$A:$A=$E17)*('SIZE GUIDE'!$B:$B=$F17)*('SIZE GUIDE'!$C:$C=$H17),0)),""),"")</f>
        <v>55</v>
      </c>
      <c r="M17" s="202">
        <v>35</v>
      </c>
      <c r="N17" s="203"/>
      <c r="O17" s="203" t="str" cm="1">
        <f t="array" ref="O17">IF(E17="trim",IFERROR(INDEX('SIZE GUIDE'!$E:$E,MATCH(1,('SIZE GUIDE'!$A:$A=$E17)*('SIZE GUIDE'!$B:$B=$F17)*('SIZE GUIDE'!$C:$C=$H17),0)),""),"")</f>
        <v/>
      </c>
      <c r="P17" s="203"/>
      <c r="Q17" s="204">
        <f t="shared" si="0"/>
        <v>74.5</v>
      </c>
      <c r="R17" s="198">
        <f t="shared" si="1"/>
        <v>53.5</v>
      </c>
      <c r="S17" s="198">
        <f t="shared" si="2"/>
        <v>34.5</v>
      </c>
      <c r="T17" s="205">
        <f t="shared" si="4"/>
        <v>954.91927083333337</v>
      </c>
      <c r="U17" s="206">
        <f>SUMIFS(CODE_PRICE!F:F,CODE_PRICE!B:B,C17,CODE_PRICE!A:A,$A$8)</f>
        <v>0.1895</v>
      </c>
      <c r="V17" s="207">
        <f t="shared" si="3"/>
        <v>180.95720182291669</v>
      </c>
      <c r="W17" s="208" t="str">
        <f>IF(COUNTIF($C$15:C17,C17)=1,C17 &amp; " - " &amp; TEXT(SUMIF($C:$C,C17,$T:$T),"0.00"),"")</f>
        <v/>
      </c>
      <c r="X17" s="209" t="str">
        <f>IF(COUNTIF($C$15:C17,C17)=1,ROUND(SUMIF($C:$C,C17,$V:$V),2), "")</f>
        <v/>
      </c>
    </row>
    <row r="18" spans="1:34" s="210" customFormat="1" ht="31.5" customHeight="1" x14ac:dyDescent="0.2">
      <c r="A18" s="196">
        <f t="shared" si="5"/>
        <v>4</v>
      </c>
      <c r="B18" s="196"/>
      <c r="C18" s="196" t="s">
        <v>89</v>
      </c>
      <c r="D18" s="197"/>
      <c r="E18" s="197" t="s">
        <v>11</v>
      </c>
      <c r="F18" s="198" t="s">
        <v>123</v>
      </c>
      <c r="G18" s="199" t="str">
        <f>IF(COUNTIFS($C$15:C18,C18,$H$15:H18,H18)=1,
SUMIFS($I$15:$I$43,$C$15:$C$43,C18,$H$15:$H$43,H18)&amp;H18&amp;" "&amp;C18,
"")</f>
        <v>10Q CFN30100W</v>
      </c>
      <c r="H18" s="250" t="s">
        <v>16</v>
      </c>
      <c r="I18" s="200">
        <v>1</v>
      </c>
      <c r="J18" s="249"/>
      <c r="K18" s="201" cm="1">
        <f t="array" ref="K18">IF(E18="untrim",_xlfn.XLOOKUP(1,(TRIM('SIZE GUIDE'!$A$3:$A$2015)=TRIM(E18))*(TRIM('SIZE GUIDE'!$B$3:$B$2015)=TRIM(F18))*(TRIM('SIZE GUIDE'!$C$3:$C$2015)=TRIM(H18)),'SIZE GUIDE'!$D$3:$D$2015),"")</f>
        <v>81</v>
      </c>
      <c r="L18" s="265" cm="1">
        <f t="array" ref="L18">IF(E18="untrim",IFERROR(INDEX('SIZE GUIDE'!$E:$E,MATCH(1,('SIZE GUIDE'!$A:$A=$E18)*('SIZE GUIDE'!$B:$B=$F18)*('SIZE GUIDE'!$C:$C=$H18),0)),""),"")</f>
        <v>61</v>
      </c>
      <c r="M18" s="202">
        <v>38.5</v>
      </c>
      <c r="N18" s="203"/>
      <c r="O18" s="203" t="str" cm="1">
        <f t="array" ref="O18">IF(E18="trim",IFERROR(INDEX('SIZE GUIDE'!$E:$E,MATCH(1,('SIZE GUIDE'!$A:$A=$E18)*('SIZE GUIDE'!$B:$B=$F18)*('SIZE GUIDE'!$C:$C=$H18),0)),""),"")</f>
        <v/>
      </c>
      <c r="P18" s="203"/>
      <c r="Q18" s="204">
        <f t="shared" si="0"/>
        <v>79.5</v>
      </c>
      <c r="R18" s="198">
        <f t="shared" si="1"/>
        <v>59.5</v>
      </c>
      <c r="S18" s="198">
        <f t="shared" si="2"/>
        <v>38</v>
      </c>
      <c r="T18" s="205">
        <f t="shared" si="4"/>
        <v>1248.2604166666667</v>
      </c>
      <c r="U18" s="206">
        <f>SUMIFS(CODE_PRICE!F:F,CODE_PRICE!B:B,C18,CODE_PRICE!A:A,$A$8)</f>
        <v>0.1895</v>
      </c>
      <c r="V18" s="207">
        <f t="shared" si="3"/>
        <v>236.54534895833336</v>
      </c>
      <c r="W18" s="208" t="str">
        <f>IF(COUNTIF($C$15:C18,C18)=1,C18 &amp; " - " &amp; TEXT(SUMIF($C:$C,C18,$T:$T),"0.00"),"")</f>
        <v/>
      </c>
      <c r="X18" s="209" t="str">
        <f>IF(COUNTIF($C$15:C18,C18)=1,ROUND(SUMIF($C:$C,C18,$V:$V),2), "")</f>
        <v/>
      </c>
      <c r="AH18" s="211"/>
    </row>
    <row r="19" spans="1:34" s="210" customFormat="1" ht="31.5" customHeight="1" x14ac:dyDescent="0.2">
      <c r="A19" s="196">
        <f t="shared" si="5"/>
        <v>5</v>
      </c>
      <c r="B19" s="196"/>
      <c r="C19" s="196" t="s">
        <v>89</v>
      </c>
      <c r="D19" s="197"/>
      <c r="E19" s="197" t="s">
        <v>11</v>
      </c>
      <c r="F19" s="198" t="s">
        <v>123</v>
      </c>
      <c r="G19" s="199" t="str">
        <f>IF(COUNTIFS($C$15:C19,C19,$H$15:H19,H19)=1,
SUMIFS($I$15:$I$43,$C$15:$C$43,C19,$H$15:$H$43,H19)&amp;H19&amp;" "&amp;C19,
"")</f>
        <v/>
      </c>
      <c r="H19" s="250" t="s">
        <v>16</v>
      </c>
      <c r="I19" s="200">
        <v>1</v>
      </c>
      <c r="J19" s="249"/>
      <c r="K19" s="201" cm="1">
        <f t="array" ref="K19">IF(E19="untrim",_xlfn.XLOOKUP(1,(TRIM('SIZE GUIDE'!$A$3:$A$2015)=TRIM(E19))*(TRIM('SIZE GUIDE'!$B$3:$B$2015)=TRIM(F19))*(TRIM('SIZE GUIDE'!$C$3:$C$2015)=TRIM(H19)),'SIZE GUIDE'!$D$3:$D$2015),"")</f>
        <v>81</v>
      </c>
      <c r="L19" s="265" cm="1">
        <f t="array" ref="L19">IF(E19="untrim",IFERROR(INDEX('SIZE GUIDE'!$E:$E,MATCH(1,('SIZE GUIDE'!$A:$A=$E19)*('SIZE GUIDE'!$B:$B=$F19)*('SIZE GUIDE'!$C:$C=$H19),0)),""),"")</f>
        <v>61</v>
      </c>
      <c r="M19" s="202">
        <v>40</v>
      </c>
      <c r="N19" s="203"/>
      <c r="O19" s="203" t="str" cm="1">
        <f t="array" ref="O19">IF(E19="trim",IFERROR(INDEX('SIZE GUIDE'!$E:$E,MATCH(1,('SIZE GUIDE'!$A:$A=$E19)*('SIZE GUIDE'!$B:$B=$F19)*('SIZE GUIDE'!$C:$C=$H19),0)),""),"")</f>
        <v/>
      </c>
      <c r="P19" s="203"/>
      <c r="Q19" s="204">
        <f t="shared" si="0"/>
        <v>79.5</v>
      </c>
      <c r="R19" s="198">
        <f t="shared" si="1"/>
        <v>59.5</v>
      </c>
      <c r="S19" s="198">
        <f t="shared" si="2"/>
        <v>39.5</v>
      </c>
      <c r="T19" s="205">
        <f t="shared" si="4"/>
        <v>1297.5338541666667</v>
      </c>
      <c r="U19" s="206">
        <f>SUMIFS(CODE_PRICE!F:F,CODE_PRICE!B:B,C19,CODE_PRICE!A:A,$A$8)</f>
        <v>0.1895</v>
      </c>
      <c r="V19" s="207">
        <f t="shared" si="3"/>
        <v>245.88266536458335</v>
      </c>
      <c r="W19" s="208" t="str">
        <f>IF(COUNTIF($C$15:C19,C19)=1,C19 &amp; " - " &amp; TEXT(SUMIF($C:$C,C19,$T:$T),"0.00"),"")</f>
        <v/>
      </c>
      <c r="X19" s="209" t="str">
        <f>IF(COUNTIF($C$15:C19,C19)=1,ROUND(SUMIF($C:$C,C19,$V:$V),2), "")</f>
        <v/>
      </c>
    </row>
    <row r="20" spans="1:34" s="210" customFormat="1" ht="31.5" customHeight="1" x14ac:dyDescent="0.2">
      <c r="A20" s="196">
        <f t="shared" si="5"/>
        <v>6</v>
      </c>
      <c r="B20" s="196"/>
      <c r="C20" s="196" t="s">
        <v>89</v>
      </c>
      <c r="D20" s="197"/>
      <c r="E20" s="197" t="s">
        <v>11</v>
      </c>
      <c r="F20" s="198" t="s">
        <v>123</v>
      </c>
      <c r="G20" s="199" t="str">
        <f>IF(COUNTIFS($C$15:C20,C20,$H$15:H20,H20)=1,
SUMIFS($I$15:$I$43,$C$15:$C$43,C20,$H$15:$H$43,H20)&amp;H20&amp;" "&amp;C20,
"")</f>
        <v/>
      </c>
      <c r="H20" s="250" t="s">
        <v>16</v>
      </c>
      <c r="I20" s="200">
        <v>1</v>
      </c>
      <c r="J20" s="249"/>
      <c r="K20" s="201" cm="1">
        <f t="array" ref="K20">IF(E20="untrim",_xlfn.XLOOKUP(1,(TRIM('SIZE GUIDE'!$A$3:$A$2015)=TRIM(E20))*(TRIM('SIZE GUIDE'!$B$3:$B$2015)=TRIM(F20))*(TRIM('SIZE GUIDE'!$C$3:$C$2015)=TRIM(H20)),'SIZE GUIDE'!$D$3:$D$2015),"")</f>
        <v>81</v>
      </c>
      <c r="L20" s="265" cm="1">
        <f t="array" ref="L20">IF(E20="untrim",IFERROR(INDEX('SIZE GUIDE'!$E:$E,MATCH(1,('SIZE GUIDE'!$A:$A=$E20)*('SIZE GUIDE'!$B:$B=$F20)*('SIZE GUIDE'!$C:$C=$H20),0)),""),"")</f>
        <v>61</v>
      </c>
      <c r="M20" s="202">
        <v>38</v>
      </c>
      <c r="N20" s="203"/>
      <c r="O20" s="203" t="str" cm="1">
        <f t="array" ref="O20">IF(E20="trim",IFERROR(INDEX('SIZE GUIDE'!$E:$E,MATCH(1,('SIZE GUIDE'!$A:$A=$E20)*('SIZE GUIDE'!$B:$B=$F20)*('SIZE GUIDE'!$C:$C=$H20),0)),""),"")</f>
        <v/>
      </c>
      <c r="P20" s="203"/>
      <c r="Q20" s="204">
        <f t="shared" si="0"/>
        <v>79.5</v>
      </c>
      <c r="R20" s="198">
        <f t="shared" si="1"/>
        <v>59.5</v>
      </c>
      <c r="S20" s="198">
        <f t="shared" si="2"/>
        <v>37.5</v>
      </c>
      <c r="T20" s="205">
        <f t="shared" si="4"/>
        <v>1231.8359375</v>
      </c>
      <c r="U20" s="206">
        <f>SUMIFS(CODE_PRICE!F:F,CODE_PRICE!B:B,C20,CODE_PRICE!A:A,$A$8)</f>
        <v>0.1895</v>
      </c>
      <c r="V20" s="207">
        <f t="shared" si="3"/>
        <v>233.43291015624999</v>
      </c>
      <c r="W20" s="208" t="str">
        <f>IF(COUNTIF($C$15:C20,C20)=1,C20 &amp; " - " &amp; TEXT(SUMIF($C:$C,C20,$T:$T),"0.00"),"")</f>
        <v/>
      </c>
      <c r="X20" s="209" t="str">
        <f>IF(COUNTIF($C$15:C20,C20)=1,ROUND(SUMIF($C:$C,C20,$V:$V),2), "")</f>
        <v/>
      </c>
    </row>
    <row r="21" spans="1:34" s="210" customFormat="1" ht="31.5" customHeight="1" x14ac:dyDescent="0.2">
      <c r="A21" s="196">
        <f t="shared" si="5"/>
        <v>7</v>
      </c>
      <c r="B21" s="196"/>
      <c r="C21" s="196" t="s">
        <v>89</v>
      </c>
      <c r="D21" s="197"/>
      <c r="E21" s="197" t="s">
        <v>11</v>
      </c>
      <c r="F21" s="198" t="s">
        <v>123</v>
      </c>
      <c r="G21" s="199" t="str">
        <f>IF(COUNTIFS($C$15:C21,C21,$H$15:H21,H21)=1,
SUMIFS($I$15:$I$43,$C$15:$C$43,C21,$H$15:$H$43,H21)&amp;H21&amp;" "&amp;C21,
"")</f>
        <v/>
      </c>
      <c r="H21" s="250" t="s">
        <v>16</v>
      </c>
      <c r="I21" s="200">
        <v>1</v>
      </c>
      <c r="J21" s="249"/>
      <c r="K21" s="201" cm="1">
        <f t="array" ref="K21">IF(E21="untrim",_xlfn.XLOOKUP(1,(TRIM('SIZE GUIDE'!$A$3:$A$2015)=TRIM(E21))*(TRIM('SIZE GUIDE'!$B$3:$B$2015)=TRIM(F21))*(TRIM('SIZE GUIDE'!$C$3:$C$2015)=TRIM(H21)),'SIZE GUIDE'!$D$3:$D$2015),"")</f>
        <v>81</v>
      </c>
      <c r="L21" s="265" cm="1">
        <f t="array" ref="L21">IF(E21="untrim",IFERROR(INDEX('SIZE GUIDE'!$E:$E,MATCH(1,('SIZE GUIDE'!$A:$A=$E21)*('SIZE GUIDE'!$B:$B=$F21)*('SIZE GUIDE'!$C:$C=$H21),0)),""),"")</f>
        <v>61</v>
      </c>
      <c r="M21" s="202">
        <v>35</v>
      </c>
      <c r="N21" s="203"/>
      <c r="O21" s="203" t="str" cm="1">
        <f t="array" ref="O21">IF(E21="trim",IFERROR(INDEX('SIZE GUIDE'!$E:$E,MATCH(1,('SIZE GUIDE'!$A:$A=$E21)*('SIZE GUIDE'!$B:$B=$F21)*('SIZE GUIDE'!$C:$C=$H21),0)),""),"")</f>
        <v/>
      </c>
      <c r="P21" s="203"/>
      <c r="Q21" s="204">
        <f t="shared" si="0"/>
        <v>79.5</v>
      </c>
      <c r="R21" s="198">
        <f t="shared" si="1"/>
        <v>59.5</v>
      </c>
      <c r="S21" s="198">
        <f t="shared" ref="S21:S26" si="6">IF(E21="untrim",M22-0.5,P21-0.5)</f>
        <v>33.5</v>
      </c>
      <c r="T21" s="205">
        <f t="shared" si="4"/>
        <v>1100.4401041666667</v>
      </c>
      <c r="U21" s="206">
        <f>SUMIFS(CODE_PRICE!F:F,CODE_PRICE!B:B,C21,CODE_PRICE!A:A,$A$8)</f>
        <v>0.1895</v>
      </c>
      <c r="V21" s="207">
        <f t="shared" si="3"/>
        <v>208.53339973958336</v>
      </c>
      <c r="W21" s="208" t="str">
        <f>IF(COUNTIF($C$15:C21,C21)=1,C21 &amp; " - " &amp; TEXT(SUMIF($C:$C,C21,$T:$T),"0.00"),"")</f>
        <v/>
      </c>
      <c r="X21" s="209" t="str">
        <f>IF(COUNTIF($C$15:C21,C21)=1,ROUND(SUMIF($C:$C,C21,$V:$V),2), "")</f>
        <v/>
      </c>
    </row>
    <row r="22" spans="1:34" s="210" customFormat="1" ht="31.5" customHeight="1" x14ac:dyDescent="0.2">
      <c r="A22" s="196">
        <f t="shared" si="5"/>
        <v>8</v>
      </c>
      <c r="B22" s="196"/>
      <c r="C22" s="196" t="s">
        <v>89</v>
      </c>
      <c r="D22" s="197"/>
      <c r="E22" s="197" t="s">
        <v>11</v>
      </c>
      <c r="F22" s="198" t="s">
        <v>123</v>
      </c>
      <c r="G22" s="199" t="str">
        <f>IF(COUNTIFS($C$15:C22,C22,$H$15:H22,H22)=1,
SUMIFS($I$15:$I$43,$C$15:$C$43,C22,$H$15:$H$43,H22)&amp;H22&amp;" "&amp;C22,
"")</f>
        <v/>
      </c>
      <c r="H22" s="250" t="s">
        <v>16</v>
      </c>
      <c r="I22" s="200">
        <v>1</v>
      </c>
      <c r="J22" s="249"/>
      <c r="K22" s="201" cm="1">
        <f t="array" ref="K22">IF(E22="untrim",_xlfn.XLOOKUP(1,(TRIM('SIZE GUIDE'!$A$3:$A$2015)=TRIM(E22))*(TRIM('SIZE GUIDE'!$B$3:$B$2015)=TRIM(F22))*(TRIM('SIZE GUIDE'!$C$3:$C$2015)=TRIM(H22)),'SIZE GUIDE'!$D$3:$D$2015),"")</f>
        <v>81</v>
      </c>
      <c r="L22" s="265" cm="1">
        <f t="array" ref="L22">IF(E22="untrim",IFERROR(INDEX('SIZE GUIDE'!$E:$E,MATCH(1,('SIZE GUIDE'!$A:$A=$E22)*('SIZE GUIDE'!$B:$B=$F22)*('SIZE GUIDE'!$C:$C=$H22),0)),""),"")</f>
        <v>61</v>
      </c>
      <c r="M22" s="202">
        <v>34</v>
      </c>
      <c r="N22" s="203"/>
      <c r="O22" s="203" t="str" cm="1">
        <f t="array" ref="O22">IF(E22="trim",IFERROR(INDEX('SIZE GUIDE'!$E:$E,MATCH(1,('SIZE GUIDE'!$A:$A=$E22)*('SIZE GUIDE'!$B:$B=$F22)*('SIZE GUIDE'!$C:$C=$H22),0)),""),"")</f>
        <v/>
      </c>
      <c r="P22" s="203"/>
      <c r="Q22" s="204">
        <f t="shared" si="0"/>
        <v>79.5</v>
      </c>
      <c r="R22" s="198">
        <f t="shared" si="1"/>
        <v>59.5</v>
      </c>
      <c r="S22" s="198">
        <f t="shared" si="6"/>
        <v>34</v>
      </c>
      <c r="T22" s="205">
        <f t="shared" si="4"/>
        <v>1116.8645833333333</v>
      </c>
      <c r="U22" s="206">
        <f>SUMIFS(CODE_PRICE!F:F,CODE_PRICE!B:B,C22,CODE_PRICE!A:A,$A$8)</f>
        <v>0.1895</v>
      </c>
      <c r="V22" s="207">
        <f t="shared" si="3"/>
        <v>211.64583854166665</v>
      </c>
      <c r="W22" s="208" t="str">
        <f>IF(COUNTIF($C$15:C22,C22)=1,C22 &amp; " - " &amp; TEXT(SUMIF($C:$C,C22,$T:$T),"0.00"),"")</f>
        <v/>
      </c>
      <c r="X22" s="209" t="str">
        <f>IF(COUNTIF($C$15:C22,C22)=1,ROUND(SUMIF($C:$C,C22,$V:$V),2), "")</f>
        <v/>
      </c>
      <c r="AD22" s="210" t="s">
        <v>204</v>
      </c>
    </row>
    <row r="23" spans="1:34" s="210" customFormat="1" ht="31.5" customHeight="1" x14ac:dyDescent="0.2">
      <c r="A23" s="196">
        <f t="shared" si="5"/>
        <v>9</v>
      </c>
      <c r="B23" s="196"/>
      <c r="C23" s="196" t="s">
        <v>89</v>
      </c>
      <c r="D23" s="197"/>
      <c r="E23" s="197" t="s">
        <v>11</v>
      </c>
      <c r="F23" s="198" t="s">
        <v>123</v>
      </c>
      <c r="G23" s="199" t="str">
        <f>IF(COUNTIFS($C$15:C23,C23,$H$15:H23,H23)=1,
SUMIFS($I$15:$I$43,$C$15:$C$43,C23,$H$15:$H$43,H23)&amp;H23&amp;" "&amp;C23,
"")</f>
        <v/>
      </c>
      <c r="H23" s="250" t="s">
        <v>16</v>
      </c>
      <c r="I23" s="200">
        <v>1</v>
      </c>
      <c r="J23" s="249"/>
      <c r="K23" s="201" cm="1">
        <f t="array" ref="K23">IF(E23="untrim",_xlfn.XLOOKUP(1,(TRIM('SIZE GUIDE'!$A$3:$A$2015)=TRIM(E23))*(TRIM('SIZE GUIDE'!$B$3:$B$2015)=TRIM(F23))*(TRIM('SIZE GUIDE'!$C$3:$C$2015)=TRIM(H23)),'SIZE GUIDE'!$D$3:$D$2015),"")</f>
        <v>81</v>
      </c>
      <c r="L23" s="265" cm="1">
        <f t="array" ref="L23">IF(E23="untrim",IFERROR(INDEX('SIZE GUIDE'!$E:$E,MATCH(1,('SIZE GUIDE'!$A:$A=$E23)*('SIZE GUIDE'!$B:$B=$F23)*('SIZE GUIDE'!$C:$C=$H23),0)),""),"")</f>
        <v>61</v>
      </c>
      <c r="M23" s="202">
        <v>34.5</v>
      </c>
      <c r="N23" s="203"/>
      <c r="O23" s="203" t="str" cm="1">
        <f t="array" ref="O23">IF(E23="trim",IFERROR(INDEX('SIZE GUIDE'!$E:$E,MATCH(1,('SIZE GUIDE'!$A:$A=$E23)*('SIZE GUIDE'!$B:$B=$F23)*('SIZE GUIDE'!$C:$C=$H23),0)),""),"")</f>
        <v/>
      </c>
      <c r="P23" s="203"/>
      <c r="Q23" s="204">
        <f t="shared" si="0"/>
        <v>79.5</v>
      </c>
      <c r="R23" s="198">
        <f t="shared" si="1"/>
        <v>59.5</v>
      </c>
      <c r="S23" s="198">
        <f t="shared" si="6"/>
        <v>28.5</v>
      </c>
      <c r="T23" s="205">
        <f t="shared" si="4"/>
        <v>936.1953125</v>
      </c>
      <c r="U23" s="206">
        <f>SUMIFS(CODE_PRICE!F:F,CODE_PRICE!B:B,C23,CODE_PRICE!A:A,$A$8)</f>
        <v>0.1895</v>
      </c>
      <c r="V23" s="207">
        <f t="shared" si="3"/>
        <v>177.40901171875001</v>
      </c>
      <c r="W23" s="208" t="str">
        <f>IF(COUNTIF($C$15:C23,C23)=1,C23 &amp; " - " &amp; TEXT(SUMIF($C:$C,C23,$T:$T),"0.00"),"")</f>
        <v/>
      </c>
      <c r="X23" s="209" t="str">
        <f>IF(COUNTIF($C$15:C23,C23)=1,ROUND(SUMIF($C:$C,C23,$V:$V),2), "")</f>
        <v/>
      </c>
    </row>
    <row r="24" spans="1:34" s="210" customFormat="1" ht="31.5" customHeight="1" x14ac:dyDescent="0.2">
      <c r="A24" s="196">
        <f t="shared" si="5"/>
        <v>10</v>
      </c>
      <c r="B24" s="196"/>
      <c r="C24" s="196" t="s">
        <v>89</v>
      </c>
      <c r="D24" s="197"/>
      <c r="E24" s="197" t="s">
        <v>11</v>
      </c>
      <c r="F24" s="198" t="s">
        <v>123</v>
      </c>
      <c r="G24" s="199" t="str">
        <f>IF(COUNTIFS($C$15:C24,C24,$H$15:H24,H24)=1,
SUMIFS($I$15:$I$43,$C$15:$C$43,C24,$H$15:$H$43,H24)&amp;H24&amp;" "&amp;C24,
"")</f>
        <v/>
      </c>
      <c r="H24" s="250" t="s">
        <v>16</v>
      </c>
      <c r="I24" s="200">
        <v>1</v>
      </c>
      <c r="J24" s="249"/>
      <c r="K24" s="201" cm="1">
        <f t="array" ref="K24">IF(E24="untrim",_xlfn.XLOOKUP(1,(TRIM('SIZE GUIDE'!$A$3:$A$2015)=TRIM(E24))*(TRIM('SIZE GUIDE'!$B$3:$B$2015)=TRIM(F24))*(TRIM('SIZE GUIDE'!$C$3:$C$2015)=TRIM(H24)),'SIZE GUIDE'!$D$3:$D$2015),"")</f>
        <v>81</v>
      </c>
      <c r="L24" s="265" cm="1">
        <f t="array" ref="L24">IF(E24="untrim",IFERROR(INDEX('SIZE GUIDE'!$E:$E,MATCH(1,('SIZE GUIDE'!$A:$A=$E24)*('SIZE GUIDE'!$B:$B=$F24)*('SIZE GUIDE'!$C:$C=$H24),0)),""),"")</f>
        <v>61</v>
      </c>
      <c r="M24" s="202">
        <v>29</v>
      </c>
      <c r="N24" s="203"/>
      <c r="O24" s="203" t="str" cm="1">
        <f t="array" ref="O24">IF(E24="trim",IFERROR(INDEX('SIZE GUIDE'!$E:$E,MATCH(1,('SIZE GUIDE'!$A:$A=$E24)*('SIZE GUIDE'!$B:$B=$F24)*('SIZE GUIDE'!$C:$C=$H24),0)),""),"")</f>
        <v/>
      </c>
      <c r="P24" s="203"/>
      <c r="Q24" s="204">
        <f t="shared" si="0"/>
        <v>79.5</v>
      </c>
      <c r="R24" s="198">
        <f t="shared" si="1"/>
        <v>59.5</v>
      </c>
      <c r="S24" s="198">
        <f t="shared" si="6"/>
        <v>28.5</v>
      </c>
      <c r="T24" s="205">
        <f t="shared" si="4"/>
        <v>936.1953125</v>
      </c>
      <c r="U24" s="206">
        <f>SUMIFS(CODE_PRICE!F:F,CODE_PRICE!B:B,C24,CODE_PRICE!A:A,$A$8)</f>
        <v>0.1895</v>
      </c>
      <c r="V24" s="207">
        <f t="shared" si="3"/>
        <v>177.40901171875001</v>
      </c>
      <c r="W24" s="208" t="str">
        <f>IF(COUNTIF($C$15:C24,C24)=1,C24 &amp; " - " &amp; TEXT(SUMIF($C:$C,C24,$T:$T),"0.00"),"")</f>
        <v/>
      </c>
      <c r="X24" s="209" t="str">
        <f>IF(COUNTIF($C$15:C24,C24)=1,ROUND(SUMIF($C:$C,C24,$V:$V),2), "")</f>
        <v/>
      </c>
    </row>
    <row r="25" spans="1:34" s="210" customFormat="1" ht="31.5" customHeight="1" x14ac:dyDescent="0.2">
      <c r="A25" s="196">
        <f t="shared" si="5"/>
        <v>11</v>
      </c>
      <c r="B25" s="196"/>
      <c r="C25" s="196" t="s">
        <v>89</v>
      </c>
      <c r="D25" s="197"/>
      <c r="E25" s="197" t="s">
        <v>11</v>
      </c>
      <c r="F25" s="198" t="s">
        <v>123</v>
      </c>
      <c r="G25" s="199" t="str">
        <f>IF(COUNTIFS($C$15:C25,C25,$H$15:H25,H25)=1,
SUMIFS($I$15:$I$43,$C$15:$C$43,C25,$H$15:$H$43,H25)&amp;H25&amp;" "&amp;C25,
"")</f>
        <v/>
      </c>
      <c r="H25" s="250" t="s">
        <v>16</v>
      </c>
      <c r="I25" s="200">
        <v>1</v>
      </c>
      <c r="J25" s="249"/>
      <c r="K25" s="201" cm="1">
        <f t="array" ref="K25">IF(E25="untrim",_xlfn.XLOOKUP(1,(TRIM('SIZE GUIDE'!$A$3:$A$2015)=TRIM(E25))*(TRIM('SIZE GUIDE'!$B$3:$B$2015)=TRIM(F25))*(TRIM('SIZE GUIDE'!$C$3:$C$2015)=TRIM(H25)),'SIZE GUIDE'!$D$3:$D$2015),"")</f>
        <v>81</v>
      </c>
      <c r="L25" s="265" cm="1">
        <f t="array" ref="L25">IF(E25="untrim",IFERROR(INDEX('SIZE GUIDE'!$E:$E,MATCH(1,('SIZE GUIDE'!$A:$A=$E25)*('SIZE GUIDE'!$B:$B=$F25)*('SIZE GUIDE'!$C:$C=$H25),0)),""),"")</f>
        <v>61</v>
      </c>
      <c r="M25" s="202">
        <v>29</v>
      </c>
      <c r="N25" s="203"/>
      <c r="O25" s="203" t="str" cm="1">
        <f t="array" ref="O25">IF(E25="trim",IFERROR(INDEX('SIZE GUIDE'!$E:$E,MATCH(1,('SIZE GUIDE'!$A:$A=$E25)*('SIZE GUIDE'!$B:$B=$F25)*('SIZE GUIDE'!$C:$C=$H25),0)),""),"")</f>
        <v/>
      </c>
      <c r="P25" s="203"/>
      <c r="Q25" s="204">
        <f t="shared" si="0"/>
        <v>79.5</v>
      </c>
      <c r="R25" s="198">
        <f t="shared" si="1"/>
        <v>59.5</v>
      </c>
      <c r="S25" s="198">
        <f t="shared" si="6"/>
        <v>35</v>
      </c>
      <c r="T25" s="205">
        <f t="shared" si="4"/>
        <v>1149.7135416666667</v>
      </c>
      <c r="U25" s="206">
        <f>SUMIFS(CODE_PRICE!F:F,CODE_PRICE!B:B,C25,CODE_PRICE!A:A,$A$8)</f>
        <v>0.1895</v>
      </c>
      <c r="V25" s="207">
        <f t="shared" si="3"/>
        <v>217.87071614583334</v>
      </c>
      <c r="W25" s="208" t="str">
        <f>IF(COUNTIF($C$15:C25,C25)=1,C25 &amp; " - " &amp; TEXT(SUMIF($C:$C,C25,$T:$T),"0.00"),"")</f>
        <v/>
      </c>
      <c r="X25" s="209" t="str">
        <f>IF(COUNTIF($C$15:C25,C25)=1,ROUND(SUMIF($C:$C,C25,$V:$V),2), "")</f>
        <v/>
      </c>
    </row>
    <row r="26" spans="1:34" s="210" customFormat="1" ht="31.5" customHeight="1" x14ac:dyDescent="0.2">
      <c r="A26" s="196">
        <f t="shared" si="5"/>
        <v>12</v>
      </c>
      <c r="B26" s="196"/>
      <c r="C26" s="196" t="s">
        <v>89</v>
      </c>
      <c r="D26" s="197"/>
      <c r="E26" s="197" t="s">
        <v>11</v>
      </c>
      <c r="F26" s="198" t="s">
        <v>123</v>
      </c>
      <c r="G26" s="199" t="str">
        <f>IF(COUNTIFS($C$15:C26,C26,$H$15:H26,H26)=1,
SUMIFS($I$15:$I$43,$C$15:$C$43,C26,$H$15:$H$43,H26)&amp;H26&amp;" "&amp;C26,
"")</f>
        <v/>
      </c>
      <c r="H26" s="250" t="s">
        <v>16</v>
      </c>
      <c r="I26" s="200">
        <v>1</v>
      </c>
      <c r="J26" s="249"/>
      <c r="K26" s="201" cm="1">
        <f t="array" ref="K26">IF(E26="untrim",_xlfn.XLOOKUP(1,(TRIM('SIZE GUIDE'!$A$3:$A$2015)=TRIM(E26))*(TRIM('SIZE GUIDE'!$B$3:$B$2015)=TRIM(F26))*(TRIM('SIZE GUIDE'!$C$3:$C$2015)=TRIM(H26)),'SIZE GUIDE'!$D$3:$D$2015),"")</f>
        <v>81</v>
      </c>
      <c r="L26" s="265" cm="1">
        <f t="array" ref="L26">IF(E26="untrim",IFERROR(INDEX('SIZE GUIDE'!$E:$E,MATCH(1,('SIZE GUIDE'!$A:$A=$E26)*('SIZE GUIDE'!$B:$B=$F26)*('SIZE GUIDE'!$C:$C=$H26),0)),""),"")</f>
        <v>61</v>
      </c>
      <c r="M26" s="202">
        <v>35.5</v>
      </c>
      <c r="N26" s="203"/>
      <c r="O26" s="203" t="str" cm="1">
        <f t="array" ref="O26">IF(E26="trim",IFERROR(INDEX('SIZE GUIDE'!$E:$E,MATCH(1,('SIZE GUIDE'!$A:$A=$E26)*('SIZE GUIDE'!$B:$B=$F26)*('SIZE GUIDE'!$C:$C=$H26),0)),""),"")</f>
        <v/>
      </c>
      <c r="P26" s="203"/>
      <c r="Q26" s="204">
        <f t="shared" si="0"/>
        <v>79.5</v>
      </c>
      <c r="R26" s="198">
        <f t="shared" si="1"/>
        <v>59.5</v>
      </c>
      <c r="S26" s="198">
        <f t="shared" si="6"/>
        <v>37.5</v>
      </c>
      <c r="T26" s="205">
        <f t="shared" si="4"/>
        <v>1231.8359375</v>
      </c>
      <c r="U26" s="206">
        <f>SUMIFS(CODE_PRICE!F:F,CODE_PRICE!B:B,C26,CODE_PRICE!A:A,$A$8)</f>
        <v>0.1895</v>
      </c>
      <c r="V26" s="207">
        <f t="shared" si="3"/>
        <v>233.43291015624999</v>
      </c>
      <c r="W26" s="208" t="str">
        <f>IF(COUNTIF($C$15:C26,C26)=1,C26 &amp; " - " &amp; TEXT(SUMIF($C:$C,C26,$T:$T),"0.00"),"")</f>
        <v/>
      </c>
      <c r="X26" s="209" t="str">
        <f>IF(COUNTIF($C$15:C26,C26)=1,ROUND(SUMIF($C:$C,C26,$V:$V),2), "")</f>
        <v/>
      </c>
    </row>
    <row r="27" spans="1:34" s="210" customFormat="1" ht="31.5" customHeight="1" x14ac:dyDescent="0.2">
      <c r="A27" s="196">
        <f t="shared" si="5"/>
        <v>13</v>
      </c>
      <c r="B27" s="196"/>
      <c r="C27" s="196" t="s">
        <v>89</v>
      </c>
      <c r="D27" s="197"/>
      <c r="E27" s="197" t="s">
        <v>11</v>
      </c>
      <c r="F27" s="198" t="s">
        <v>123</v>
      </c>
      <c r="G27" s="199" t="str">
        <f>IF(COUNTIFS($C$15:C27,C27,$H$15:H27,H27)=1,
SUMIFS($I$15:$I$43,$C$15:$C$43,C27,$H$15:$H$43,H27)&amp;H27&amp;" "&amp;C27,
"")</f>
        <v/>
      </c>
      <c r="H27" s="250" t="s">
        <v>16</v>
      </c>
      <c r="I27" s="200">
        <v>1</v>
      </c>
      <c r="J27" s="249"/>
      <c r="K27" s="201" cm="1">
        <f t="array" ref="K27">IF(E27="untrim",_xlfn.XLOOKUP(1,(TRIM('SIZE GUIDE'!$A$3:$A$2015)=TRIM(E27))*(TRIM('SIZE GUIDE'!$B$3:$B$2015)=TRIM(F27))*(TRIM('SIZE GUIDE'!$C$3:$C$2015)=TRIM(H27)),'SIZE GUIDE'!$D$3:$D$2015),"")</f>
        <v>81</v>
      </c>
      <c r="L27" s="265" cm="1">
        <f t="array" ref="L27">IF(E27="untrim",IFERROR(INDEX('SIZE GUIDE'!$E:$E,MATCH(1,('SIZE GUIDE'!$A:$A=$E27)*('SIZE GUIDE'!$B:$B=$F27)*('SIZE GUIDE'!$C:$C=$H27),0)),""),"")</f>
        <v>61</v>
      </c>
      <c r="M27" s="202">
        <v>38</v>
      </c>
      <c r="N27" s="203"/>
      <c r="O27" s="203" t="str" cm="1">
        <f t="array" ref="O27">IF(E27="trim",IFERROR(INDEX('SIZE GUIDE'!$E:$E,MATCH(1,('SIZE GUIDE'!$A:$A=$E27)*('SIZE GUIDE'!$B:$B=$F27)*('SIZE GUIDE'!$C:$C=$H27),0)),""),"")</f>
        <v/>
      </c>
      <c r="P27" s="203"/>
      <c r="Q27" s="204">
        <f t="shared" si="0"/>
        <v>79.5</v>
      </c>
      <c r="R27" s="198">
        <f t="shared" si="1"/>
        <v>59.5</v>
      </c>
      <c r="S27" s="198">
        <f t="shared" ref="S27:S33" si="7">IF(E27="untrim",M27-0.5,P27-0.5)</f>
        <v>37.5</v>
      </c>
      <c r="T27" s="205">
        <f t="shared" si="4"/>
        <v>1231.8359375</v>
      </c>
      <c r="U27" s="206">
        <f>SUMIFS(CODE_PRICE!F:F,CODE_PRICE!B:B,C27,CODE_PRICE!A:A,$A$8)</f>
        <v>0.1895</v>
      </c>
      <c r="V27" s="207">
        <f t="shared" si="3"/>
        <v>233.43291015624999</v>
      </c>
      <c r="W27" s="208" t="str">
        <f>IF(COUNTIF($C$15:C27,C27)=1,C27 &amp; " - " &amp; TEXT(SUMIF($C:$C,C27,$T:$T),"0.00"),"")</f>
        <v/>
      </c>
      <c r="X27" s="209" t="str">
        <f>IF(COUNTIF($C$15:C27,C27)=1,ROUND(SUMIF($C:$C,C27,$V:$V),2), "")</f>
        <v/>
      </c>
    </row>
    <row r="28" spans="1:34" s="210" customFormat="1" ht="31.5" customHeight="1" x14ac:dyDescent="0.2">
      <c r="A28" s="196">
        <f t="shared" si="5"/>
        <v>14</v>
      </c>
      <c r="B28" s="196"/>
      <c r="C28" s="196" t="s">
        <v>89</v>
      </c>
      <c r="D28" s="197"/>
      <c r="E28" s="197" t="s">
        <v>11</v>
      </c>
      <c r="F28" s="198" t="s">
        <v>123</v>
      </c>
      <c r="G28" s="199" t="str">
        <f>IF(COUNTIFS($C$15:C28,C28,$H$15:H28,H28)=1,
SUMIFS($I$15:$I$43,$C$15:$C$43,C28,$H$15:$H$43,H28)&amp;H28&amp;" "&amp;C28,
"")</f>
        <v>7K CFN30100W</v>
      </c>
      <c r="H28" s="250" t="s">
        <v>18</v>
      </c>
      <c r="I28" s="200">
        <v>1</v>
      </c>
      <c r="J28" s="249"/>
      <c r="K28" s="201" cm="1">
        <f t="array" ref="K28">IF(E28="untrim",_xlfn.XLOOKUP(1,(TRIM('SIZE GUIDE'!$A$3:$A$2015)=TRIM(E28))*(TRIM('SIZE GUIDE'!$B$3:$B$2015)=TRIM(F28))*(TRIM('SIZE GUIDE'!$C$3:$C$2015)=TRIM(H28)),'SIZE GUIDE'!$D$3:$D$2015),"")</f>
        <v>81</v>
      </c>
      <c r="L28" s="265" cm="1">
        <f t="array" ref="L28">IF(E28="untrim",IFERROR(INDEX('SIZE GUIDE'!$E:$E,MATCH(1,('SIZE GUIDE'!$A:$A=$E28)*('SIZE GUIDE'!$B:$B=$F28)*('SIZE GUIDE'!$C:$C=$H28),0)),""),"")</f>
        <v>77</v>
      </c>
      <c r="M28" s="202">
        <v>38.5</v>
      </c>
      <c r="N28" s="203"/>
      <c r="O28" s="203" t="str" cm="1">
        <f t="array" ref="O28">IF(E28="trim",IFERROR(INDEX('SIZE GUIDE'!$E:$E,MATCH(1,('SIZE GUIDE'!$A:$A=$E28)*('SIZE GUIDE'!$B:$B=$F28)*('SIZE GUIDE'!$C:$C=$H28),0)),""),"")</f>
        <v/>
      </c>
      <c r="P28" s="203"/>
      <c r="Q28" s="204">
        <f t="shared" si="0"/>
        <v>79.5</v>
      </c>
      <c r="R28" s="198">
        <f t="shared" si="1"/>
        <v>75.5</v>
      </c>
      <c r="S28" s="198">
        <f t="shared" si="7"/>
        <v>38</v>
      </c>
      <c r="T28" s="205">
        <f t="shared" si="4"/>
        <v>1583.9270833333333</v>
      </c>
      <c r="U28" s="206">
        <f>SUMIFS(CODE_PRICE!F:F,CODE_PRICE!B:B,C28,CODE_PRICE!A:A,$A$8)</f>
        <v>0.1895</v>
      </c>
      <c r="V28" s="207">
        <f t="shared" si="3"/>
        <v>300.15418229166664</v>
      </c>
      <c r="W28" s="208" t="str">
        <f>IF(COUNTIF($C$15:C28,C28)=1,C28 &amp; " - " &amp; TEXT(SUMIF($C:$C,C28,$T:$T),"0.00"),"")</f>
        <v/>
      </c>
      <c r="X28" s="209" t="str">
        <f>IF(COUNTIF($C$15:C28,C28)=1,ROUND(SUMIF($C:$C,C28,$V:$V),2), "")</f>
        <v/>
      </c>
    </row>
    <row r="29" spans="1:34" s="210" customFormat="1" ht="31.5" customHeight="1" x14ac:dyDescent="0.2">
      <c r="A29" s="196">
        <f t="shared" si="5"/>
        <v>15</v>
      </c>
      <c r="B29" s="196"/>
      <c r="C29" s="196" t="s">
        <v>89</v>
      </c>
      <c r="D29" s="197"/>
      <c r="E29" s="197" t="s">
        <v>11</v>
      </c>
      <c r="F29" s="198" t="s">
        <v>123</v>
      </c>
      <c r="G29" s="199" t="str">
        <f>IF(COUNTIFS($C$15:C29,C29,$H$15:H29,H29)=1,
SUMIFS($I$15:$I$43,$C$15:$C$43,C29,$H$15:$H$43,H29)&amp;H29&amp;" "&amp;C29,
"")</f>
        <v/>
      </c>
      <c r="H29" s="250" t="s">
        <v>18</v>
      </c>
      <c r="I29" s="200">
        <v>1</v>
      </c>
      <c r="J29" s="249"/>
      <c r="K29" s="201" cm="1">
        <f t="array" ref="K29">IF(E29="untrim",_xlfn.XLOOKUP(1,(TRIM('SIZE GUIDE'!$A$3:$A$2015)=TRIM(E29))*(TRIM('SIZE GUIDE'!$B$3:$B$2015)=TRIM(F29))*(TRIM('SIZE GUIDE'!$C$3:$C$2015)=TRIM(H29)),'SIZE GUIDE'!$D$3:$D$2015),"")</f>
        <v>81</v>
      </c>
      <c r="L29" s="265" cm="1">
        <f t="array" ref="L29">IF(E29="untrim",IFERROR(INDEX('SIZE GUIDE'!$E:$E,MATCH(1,('SIZE GUIDE'!$A:$A=$E29)*('SIZE GUIDE'!$B:$B=$F29)*('SIZE GUIDE'!$C:$C=$H29),0)),""),"")</f>
        <v>77</v>
      </c>
      <c r="M29" s="202">
        <v>39</v>
      </c>
      <c r="N29" s="203"/>
      <c r="O29" s="203" t="str" cm="1">
        <f t="array" ref="O29">IF(E29="trim",IFERROR(INDEX('SIZE GUIDE'!$E:$E,MATCH(1,('SIZE GUIDE'!$A:$A=$E29)*('SIZE GUIDE'!$B:$B=$F29)*('SIZE GUIDE'!$C:$C=$H29),0)),""),"")</f>
        <v/>
      </c>
      <c r="P29" s="203"/>
      <c r="Q29" s="204">
        <f t="shared" si="0"/>
        <v>79.5</v>
      </c>
      <c r="R29" s="198">
        <f t="shared" si="1"/>
        <v>75.5</v>
      </c>
      <c r="S29" s="198">
        <f t="shared" si="7"/>
        <v>38.5</v>
      </c>
      <c r="T29" s="205">
        <f t="shared" si="4"/>
        <v>1604.7682291666667</v>
      </c>
      <c r="U29" s="206">
        <f>SUMIFS(CODE_PRICE!F:F,CODE_PRICE!B:B,C29,CODE_PRICE!A:A,$A$8)</f>
        <v>0.1895</v>
      </c>
      <c r="V29" s="207">
        <f t="shared" si="3"/>
        <v>304.10357942708333</v>
      </c>
      <c r="W29" s="208" t="str">
        <f>IF(COUNTIF($C$15:C29,C29)=1,C29 &amp; " - " &amp; TEXT(SUMIF($C:$C,C29,$T:$T),"0.00"),"")</f>
        <v/>
      </c>
      <c r="X29" s="209" t="str">
        <f>IF(COUNTIF($C$15:C29,C29)=1,ROUND(SUMIF($C:$C,C29,$V:$V),2), "")</f>
        <v/>
      </c>
    </row>
    <row r="30" spans="1:34" s="210" customFormat="1" ht="31.5" customHeight="1" x14ac:dyDescent="0.2">
      <c r="A30" s="196">
        <f t="shared" si="5"/>
        <v>16</v>
      </c>
      <c r="B30" s="196"/>
      <c r="C30" s="196" t="s">
        <v>89</v>
      </c>
      <c r="D30" s="197"/>
      <c r="E30" s="197" t="s">
        <v>11</v>
      </c>
      <c r="F30" s="198" t="s">
        <v>123</v>
      </c>
      <c r="G30" s="199" t="str">
        <f>IF(COUNTIFS($C$15:C30,C30,$H$15:H30,H30)=1,
SUMIFS($I$15:$I$43,$C$15:$C$43,C30,$H$15:$H$43,H30)&amp;H30&amp;" "&amp;C30,
"")</f>
        <v/>
      </c>
      <c r="H30" s="250" t="s">
        <v>18</v>
      </c>
      <c r="I30" s="200">
        <v>1</v>
      </c>
      <c r="J30" s="249"/>
      <c r="K30" s="201" cm="1">
        <f t="array" ref="K30">IF(E30="untrim",_xlfn.XLOOKUP(1,(TRIM('SIZE GUIDE'!$A$3:$A$2015)=TRIM(E30))*(TRIM('SIZE GUIDE'!$B$3:$B$2015)=TRIM(F30))*(TRIM('SIZE GUIDE'!$C$3:$C$2015)=TRIM(H30)),'SIZE GUIDE'!$D$3:$D$2015),"")</f>
        <v>81</v>
      </c>
      <c r="L30" s="265" cm="1">
        <f t="array" ref="L30">IF(E30="untrim",IFERROR(INDEX('SIZE GUIDE'!$E:$E,MATCH(1,('SIZE GUIDE'!$A:$A=$E30)*('SIZE GUIDE'!$B:$B=$F30)*('SIZE GUIDE'!$C:$C=$H30),0)),""),"")</f>
        <v>77</v>
      </c>
      <c r="M30" s="202">
        <v>44</v>
      </c>
      <c r="N30" s="203"/>
      <c r="O30" s="203" t="str" cm="1">
        <f t="array" ref="O30">IF(E30="trim",IFERROR(INDEX('SIZE GUIDE'!$E:$E,MATCH(1,('SIZE GUIDE'!$A:$A=$E30)*('SIZE GUIDE'!$B:$B=$F30)*('SIZE GUIDE'!$C:$C=$H30),0)),""),"")</f>
        <v/>
      </c>
      <c r="P30" s="203"/>
      <c r="Q30" s="204">
        <f t="shared" si="0"/>
        <v>79.5</v>
      </c>
      <c r="R30" s="198">
        <f t="shared" si="1"/>
        <v>75.5</v>
      </c>
      <c r="S30" s="198">
        <f t="shared" si="7"/>
        <v>43.5</v>
      </c>
      <c r="T30" s="205">
        <f t="shared" si="4"/>
        <v>1813.1796875</v>
      </c>
      <c r="U30" s="206">
        <f>SUMIFS(CODE_PRICE!F:F,CODE_PRICE!B:B,C30,CODE_PRICE!A:A,$A$8)</f>
        <v>0.1895</v>
      </c>
      <c r="V30" s="207">
        <f t="shared" si="3"/>
        <v>343.59755078124999</v>
      </c>
      <c r="W30" s="208" t="str">
        <f>IF(COUNTIF($C$15:C30,C30)=1,C30 &amp; " - " &amp; TEXT(SUMIF($C:$C,C30,$T:$T),"0.00"),"")</f>
        <v/>
      </c>
      <c r="X30" s="209" t="str">
        <f>IF(COUNTIF($C$15:C30,C30)=1,ROUND(SUMIF($C:$C,C30,$V:$V),2), "")</f>
        <v/>
      </c>
    </row>
    <row r="31" spans="1:34" s="210" customFormat="1" ht="31.5" customHeight="1" x14ac:dyDescent="0.2">
      <c r="A31" s="196">
        <f t="shared" si="5"/>
        <v>17</v>
      </c>
      <c r="B31" s="196"/>
      <c r="C31" s="196" t="s">
        <v>89</v>
      </c>
      <c r="D31" s="197"/>
      <c r="E31" s="197" t="s">
        <v>11</v>
      </c>
      <c r="F31" s="198" t="s">
        <v>123</v>
      </c>
      <c r="G31" s="199" t="str">
        <f>IF(COUNTIFS($C$15:C31,C31,$H$15:H31,H31)=1,
SUMIFS($I$15:$I$43,$C$15:$C$43,C31,$H$15:$H$43,H31)&amp;H31&amp;" "&amp;C31,
"")</f>
        <v/>
      </c>
      <c r="H31" s="250" t="s">
        <v>18</v>
      </c>
      <c r="I31" s="200">
        <v>1</v>
      </c>
      <c r="J31" s="249"/>
      <c r="K31" s="201" cm="1">
        <f t="array" ref="K31">IF(E31="untrim",_xlfn.XLOOKUP(1,(TRIM('SIZE GUIDE'!$A$3:$A$2015)=TRIM(E31))*(TRIM('SIZE GUIDE'!$B$3:$B$2015)=TRIM(F31))*(TRIM('SIZE GUIDE'!$C$3:$C$2015)=TRIM(H31)),'SIZE GUIDE'!$D$3:$D$2015),"")</f>
        <v>81</v>
      </c>
      <c r="L31" s="265" cm="1">
        <f t="array" ref="L31">IF(E31="untrim",IFERROR(INDEX('SIZE GUIDE'!$E:$E,MATCH(1,('SIZE GUIDE'!$A:$A=$E31)*('SIZE GUIDE'!$B:$B=$F31)*('SIZE GUIDE'!$C:$C=$H31),0)),""),"")</f>
        <v>77</v>
      </c>
      <c r="M31" s="202">
        <v>35</v>
      </c>
      <c r="N31" s="203"/>
      <c r="O31" s="203" t="str" cm="1">
        <f t="array" ref="O31">IF(E31="trim",IFERROR(INDEX('SIZE GUIDE'!$E:$E,MATCH(1,('SIZE GUIDE'!$A:$A=$E31)*('SIZE GUIDE'!$B:$B=$F31)*('SIZE GUIDE'!$C:$C=$H31),0)),""),"")</f>
        <v/>
      </c>
      <c r="P31" s="203"/>
      <c r="Q31" s="204">
        <f t="shared" si="0"/>
        <v>79.5</v>
      </c>
      <c r="R31" s="198">
        <f t="shared" si="1"/>
        <v>75.5</v>
      </c>
      <c r="S31" s="198">
        <f t="shared" si="7"/>
        <v>34.5</v>
      </c>
      <c r="T31" s="205">
        <f t="shared" si="4"/>
        <v>1438.0390625</v>
      </c>
      <c r="U31" s="206">
        <f>SUMIFS(CODE_PRICE!F:F,CODE_PRICE!B:B,C31,CODE_PRICE!A:A,$A$8)</f>
        <v>0.1895</v>
      </c>
      <c r="V31" s="207">
        <f t="shared" si="3"/>
        <v>272.50840234374999</v>
      </c>
      <c r="W31" s="208" t="str">
        <f>IF(COUNTIF($C$15:C31,C31)=1,C31 &amp; " - " &amp; TEXT(SUMIF($C:$C,C31,$T:$T),"0.00"),"")</f>
        <v/>
      </c>
      <c r="X31" s="209" t="str">
        <f>IF(COUNTIF($C$15:C31,C31)=1,ROUND(SUMIF($C:$C,C31,$V:$V),2), "")</f>
        <v/>
      </c>
    </row>
    <row r="32" spans="1:34" s="210" customFormat="1" ht="31.5" customHeight="1" x14ac:dyDescent="0.2">
      <c r="A32" s="196">
        <f t="shared" si="5"/>
        <v>18</v>
      </c>
      <c r="B32" s="196"/>
      <c r="C32" s="196" t="s">
        <v>89</v>
      </c>
      <c r="D32" s="197"/>
      <c r="E32" s="197" t="s">
        <v>11</v>
      </c>
      <c r="F32" s="198" t="s">
        <v>123</v>
      </c>
      <c r="G32" s="199" t="str">
        <f>IF(COUNTIFS($C$15:C32,C32,$H$15:H32,H32)=1,
SUMIFS($I$15:$I$43,$C$15:$C$43,C32,$H$15:$H$43,H32)&amp;H32&amp;" "&amp;C32,
"")</f>
        <v/>
      </c>
      <c r="H32" s="250" t="s">
        <v>18</v>
      </c>
      <c r="I32" s="200">
        <v>1</v>
      </c>
      <c r="J32" s="249"/>
      <c r="K32" s="201" cm="1">
        <f t="array" ref="K32">IF(E32="untrim",_xlfn.XLOOKUP(1,(TRIM('SIZE GUIDE'!$A$3:$A$2015)=TRIM(E32))*(TRIM('SIZE GUIDE'!$B$3:$B$2015)=TRIM(F32))*(TRIM('SIZE GUIDE'!$C$3:$C$2015)=TRIM(H32)),'SIZE GUIDE'!$D$3:$D$2015),"")</f>
        <v>81</v>
      </c>
      <c r="L32" s="265" cm="1">
        <f t="array" ref="L32">IF(E32="untrim",IFERROR(INDEX('SIZE GUIDE'!$E:$E,MATCH(1,('SIZE GUIDE'!$A:$A=$E32)*('SIZE GUIDE'!$B:$B=$F32)*('SIZE GUIDE'!$C:$C=$H32),0)),""),"")</f>
        <v>77</v>
      </c>
      <c r="M32" s="202">
        <v>33</v>
      </c>
      <c r="N32" s="203"/>
      <c r="O32" s="203" t="str" cm="1">
        <f t="array" ref="O32">IF(E32="trim",IFERROR(INDEX('SIZE GUIDE'!$E:$E,MATCH(1,('SIZE GUIDE'!$A:$A=$E32)*('SIZE GUIDE'!$B:$B=$F32)*('SIZE GUIDE'!$C:$C=$H32),0)),""),"")</f>
        <v/>
      </c>
      <c r="P32" s="203"/>
      <c r="Q32" s="204">
        <f t="shared" si="0"/>
        <v>79.5</v>
      </c>
      <c r="R32" s="198">
        <f t="shared" si="1"/>
        <v>75.5</v>
      </c>
      <c r="S32" s="198">
        <f t="shared" si="7"/>
        <v>32.5</v>
      </c>
      <c r="T32" s="205">
        <f t="shared" si="4"/>
        <v>1354.6744791666667</v>
      </c>
      <c r="U32" s="206">
        <f>SUMIFS(CODE_PRICE!F:F,CODE_PRICE!B:B,C32,CODE_PRICE!A:A,$A$8)</f>
        <v>0.1895</v>
      </c>
      <c r="V32" s="207">
        <f t="shared" si="3"/>
        <v>256.71081380208335</v>
      </c>
      <c r="W32" s="208" t="str">
        <f>IF(COUNTIF($C$15:C32,C32)=1,C32 &amp; " - " &amp; TEXT(SUMIF($C:$C,C32,$T:$T),"0.00"),"")</f>
        <v/>
      </c>
      <c r="X32" s="209" t="str">
        <f>IF(COUNTIF($C$15:C32,C32)=1,ROUND(SUMIF($C:$C,C32,$V:$V),2), "")</f>
        <v/>
      </c>
    </row>
    <row r="33" spans="1:24" s="210" customFormat="1" ht="31.5" customHeight="1" x14ac:dyDescent="0.2">
      <c r="A33" s="196">
        <f t="shared" si="5"/>
        <v>19</v>
      </c>
      <c r="B33" s="196"/>
      <c r="C33" s="196" t="s">
        <v>89</v>
      </c>
      <c r="D33" s="197"/>
      <c r="E33" s="197" t="s">
        <v>11</v>
      </c>
      <c r="F33" s="198" t="s">
        <v>123</v>
      </c>
      <c r="G33" s="199" t="str">
        <f>IF(COUNTIFS($C$15:C33,C33,$H$15:H33,H33)=1,
SUMIFS($I$15:$I$43,$C$15:$C$43,C33,$H$15:$H$43,H33)&amp;H33&amp;" "&amp;C33,
"")</f>
        <v/>
      </c>
      <c r="H33" s="250" t="s">
        <v>18</v>
      </c>
      <c r="I33" s="200">
        <v>1</v>
      </c>
      <c r="J33" s="249"/>
      <c r="K33" s="201" cm="1">
        <f t="array" ref="K33">IF(E33="untrim",_xlfn.XLOOKUP(1,(TRIM('SIZE GUIDE'!$A$3:$A$2015)=TRIM(E33))*(TRIM('SIZE GUIDE'!$B$3:$B$2015)=TRIM(F33))*(TRIM('SIZE GUIDE'!$C$3:$C$2015)=TRIM(H33)),'SIZE GUIDE'!$D$3:$D$2015),"")</f>
        <v>81</v>
      </c>
      <c r="L33" s="265" cm="1">
        <f t="array" ref="L33">IF(E33="untrim",IFERROR(INDEX('SIZE GUIDE'!$E:$E,MATCH(1,('SIZE GUIDE'!$A:$A=$E33)*('SIZE GUIDE'!$B:$B=$F33)*('SIZE GUIDE'!$C:$C=$H33),0)),""),"")</f>
        <v>77</v>
      </c>
      <c r="M33" s="202">
        <v>36</v>
      </c>
      <c r="N33" s="203"/>
      <c r="O33" s="203" t="str" cm="1">
        <f t="array" ref="O33">IF(E33="trim",IFERROR(INDEX('SIZE GUIDE'!$E:$E,MATCH(1,('SIZE GUIDE'!$A:$A=$E33)*('SIZE GUIDE'!$B:$B=$F33)*('SIZE GUIDE'!$C:$C=$H33),0)),""),"")</f>
        <v/>
      </c>
      <c r="P33" s="203"/>
      <c r="Q33" s="204">
        <f t="shared" si="0"/>
        <v>79.5</v>
      </c>
      <c r="R33" s="198">
        <f t="shared" si="1"/>
        <v>75.5</v>
      </c>
      <c r="S33" s="198">
        <f t="shared" si="7"/>
        <v>35.5</v>
      </c>
      <c r="T33" s="205">
        <f t="shared" si="4"/>
        <v>1479.7213541666667</v>
      </c>
      <c r="U33" s="206">
        <f>SUMIFS(CODE_PRICE!F:F,CODE_PRICE!B:B,C33,CODE_PRICE!A:A,$A$8)</f>
        <v>0.1895</v>
      </c>
      <c r="V33" s="207">
        <f t="shared" si="3"/>
        <v>280.40719661458337</v>
      </c>
      <c r="W33" s="208" t="str">
        <f>IF(COUNTIF($C$15:C33,C33)=1,C33 &amp; " - " &amp; TEXT(SUMIF($C:$C,C33,$T:$T),"0.00"),"")</f>
        <v/>
      </c>
      <c r="X33" s="209" t="str">
        <f>IF(COUNTIF($C$15:C33,C33)=1,ROUND(SUMIF($C:$C,C33,$V:$V),2), "")</f>
        <v/>
      </c>
    </row>
    <row r="34" spans="1:24" s="210" customFormat="1" ht="31.5" customHeight="1" x14ac:dyDescent="0.2">
      <c r="A34" s="196">
        <f t="shared" si="5"/>
        <v>20</v>
      </c>
      <c r="B34" s="196"/>
      <c r="C34" s="196" t="s">
        <v>89</v>
      </c>
      <c r="D34" s="197"/>
      <c r="E34" s="197" t="s">
        <v>11</v>
      </c>
      <c r="F34" s="198" t="s">
        <v>123</v>
      </c>
      <c r="G34" s="199" t="str">
        <f>IF(COUNTIFS($C$15:C34,C34,$H$15:H34,H34)=1,
SUMIFS($I$15:$I$43,$C$15:$C$43,C34,$H$15:$H$43,H34)&amp;H34&amp;" "&amp;C34,
"")</f>
        <v/>
      </c>
      <c r="H34" s="250" t="s">
        <v>18</v>
      </c>
      <c r="I34" s="200">
        <v>1</v>
      </c>
      <c r="J34" s="249"/>
      <c r="K34" s="201" cm="1">
        <f t="array" ref="K34">IF(E34="untrim",_xlfn.XLOOKUP(1,(TRIM('SIZE GUIDE'!$A$3:$A$2015)=TRIM(E34))*(TRIM('SIZE GUIDE'!$B$3:$B$2015)=TRIM(F34))*(TRIM('SIZE GUIDE'!$C$3:$C$2015)=TRIM(H34)),'SIZE GUIDE'!$D$3:$D$2015),"")</f>
        <v>81</v>
      </c>
      <c r="L34" s="265" cm="1">
        <f t="array" ref="L34">IF(E34="untrim",IFERROR(INDEX('SIZE GUIDE'!$E:$E,MATCH(1,('SIZE GUIDE'!$A:$A=$E34)*('SIZE GUIDE'!$B:$B=$F34)*('SIZE GUIDE'!$C:$C=$H34),0)),""),"")</f>
        <v>77</v>
      </c>
      <c r="M34" s="202">
        <v>32</v>
      </c>
      <c r="N34" s="203"/>
      <c r="O34" s="203" t="str" cm="1">
        <f t="array" ref="O34">IF(E34="trim",IFERROR(INDEX('SIZE GUIDE'!$E:$E,MATCH(1,('SIZE GUIDE'!$A:$A=$E34)*('SIZE GUIDE'!$B:$B=$F34)*('SIZE GUIDE'!$C:$C=$H34),0)),""),"")</f>
        <v/>
      </c>
      <c r="P34" s="203"/>
      <c r="Q34" s="204">
        <f t="shared" ref="Q34" si="8">IF(E34="untrim",K34-1.5,N34)</f>
        <v>79.5</v>
      </c>
      <c r="R34" s="198">
        <f t="shared" ref="R34" si="9">IF(E34="untrim",L34-1.5,O34)</f>
        <v>75.5</v>
      </c>
      <c r="S34" s="198">
        <f t="shared" ref="S34" si="10">IF(E34="untrim",M34-0.5,P34-0.5)</f>
        <v>31.5</v>
      </c>
      <c r="T34" s="205">
        <f t="shared" ref="T34" si="11">IFERROR(Q34*R34*S34/144*I34,"")</f>
        <v>1312.9921875</v>
      </c>
      <c r="U34" s="206">
        <f>SUMIFS(CODE_PRICE!F:F,CODE_PRICE!B:B,C34,CODE_PRICE!A:A,$A$8)</f>
        <v>0.1895</v>
      </c>
      <c r="V34" s="207">
        <f t="shared" ref="V34" si="12">T34*U34</f>
        <v>248.81201953125</v>
      </c>
      <c r="W34" s="208" t="str">
        <f>IF(COUNTIF($C$15:C34,C34)=1,C34 &amp; " - " &amp; TEXT(SUMIF($C:$C,C34,$T:$T),"0.00"),"")</f>
        <v/>
      </c>
      <c r="X34" s="209" t="str">
        <f>IF(COUNTIF($C$15:C34,C34)=1,ROUND(SUMIF($C:$C,C34,$V:$V),2), "")</f>
        <v/>
      </c>
    </row>
    <row r="35" spans="1:24" s="210" customFormat="1" ht="31.5" customHeight="1" x14ac:dyDescent="0.2">
      <c r="A35" s="196">
        <f t="shared" si="5"/>
        <v>21</v>
      </c>
      <c r="B35" s="196"/>
      <c r="C35" s="196" t="s">
        <v>89</v>
      </c>
      <c r="D35" s="197"/>
      <c r="E35" s="197" t="s">
        <v>11</v>
      </c>
      <c r="F35" s="198" t="s">
        <v>123</v>
      </c>
      <c r="G35" s="199" t="str">
        <f>IF(COUNTIFS($C$15:C35,C35,$H$15:H35,H35)=1,
SUMIFS($I$15:$I$43,$C$15:$C$43,C35,$H$15:$H$43,H35)&amp;H35&amp;" "&amp;C35,
"")</f>
        <v>4T CFN30100W</v>
      </c>
      <c r="H35" s="250" t="s">
        <v>12</v>
      </c>
      <c r="I35" s="200">
        <v>1</v>
      </c>
      <c r="J35" s="249"/>
      <c r="K35" s="201" cm="1">
        <f t="array" ref="K35">IF(E35="untrim",_xlfn.XLOOKUP(1,(TRIM('SIZE GUIDE'!$A$3:$A$2015)=TRIM(E35))*(TRIM('SIZE GUIDE'!$B$3:$B$2015)=TRIM(F35))*(TRIM('SIZE GUIDE'!$C$3:$C$2015)=TRIM(H35)),'SIZE GUIDE'!$D$3:$D$2015),"")</f>
        <v>76</v>
      </c>
      <c r="L35" s="265" cm="1">
        <f t="array" ref="L35">IF(E35="untrim",IFERROR(INDEX('SIZE GUIDE'!$E:$E,MATCH(1,('SIZE GUIDE'!$A:$A=$E35)*('SIZE GUIDE'!$B:$B=$F35)*('SIZE GUIDE'!$C:$C=$H35),0)),""),"")</f>
        <v>39</v>
      </c>
      <c r="M35" s="202">
        <v>42</v>
      </c>
      <c r="N35" s="203"/>
      <c r="O35" s="203" t="str" cm="1">
        <f t="array" ref="O35">IF(E35="trim",IFERROR(INDEX('SIZE GUIDE'!$E:$E,MATCH(1,('SIZE GUIDE'!$A:$A=$E35)*('SIZE GUIDE'!$B:$B=$F35)*('SIZE GUIDE'!$C:$C=$H35),0)),""),"")</f>
        <v/>
      </c>
      <c r="P35" s="203"/>
      <c r="Q35" s="204">
        <f t="shared" ref="Q35:Q37" si="13">IF(E35="untrim",K35-1.5,N35)</f>
        <v>74.5</v>
      </c>
      <c r="R35" s="198">
        <f t="shared" ref="R35:R37" si="14">IF(E35="untrim",L35-1.5,O35)</f>
        <v>37.5</v>
      </c>
      <c r="S35" s="198">
        <f t="shared" ref="S35:S37" si="15">IF(E35="untrim",M35-0.5,P35-0.5)</f>
        <v>41.5</v>
      </c>
      <c r="T35" s="205">
        <f t="shared" ref="T35:T37" si="16">IFERROR(Q35*R35*S35/144*I35,"")</f>
        <v>805.14322916666663</v>
      </c>
      <c r="U35" s="206">
        <f>SUMIFS(CODE_PRICE!F:F,CODE_PRICE!B:B,C35,CODE_PRICE!A:A,$A$8)</f>
        <v>0.1895</v>
      </c>
      <c r="V35" s="207">
        <f t="shared" ref="V35:V37" si="17">T35*U35</f>
        <v>152.57464192708332</v>
      </c>
      <c r="W35" s="208" t="str">
        <f>IF(COUNTIF($C$15:C35,C35)=1,C35 &amp; " - " &amp; TEXT(SUMIF($C:$C,C35,$T:$T),"0.00"),"")</f>
        <v/>
      </c>
      <c r="X35" s="209" t="str">
        <f>IF(COUNTIF($C$15:C35,C35)=1,ROUND(SUMIF($C:$C,C35,$V:$V),2), "")</f>
        <v/>
      </c>
    </row>
    <row r="36" spans="1:24" s="210" customFormat="1" ht="31.5" customHeight="1" x14ac:dyDescent="0.2">
      <c r="A36" s="196">
        <f t="shared" si="5"/>
        <v>22</v>
      </c>
      <c r="B36" s="196"/>
      <c r="C36" s="196" t="s">
        <v>89</v>
      </c>
      <c r="D36" s="197"/>
      <c r="E36" s="197" t="s">
        <v>11</v>
      </c>
      <c r="F36" s="198" t="s">
        <v>123</v>
      </c>
      <c r="G36" s="199" t="str">
        <f>IF(COUNTIFS($C$15:C36,C36,$H$15:H36,H36)=1,
SUMIFS($I$15:$I$43,$C$15:$C$43,C36,$H$15:$H$43,H36)&amp;H36&amp;" "&amp;C36,
"")</f>
        <v/>
      </c>
      <c r="H36" s="250" t="s">
        <v>12</v>
      </c>
      <c r="I36" s="200">
        <v>1</v>
      </c>
      <c r="J36" s="249"/>
      <c r="K36" s="201" cm="1">
        <f t="array" ref="K36">IF(E36="untrim",_xlfn.XLOOKUP(1,(TRIM('SIZE GUIDE'!$A$3:$A$2015)=TRIM(E36))*(TRIM('SIZE GUIDE'!$B$3:$B$2015)=TRIM(F36))*(TRIM('SIZE GUIDE'!$C$3:$C$2015)=TRIM(H36)),'SIZE GUIDE'!$D$3:$D$2015),"")</f>
        <v>76</v>
      </c>
      <c r="L36" s="265" cm="1">
        <f t="array" ref="L36">IF(E36="untrim",IFERROR(INDEX('SIZE GUIDE'!$E:$E,MATCH(1,('SIZE GUIDE'!$A:$A=$E36)*('SIZE GUIDE'!$B:$B=$F36)*('SIZE GUIDE'!$C:$C=$H36),0)),""),"")</f>
        <v>39</v>
      </c>
      <c r="M36" s="202">
        <v>42</v>
      </c>
      <c r="N36" s="203"/>
      <c r="O36" s="203" t="str" cm="1">
        <f t="array" ref="O36">IF(E36="trim",IFERROR(INDEX('SIZE GUIDE'!$E:$E,MATCH(1,('SIZE GUIDE'!$A:$A=$E36)*('SIZE GUIDE'!$B:$B=$F36)*('SIZE GUIDE'!$C:$C=$H36),0)),""),"")</f>
        <v/>
      </c>
      <c r="P36" s="203"/>
      <c r="Q36" s="204">
        <f t="shared" si="13"/>
        <v>74.5</v>
      </c>
      <c r="R36" s="198">
        <f t="shared" si="14"/>
        <v>37.5</v>
      </c>
      <c r="S36" s="198">
        <f t="shared" si="15"/>
        <v>41.5</v>
      </c>
      <c r="T36" s="205">
        <f t="shared" si="16"/>
        <v>805.14322916666663</v>
      </c>
      <c r="U36" s="206">
        <f>SUMIFS(CODE_PRICE!F:F,CODE_PRICE!B:B,C36,CODE_PRICE!A:A,$A$8)</f>
        <v>0.1895</v>
      </c>
      <c r="V36" s="207">
        <f t="shared" si="17"/>
        <v>152.57464192708332</v>
      </c>
      <c r="W36" s="208" t="str">
        <f>IF(COUNTIF($C$15:C36,C36)=1,C36 &amp; " - " &amp; TEXT(SUMIF($C:$C,C36,$T:$T),"0.00"),"")</f>
        <v/>
      </c>
      <c r="X36" s="209" t="str">
        <f>IF(COUNTIF($C$15:C36,C36)=1,ROUND(SUMIF($C:$C,C36,$V:$V),2), "")</f>
        <v/>
      </c>
    </row>
    <row r="37" spans="1:24" s="210" customFormat="1" ht="31.5" customHeight="1" x14ac:dyDescent="0.2">
      <c r="A37" s="196">
        <f t="shared" si="5"/>
        <v>23</v>
      </c>
      <c r="B37" s="196"/>
      <c r="C37" s="196" t="s">
        <v>89</v>
      </c>
      <c r="D37" s="197"/>
      <c r="E37" s="197" t="s">
        <v>11</v>
      </c>
      <c r="F37" s="198" t="s">
        <v>123</v>
      </c>
      <c r="G37" s="199" t="str">
        <f>IF(COUNTIFS($C$15:C37,C37,$H$15:H37,H37)=1,
SUMIFS($I$15:$I$43,$C$15:$C$43,C37,$H$15:$H$43,H37)&amp;H37&amp;" "&amp;C37,
"")</f>
        <v/>
      </c>
      <c r="H37" s="250" t="s">
        <v>12</v>
      </c>
      <c r="I37" s="200">
        <v>1</v>
      </c>
      <c r="J37" s="249"/>
      <c r="K37" s="201" cm="1">
        <f t="array" ref="K37">IF(E37="untrim",_xlfn.XLOOKUP(1,(TRIM('SIZE GUIDE'!$A$3:$A$2015)=TRIM(E37))*(TRIM('SIZE GUIDE'!$B$3:$B$2015)=TRIM(F37))*(TRIM('SIZE GUIDE'!$C$3:$C$2015)=TRIM(H37)),'SIZE GUIDE'!$D$3:$D$2015),"")</f>
        <v>76</v>
      </c>
      <c r="L37" s="265" cm="1">
        <f t="array" ref="L37">IF(E37="untrim",IFERROR(INDEX('SIZE GUIDE'!$E:$E,MATCH(1,('SIZE GUIDE'!$A:$A=$E37)*('SIZE GUIDE'!$B:$B=$F37)*('SIZE GUIDE'!$C:$C=$H37),0)),""),"")</f>
        <v>39</v>
      </c>
      <c r="M37" s="202">
        <v>41</v>
      </c>
      <c r="N37" s="203"/>
      <c r="O37" s="203" t="str" cm="1">
        <f t="array" ref="O37">IF(E37="trim",IFERROR(INDEX('SIZE GUIDE'!$E:$E,MATCH(1,('SIZE GUIDE'!$A:$A=$E37)*('SIZE GUIDE'!$B:$B=$F37)*('SIZE GUIDE'!$C:$C=$H37),0)),""),"")</f>
        <v/>
      </c>
      <c r="P37" s="203"/>
      <c r="Q37" s="204">
        <f t="shared" si="13"/>
        <v>74.5</v>
      </c>
      <c r="R37" s="198">
        <f t="shared" si="14"/>
        <v>37.5</v>
      </c>
      <c r="S37" s="198">
        <f t="shared" si="15"/>
        <v>40.5</v>
      </c>
      <c r="T37" s="205">
        <f t="shared" si="16"/>
        <v>785.7421875</v>
      </c>
      <c r="U37" s="206">
        <f>SUMIFS(CODE_PRICE!F:F,CODE_PRICE!B:B,C37,CODE_PRICE!A:A,$A$8)</f>
        <v>0.1895</v>
      </c>
      <c r="V37" s="207">
        <f t="shared" si="17"/>
        <v>148.89814453125001</v>
      </c>
      <c r="W37" s="208" t="str">
        <f>IF(COUNTIF($C$15:C37,C37)=1,C37 &amp; " - " &amp; TEXT(SUMIF($C:$C,C37,$T:$T),"0.00"),"")</f>
        <v/>
      </c>
      <c r="X37" s="209" t="str">
        <f>IF(COUNTIF($C$15:C37,C37)=1,ROUND(SUMIF($C:$C,C37,$V:$V),2), "")</f>
        <v/>
      </c>
    </row>
    <row r="38" spans="1:24" s="210" customFormat="1" ht="31.5" customHeight="1" x14ac:dyDescent="0.2">
      <c r="A38" s="196">
        <f t="shared" si="5"/>
        <v>24</v>
      </c>
      <c r="B38" s="196"/>
      <c r="C38" s="196" t="s">
        <v>89</v>
      </c>
      <c r="D38" s="197"/>
      <c r="E38" s="197" t="s">
        <v>11</v>
      </c>
      <c r="F38" s="198" t="s">
        <v>123</v>
      </c>
      <c r="G38" s="199" t="str">
        <f>IF(COUNTIFS($C$15:C38,C38,$H$15:H38,H38)=1,
SUMIFS($I$15:$I$43,$C$15:$C$43,C38,$H$15:$H$43,H38)&amp;H38&amp;" "&amp;C38,
"")</f>
        <v/>
      </c>
      <c r="H38" s="250" t="s">
        <v>12</v>
      </c>
      <c r="I38" s="200">
        <v>1</v>
      </c>
      <c r="J38" s="249"/>
      <c r="K38" s="201" cm="1">
        <f t="array" ref="K38">IF(E38="untrim",_xlfn.XLOOKUP(1,(TRIM('SIZE GUIDE'!$A$3:$A$2015)=TRIM(E38))*(TRIM('SIZE GUIDE'!$B$3:$B$2015)=TRIM(F38))*(TRIM('SIZE GUIDE'!$C$3:$C$2015)=TRIM(H38)),'SIZE GUIDE'!$D$3:$D$2015),"")</f>
        <v>76</v>
      </c>
      <c r="L38" s="265" cm="1">
        <f t="array" ref="L38">IF(E38="untrim",IFERROR(INDEX('SIZE GUIDE'!$E:$E,MATCH(1,('SIZE GUIDE'!$A:$A=$E38)*('SIZE GUIDE'!$B:$B=$F38)*('SIZE GUIDE'!$C:$C=$H38),0)),""),"")</f>
        <v>39</v>
      </c>
      <c r="M38" s="202">
        <v>33.5</v>
      </c>
      <c r="N38" s="203"/>
      <c r="O38" s="203" t="str" cm="1">
        <f t="array" ref="O38">IF(E38="trim",IFERROR(INDEX('SIZE GUIDE'!$E:$E,MATCH(1,('SIZE GUIDE'!$A:$A=$E38)*('SIZE GUIDE'!$B:$B=$F38)*('SIZE GUIDE'!$C:$C=$H38),0)),""),"")</f>
        <v/>
      </c>
      <c r="P38" s="203"/>
      <c r="Q38" s="204">
        <f t="shared" ref="Q38" si="18">IF(E38="untrim",K38-1.5,N38)</f>
        <v>74.5</v>
      </c>
      <c r="R38" s="198">
        <f t="shared" ref="R38" si="19">IF(E38="untrim",L38-1.5,O38)</f>
        <v>37.5</v>
      </c>
      <c r="S38" s="198">
        <f t="shared" ref="S38" si="20">IF(E38="untrim",M38-0.5,P38-0.5)</f>
        <v>33</v>
      </c>
      <c r="T38" s="205">
        <f t="shared" ref="T38" si="21">IFERROR(Q38*R38*S38/144*I38,"")</f>
        <v>640.234375</v>
      </c>
      <c r="U38" s="206">
        <f>SUMIFS(CODE_PRICE!F:F,CODE_PRICE!B:B,C38,CODE_PRICE!A:A,$A$8)</f>
        <v>0.1895</v>
      </c>
      <c r="V38" s="207">
        <f t="shared" ref="V38" si="22">T38*U38</f>
        <v>121.3244140625</v>
      </c>
      <c r="W38" s="208" t="str">
        <f>IF(COUNTIF($C$15:C38,C38)=1,C38 &amp; " - " &amp; TEXT(SUMIF($C:$C,C38,$T:$T),"0.00"),"")</f>
        <v/>
      </c>
      <c r="X38" s="209" t="str">
        <f>IF(COUNTIF($C$15:C38,C38)=1,ROUND(SUMIF($C:$C,C38,$V:$V),2), "")</f>
        <v/>
      </c>
    </row>
    <row r="39" spans="1:24" s="210" customFormat="1" ht="31.5" customHeight="1" x14ac:dyDescent="0.2">
      <c r="A39" s="196"/>
      <c r="B39" s="196"/>
      <c r="C39" s="196"/>
      <c r="D39" s="197"/>
      <c r="E39" s="197"/>
      <c r="F39" s="198"/>
      <c r="G39" s="199"/>
      <c r="H39" s="197"/>
      <c r="I39" s="200"/>
      <c r="J39" s="249"/>
      <c r="K39" s="201"/>
      <c r="L39" s="265"/>
      <c r="M39" s="202"/>
      <c r="N39" s="203"/>
      <c r="O39" s="203"/>
      <c r="P39" s="203"/>
      <c r="Q39" s="204"/>
      <c r="R39" s="198"/>
      <c r="S39" s="198"/>
      <c r="T39" s="205"/>
      <c r="U39" s="206"/>
      <c r="V39" s="207"/>
      <c r="W39" s="208"/>
      <c r="X39" s="209"/>
    </row>
    <row r="40" spans="1:24" s="210" customFormat="1" ht="31.5" customHeight="1" x14ac:dyDescent="0.2">
      <c r="A40" s="196"/>
      <c r="B40" s="196"/>
      <c r="C40" s="196"/>
      <c r="D40" s="197"/>
      <c r="E40" s="197"/>
      <c r="F40" s="198"/>
      <c r="G40" s="199"/>
      <c r="H40" s="197"/>
      <c r="I40" s="200"/>
      <c r="J40" s="249"/>
      <c r="K40" s="201"/>
      <c r="L40" s="265"/>
      <c r="M40" s="202"/>
      <c r="N40" s="203"/>
      <c r="O40" s="203"/>
      <c r="P40" s="203"/>
      <c r="Q40" s="204"/>
      <c r="R40" s="198"/>
      <c r="S40" s="198"/>
      <c r="T40" s="205"/>
      <c r="U40" s="206"/>
      <c r="V40" s="207"/>
      <c r="W40" s="208"/>
      <c r="X40" s="209"/>
    </row>
    <row r="41" spans="1:24" s="210" customFormat="1" ht="31.5" customHeight="1" x14ac:dyDescent="0.2">
      <c r="A41" s="196"/>
      <c r="B41" s="196"/>
      <c r="C41" s="196"/>
      <c r="D41" s="197"/>
      <c r="E41" s="197"/>
      <c r="F41" s="198"/>
      <c r="G41" s="199"/>
      <c r="H41" s="197"/>
      <c r="I41" s="200"/>
      <c r="J41" s="249"/>
      <c r="K41" s="201"/>
      <c r="L41" s="265"/>
      <c r="M41" s="202"/>
      <c r="N41" s="203"/>
      <c r="O41" s="203"/>
      <c r="P41" s="203"/>
      <c r="Q41" s="204"/>
      <c r="R41" s="198"/>
      <c r="S41" s="198"/>
      <c r="T41" s="205"/>
      <c r="U41" s="206"/>
      <c r="V41" s="207"/>
      <c r="W41" s="208"/>
      <c r="X41" s="209"/>
    </row>
    <row r="42" spans="1:24" s="210" customFormat="1" ht="31.5" customHeight="1" x14ac:dyDescent="0.2">
      <c r="A42" s="196"/>
      <c r="B42" s="196"/>
      <c r="C42" s="196"/>
      <c r="D42" s="197"/>
      <c r="E42" s="197"/>
      <c r="F42" s="198"/>
      <c r="G42" s="199"/>
      <c r="H42" s="197"/>
      <c r="I42" s="200"/>
      <c r="J42" s="249"/>
      <c r="K42" s="201"/>
      <c r="L42" s="265"/>
      <c r="M42" s="202"/>
      <c r="N42" s="203"/>
      <c r="O42" s="203"/>
      <c r="P42" s="203"/>
      <c r="Q42" s="204"/>
      <c r="R42" s="198"/>
      <c r="S42" s="198"/>
      <c r="T42" s="205"/>
      <c r="U42" s="206"/>
      <c r="V42" s="207"/>
      <c r="W42" s="208"/>
      <c r="X42" s="209"/>
    </row>
    <row r="43" spans="1:24" s="210" customFormat="1" ht="31.5" customHeight="1" x14ac:dyDescent="0.2">
      <c r="A43" s="196"/>
      <c r="B43" s="196"/>
      <c r="C43" s="196"/>
      <c r="D43" s="197"/>
      <c r="E43" s="197"/>
      <c r="F43" s="198"/>
      <c r="G43" s="199"/>
      <c r="H43" s="197"/>
      <c r="I43" s="200"/>
      <c r="J43" s="249"/>
      <c r="K43" s="201"/>
      <c r="L43" s="265"/>
      <c r="M43" s="202"/>
      <c r="N43" s="203"/>
      <c r="O43" s="203"/>
      <c r="P43" s="203"/>
      <c r="Q43" s="204"/>
      <c r="R43" s="198"/>
      <c r="S43" s="198"/>
      <c r="T43" s="205"/>
      <c r="U43" s="206"/>
      <c r="V43" s="207"/>
      <c r="W43" s="208"/>
      <c r="X43" s="209"/>
    </row>
    <row r="44" spans="1:24" s="210" customFormat="1" ht="31.5" customHeight="1" x14ac:dyDescent="0.2">
      <c r="A44" s="196"/>
      <c r="B44" s="196"/>
      <c r="C44" s="196"/>
      <c r="D44" s="197"/>
      <c r="E44" s="197"/>
      <c r="F44" s="198"/>
      <c r="G44" s="199"/>
      <c r="H44" s="197"/>
      <c r="I44" s="200"/>
      <c r="J44" s="249"/>
      <c r="K44" s="201"/>
      <c r="L44" s="265"/>
      <c r="M44" s="202"/>
      <c r="N44" s="203"/>
      <c r="O44" s="203"/>
      <c r="P44" s="203"/>
      <c r="Q44" s="204"/>
      <c r="R44" s="198"/>
      <c r="S44" s="198"/>
      <c r="T44" s="205"/>
      <c r="U44" s="206"/>
      <c r="V44" s="207"/>
      <c r="W44" s="208"/>
      <c r="X44" s="209"/>
    </row>
    <row r="45" spans="1:24" s="210" customFormat="1" ht="31.5" customHeight="1" x14ac:dyDescent="0.2">
      <c r="A45" s="196"/>
      <c r="B45" s="196"/>
      <c r="C45" s="196"/>
      <c r="D45" s="197"/>
      <c r="E45" s="197"/>
      <c r="F45" s="198"/>
      <c r="G45" s="199"/>
      <c r="H45" s="197"/>
      <c r="I45" s="200"/>
      <c r="J45" s="249"/>
      <c r="K45" s="201"/>
      <c r="L45" s="265"/>
      <c r="M45" s="202"/>
      <c r="N45" s="203"/>
      <c r="O45" s="203"/>
      <c r="P45" s="203"/>
      <c r="Q45" s="204"/>
      <c r="R45" s="198"/>
      <c r="S45" s="198"/>
      <c r="T45" s="205"/>
      <c r="U45" s="206"/>
      <c r="V45" s="207"/>
      <c r="W45" s="208"/>
      <c r="X45" s="209"/>
    </row>
    <row r="46" spans="1:24" s="210" customFormat="1" ht="31.5" customHeight="1" x14ac:dyDescent="0.2">
      <c r="A46" s="212"/>
      <c r="B46" s="212"/>
      <c r="C46" s="212"/>
      <c r="D46" s="212"/>
      <c r="E46" s="213"/>
      <c r="F46" s="212"/>
      <c r="G46" s="212"/>
      <c r="H46" s="214" t="s">
        <v>155</v>
      </c>
      <c r="I46" s="215">
        <f>SUM(I13:I43)</f>
        <v>24</v>
      </c>
      <c r="J46" s="248"/>
      <c r="K46" s="216"/>
      <c r="L46" s="264"/>
      <c r="M46" s="216"/>
      <c r="N46" s="217"/>
      <c r="O46" s="217"/>
      <c r="P46" s="217"/>
      <c r="Q46" s="213"/>
      <c r="R46" s="213"/>
      <c r="S46" s="213"/>
      <c r="T46" s="218">
        <f>SUM(T13:T45)</f>
        <v>27969.033854166672</v>
      </c>
      <c r="U46" s="219"/>
      <c r="V46" s="220">
        <f>SUM(V13:V45)</f>
        <v>5300.1319153645836</v>
      </c>
      <c r="W46" s="219"/>
      <c r="X46" s="220"/>
    </row>
    <row r="47" spans="1:24" s="210" customFormat="1" ht="31.5" customHeight="1" x14ac:dyDescent="0.2">
      <c r="A47" s="196"/>
      <c r="B47" s="196"/>
      <c r="C47" s="196"/>
      <c r="D47" s="197"/>
      <c r="E47" s="197"/>
      <c r="F47" s="198"/>
      <c r="G47" s="199"/>
      <c r="H47" s="221" t="s">
        <v>156</v>
      </c>
      <c r="I47" s="222"/>
      <c r="J47" s="250"/>
      <c r="K47" s="204"/>
      <c r="L47" s="266"/>
      <c r="M47" s="223"/>
      <c r="N47" s="204"/>
      <c r="O47" s="204"/>
      <c r="P47" s="204"/>
      <c r="Q47" s="224"/>
      <c r="R47" s="224"/>
      <c r="S47" s="224"/>
      <c r="T47" s="205"/>
      <c r="U47" s="224"/>
      <c r="V47" s="207"/>
      <c r="W47" s="224"/>
      <c r="X47" s="207"/>
    </row>
    <row r="48" spans="1:24" s="210" customFormat="1" ht="31.5" customHeight="1" x14ac:dyDescent="0.2">
      <c r="A48" s="212"/>
      <c r="B48" s="212"/>
      <c r="C48" s="212"/>
      <c r="D48" s="213"/>
      <c r="E48" s="213"/>
      <c r="F48" s="213"/>
      <c r="G48" s="213"/>
      <c r="H48" s="214" t="s">
        <v>162</v>
      </c>
      <c r="I48" s="215">
        <f>SUM(I15:I43)</f>
        <v>24</v>
      </c>
      <c r="J48" s="248"/>
      <c r="K48" s="216"/>
      <c r="L48" s="264"/>
      <c r="M48" s="216"/>
      <c r="N48" s="217"/>
      <c r="O48" s="217"/>
      <c r="P48" s="217"/>
      <c r="Q48" s="213"/>
      <c r="R48" s="213"/>
      <c r="S48" s="213"/>
      <c r="T48" s="218">
        <f>SUM(T15:T45)</f>
        <v>27969.033854166672</v>
      </c>
      <c r="U48" s="219"/>
      <c r="V48" s="220">
        <f>+V46+V47</f>
        <v>5300.1319153645836</v>
      </c>
      <c r="W48" s="219"/>
      <c r="X48" s="220"/>
    </row>
    <row r="49" spans="1:24" s="228" customFormat="1" ht="15" customHeight="1" x14ac:dyDescent="0.25">
      <c r="A49" s="225"/>
      <c r="B49" s="225"/>
      <c r="C49" s="225"/>
      <c r="D49" s="225"/>
      <c r="E49" s="225"/>
      <c r="F49" s="226"/>
      <c r="G49" s="225"/>
      <c r="H49" s="227"/>
      <c r="I49" s="227"/>
      <c r="J49" s="251"/>
      <c r="L49" s="267"/>
      <c r="V49" s="229"/>
      <c r="X49" s="230"/>
    </row>
    <row r="50" spans="1:24" s="228" customFormat="1" ht="15" customHeight="1" x14ac:dyDescent="0.25">
      <c r="A50" s="225" t="s">
        <v>218</v>
      </c>
      <c r="B50" s="225"/>
      <c r="C50" s="225"/>
      <c r="D50" s="225"/>
      <c r="E50" s="225"/>
      <c r="F50" s="226"/>
      <c r="G50" s="225"/>
      <c r="H50" s="227"/>
      <c r="I50" s="227"/>
      <c r="J50" s="251"/>
      <c r="L50" s="267"/>
      <c r="V50" s="229"/>
      <c r="X50" s="230"/>
    </row>
    <row r="51" spans="1:24" s="228" customFormat="1" ht="15" customHeight="1" x14ac:dyDescent="0.25">
      <c r="A51" s="225"/>
      <c r="B51" s="225"/>
      <c r="C51" s="225"/>
      <c r="D51" s="225"/>
      <c r="E51" s="225"/>
      <c r="F51" s="226"/>
      <c r="G51" s="225"/>
      <c r="H51" s="227"/>
      <c r="I51" s="227"/>
      <c r="J51" s="251"/>
      <c r="L51" s="267"/>
      <c r="V51" s="229"/>
      <c r="X51" s="230"/>
    </row>
    <row r="52" spans="1:24" s="228" customFormat="1" ht="15" customHeight="1" x14ac:dyDescent="0.25">
      <c r="A52" s="225" t="s">
        <v>219</v>
      </c>
      <c r="B52" s="225"/>
      <c r="C52" s="225"/>
      <c r="D52" s="225"/>
      <c r="E52" s="225"/>
      <c r="F52" s="226"/>
      <c r="G52" s="225"/>
      <c r="H52" s="227"/>
      <c r="I52" s="227"/>
      <c r="J52" s="251"/>
      <c r="L52" s="267"/>
      <c r="V52" s="229"/>
      <c r="X52" s="230"/>
    </row>
    <row r="53" spans="1:24" ht="15" customHeight="1" x14ac:dyDescent="0.25">
      <c r="A53" s="48"/>
      <c r="B53" s="48"/>
      <c r="C53" s="48"/>
      <c r="D53" s="48"/>
      <c r="E53" s="48"/>
      <c r="F53" s="84"/>
      <c r="G53" s="48"/>
      <c r="H53" s="85"/>
      <c r="I53" s="85"/>
      <c r="J53" s="252"/>
      <c r="K53" s="35"/>
      <c r="L53" s="268"/>
      <c r="M53" s="35"/>
      <c r="N53" s="35"/>
      <c r="O53" s="35"/>
      <c r="P53" s="35"/>
      <c r="Q53" s="35"/>
      <c r="R53" s="35"/>
      <c r="S53" s="35"/>
      <c r="T53" s="35"/>
      <c r="U53" s="35"/>
      <c r="V53" s="89"/>
    </row>
    <row r="54" spans="1:24" ht="15" customHeight="1" x14ac:dyDescent="0.25">
      <c r="A54" s="48"/>
      <c r="B54" s="48"/>
      <c r="C54" s="48"/>
      <c r="D54" s="48"/>
      <c r="E54" s="48"/>
      <c r="F54" s="84"/>
      <c r="G54" s="48"/>
      <c r="H54" s="85"/>
      <c r="I54" s="85"/>
      <c r="J54" s="252"/>
      <c r="K54" s="35"/>
      <c r="L54" s="268"/>
      <c r="M54" s="35"/>
      <c r="N54" s="35"/>
      <c r="O54" s="35"/>
      <c r="P54" s="35"/>
      <c r="Q54" s="35"/>
      <c r="R54" s="35"/>
      <c r="S54" s="35"/>
      <c r="T54" s="35"/>
      <c r="U54" s="35"/>
      <c r="V54" s="89"/>
    </row>
    <row r="55" spans="1:24" ht="15" customHeight="1" x14ac:dyDescent="0.25">
      <c r="A55" s="86"/>
      <c r="B55" s="318"/>
      <c r="C55" s="318"/>
      <c r="D55" s="318"/>
      <c r="E55" s="318"/>
      <c r="F55" s="318"/>
      <c r="G55" s="318"/>
      <c r="H55" s="318"/>
      <c r="I55" s="318"/>
      <c r="J55" s="318"/>
      <c r="K55" s="35"/>
      <c r="L55" s="268"/>
      <c r="M55" s="35"/>
      <c r="N55" s="35"/>
      <c r="O55" s="35"/>
      <c r="P55" s="35"/>
      <c r="Q55" s="35"/>
      <c r="R55" s="35"/>
      <c r="S55" s="35"/>
      <c r="T55" s="35"/>
      <c r="U55" s="35"/>
      <c r="V55" s="89"/>
    </row>
    <row r="56" spans="1:24" ht="15" customHeight="1" x14ac:dyDescent="0.25">
      <c r="A56" s="86"/>
      <c r="B56" s="319"/>
      <c r="C56" s="319"/>
      <c r="D56" s="319"/>
      <c r="E56" s="319"/>
      <c r="F56" s="319"/>
      <c r="G56" s="319"/>
      <c r="H56" s="319"/>
      <c r="I56" s="319"/>
      <c r="J56" s="319"/>
      <c r="K56" s="35"/>
      <c r="L56" s="268"/>
      <c r="M56" s="35"/>
      <c r="N56" s="35"/>
      <c r="O56" s="35"/>
      <c r="P56" s="35"/>
      <c r="Q56" s="35"/>
      <c r="R56" s="35"/>
      <c r="S56" s="35"/>
      <c r="T56" s="35"/>
      <c r="U56" s="35"/>
      <c r="V56" s="89"/>
    </row>
  </sheetData>
  <mergeCells count="5">
    <mergeCell ref="A7:E7"/>
    <mergeCell ref="F7:G7"/>
    <mergeCell ref="R9:S9"/>
    <mergeCell ref="B55:J55"/>
    <mergeCell ref="B56:J56"/>
  </mergeCells>
  <pageMargins left="0" right="0" top="1" bottom="0" header="0.511811023622047" footer="0.511811023622047"/>
  <pageSetup paperSize="9" scale="34" fitToHeight="0" orientation="portrait" r:id="rId1"/>
  <headerFooter>
    <oddFooter>&amp;C&amp;"Calibri,Bold Italic"&amp;16&amp;K03-015Thank you for your business!&amp;14
&amp;"Calibri,Italic"If you have any questions about this invoice, please contact
&amp;"Calibri,Bold Italic"Sales Rep at (713) 802-0313 or www.americanstarus.com.&amp;R&amp;P</oddFooter>
  </headerFooter>
  <colBreaks count="2" manualBreakCount="2">
    <brk id="4" max="1048575" man="1"/>
    <brk id="6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4F8F48A-053C-42E0-8F6F-280008EB1C24}">
          <x14:formula1>
            <xm:f>'SIZE GUIDE'!$B:$B</xm:f>
          </x14:formula1>
          <xm:sqref>G46 F15:F48</xm:sqref>
        </x14:dataValidation>
        <x14:dataValidation type="list" errorStyle="information" allowBlank="1" showInputMessage="1" xr:uid="{9E8CC8F7-CB38-46A8-856D-C39CD83F6517}">
          <x14:formula1>
            <xm:f>CODE_MASTER_AS!$A$3:$A$14</xm:f>
          </x14:formula1>
          <xm:sqref>C47:C48 F46:G46 C15:C45</xm:sqref>
        </x14:dataValidation>
        <x14:dataValidation type="list" allowBlank="1" xr:uid="{4828EAED-1CE6-4F02-A7CF-3BAA02F9BEB3}">
          <x14:formula1>
            <xm:f>LISTS!$B$2:$B$8</xm:f>
          </x14:formula1>
          <x14:formula2>
            <xm:f>0</xm:f>
          </x14:formula2>
          <xm:sqref>H39:H48</xm:sqref>
        </x14:dataValidation>
        <x14:dataValidation type="list" allowBlank="1" xr:uid="{44BAFCEB-B3E4-45A2-83C9-96A4CBA6B205}">
          <x14:formula1>
            <xm:f>'SIZE GUIDE'!$A$3:$A$38</xm:f>
          </x14:formula1>
          <xm:sqref>E15:E48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D11"/>
  <sheetViews>
    <sheetView zoomScaleNormal="100" workbookViewId="0"/>
  </sheetViews>
  <sheetFormatPr baseColWidth="10" defaultColWidth="8.6640625" defaultRowHeight="15" customHeight="1" x14ac:dyDescent="0.2"/>
  <sheetData>
    <row r="1" spans="1:4" ht="15" customHeight="1" x14ac:dyDescent="0.2">
      <c r="A1" t="s">
        <v>1</v>
      </c>
      <c r="B1" t="s">
        <v>2</v>
      </c>
      <c r="C1" t="s">
        <v>42</v>
      </c>
      <c r="D1" t="s">
        <v>6</v>
      </c>
    </row>
    <row r="2" spans="1:4" ht="15" customHeight="1" x14ac:dyDescent="0.2">
      <c r="A2" t="s">
        <v>43</v>
      </c>
      <c r="B2" t="s">
        <v>44</v>
      </c>
      <c r="C2">
        <v>43</v>
      </c>
      <c r="D2">
        <v>0.25</v>
      </c>
    </row>
    <row r="3" spans="1:4" ht="15" customHeight="1" x14ac:dyDescent="0.2">
      <c r="A3" t="s">
        <v>45</v>
      </c>
      <c r="B3" t="s">
        <v>46</v>
      </c>
      <c r="C3">
        <v>45</v>
      </c>
    </row>
    <row r="4" spans="1:4" ht="15" customHeight="1" x14ac:dyDescent="0.2">
      <c r="A4" t="s">
        <v>47</v>
      </c>
      <c r="B4" t="s">
        <v>48</v>
      </c>
      <c r="C4">
        <v>41</v>
      </c>
    </row>
    <row r="5" spans="1:4" ht="15" customHeight="1" x14ac:dyDescent="0.2">
      <c r="A5" t="s">
        <v>49</v>
      </c>
      <c r="B5" t="s">
        <v>50</v>
      </c>
      <c r="C5">
        <v>44</v>
      </c>
    </row>
    <row r="6" spans="1:4" ht="15" customHeight="1" x14ac:dyDescent="0.2">
      <c r="A6" t="s">
        <v>51</v>
      </c>
      <c r="B6" t="s">
        <v>52</v>
      </c>
      <c r="C6">
        <v>44</v>
      </c>
    </row>
    <row r="7" spans="1:4" ht="15" customHeight="1" x14ac:dyDescent="0.2">
      <c r="A7" t="s">
        <v>53</v>
      </c>
      <c r="B7" t="s">
        <v>54</v>
      </c>
      <c r="C7">
        <v>40</v>
      </c>
    </row>
    <row r="8" spans="1:4" ht="15" customHeight="1" x14ac:dyDescent="0.2">
      <c r="A8" t="s">
        <v>55</v>
      </c>
      <c r="B8" t="s">
        <v>56</v>
      </c>
      <c r="C8">
        <v>41</v>
      </c>
    </row>
    <row r="9" spans="1:4" ht="15" customHeight="1" x14ac:dyDescent="0.2">
      <c r="A9" t="s">
        <v>57</v>
      </c>
      <c r="B9" t="s">
        <v>58</v>
      </c>
      <c r="C9">
        <v>41</v>
      </c>
    </row>
    <row r="10" spans="1:4" ht="15" customHeight="1" x14ac:dyDescent="0.2">
      <c r="A10" t="s">
        <v>59</v>
      </c>
      <c r="B10" t="s">
        <v>60</v>
      </c>
      <c r="C10">
        <v>32</v>
      </c>
    </row>
    <row r="11" spans="1:4" ht="15" customHeight="1" x14ac:dyDescent="0.2">
      <c r="A11" t="s">
        <v>61</v>
      </c>
      <c r="B11" t="s">
        <v>62</v>
      </c>
      <c r="C11">
        <v>32</v>
      </c>
    </row>
  </sheetData>
  <pageMargins left="0.75" right="0.75" top="1" bottom="1" header="0.511811023622047" footer="0.511811023622047"/>
  <pageSetup paperSize="9" orientation="portrait" horizontalDpi="300" verticalDpi="3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F22"/>
  <sheetViews>
    <sheetView zoomScaleNormal="100" workbookViewId="0"/>
  </sheetViews>
  <sheetFormatPr baseColWidth="10" defaultColWidth="8.6640625" defaultRowHeight="15" customHeight="1" x14ac:dyDescent="0.2"/>
  <sheetData>
    <row r="1" spans="1:6" ht="15" customHeight="1" x14ac:dyDescent="0.2">
      <c r="A1" t="s">
        <v>63</v>
      </c>
      <c r="B1" t="s">
        <v>3</v>
      </c>
      <c r="C1" t="s">
        <v>4</v>
      </c>
      <c r="D1" t="s">
        <v>9</v>
      </c>
      <c r="E1" t="s">
        <v>10</v>
      </c>
      <c r="F1" t="s">
        <v>64</v>
      </c>
    </row>
    <row r="2" spans="1:6" ht="15" customHeight="1" x14ac:dyDescent="0.2">
      <c r="A2" t="s">
        <v>65</v>
      </c>
      <c r="B2" t="s">
        <v>11</v>
      </c>
      <c r="C2" t="s">
        <v>12</v>
      </c>
      <c r="D2">
        <v>38</v>
      </c>
      <c r="E2">
        <v>75</v>
      </c>
      <c r="F2" t="s">
        <v>13</v>
      </c>
    </row>
    <row r="3" spans="1:6" ht="15" customHeight="1" x14ac:dyDescent="0.2">
      <c r="A3" t="s">
        <v>66</v>
      </c>
      <c r="B3" t="s">
        <v>11</v>
      </c>
      <c r="C3" t="s">
        <v>14</v>
      </c>
      <c r="D3">
        <v>54</v>
      </c>
      <c r="E3">
        <v>75</v>
      </c>
      <c r="F3" t="s">
        <v>15</v>
      </c>
    </row>
    <row r="4" spans="1:6" ht="15" customHeight="1" x14ac:dyDescent="0.2">
      <c r="A4" t="s">
        <v>67</v>
      </c>
      <c r="B4" t="s">
        <v>11</v>
      </c>
      <c r="C4" t="s">
        <v>16</v>
      </c>
      <c r="D4">
        <v>60</v>
      </c>
      <c r="E4">
        <v>80</v>
      </c>
      <c r="F4" t="s">
        <v>17</v>
      </c>
    </row>
    <row r="5" spans="1:6" ht="15" customHeight="1" x14ac:dyDescent="0.2">
      <c r="A5" t="s">
        <v>68</v>
      </c>
      <c r="B5" t="s">
        <v>11</v>
      </c>
      <c r="C5" t="s">
        <v>18</v>
      </c>
      <c r="D5">
        <v>76</v>
      </c>
      <c r="E5">
        <v>80</v>
      </c>
      <c r="F5" t="s">
        <v>19</v>
      </c>
    </row>
    <row r="6" spans="1:6" ht="15" customHeight="1" x14ac:dyDescent="0.2">
      <c r="A6" t="s">
        <v>69</v>
      </c>
      <c r="B6" t="s">
        <v>11</v>
      </c>
      <c r="C6" t="s">
        <v>20</v>
      </c>
      <c r="D6">
        <v>72</v>
      </c>
      <c r="E6">
        <v>84</v>
      </c>
      <c r="F6" t="s">
        <v>21</v>
      </c>
    </row>
    <row r="7" spans="1:6" ht="15" customHeight="1" x14ac:dyDescent="0.2">
      <c r="A7" t="s">
        <v>70</v>
      </c>
      <c r="B7" t="s">
        <v>11</v>
      </c>
      <c r="C7" t="s">
        <v>22</v>
      </c>
      <c r="D7">
        <v>36</v>
      </c>
      <c r="E7">
        <v>80</v>
      </c>
      <c r="F7" t="s">
        <v>23</v>
      </c>
    </row>
    <row r="8" spans="1:6" ht="15" customHeight="1" x14ac:dyDescent="0.2">
      <c r="A8" t="s">
        <v>71</v>
      </c>
      <c r="B8" t="s">
        <v>11</v>
      </c>
      <c r="C8" t="s">
        <v>24</v>
      </c>
      <c r="D8">
        <v>70</v>
      </c>
      <c r="E8">
        <v>80</v>
      </c>
      <c r="F8" t="s">
        <v>25</v>
      </c>
    </row>
    <row r="9" spans="1:6" ht="15" customHeight="1" x14ac:dyDescent="0.2">
      <c r="A9" t="s">
        <v>72</v>
      </c>
      <c r="B9" t="s">
        <v>26</v>
      </c>
      <c r="C9" t="s">
        <v>12</v>
      </c>
      <c r="D9">
        <v>37</v>
      </c>
      <c r="E9">
        <v>74</v>
      </c>
      <c r="F9" t="s">
        <v>27</v>
      </c>
    </row>
    <row r="10" spans="1:6" ht="15" customHeight="1" x14ac:dyDescent="0.2">
      <c r="A10" t="s">
        <v>73</v>
      </c>
      <c r="B10" t="s">
        <v>26</v>
      </c>
      <c r="C10" t="s">
        <v>14</v>
      </c>
      <c r="D10">
        <v>53</v>
      </c>
      <c r="E10">
        <v>74</v>
      </c>
      <c r="F10" t="s">
        <v>28</v>
      </c>
    </row>
    <row r="11" spans="1:6" ht="15" customHeight="1" x14ac:dyDescent="0.2">
      <c r="A11" t="s">
        <v>74</v>
      </c>
      <c r="B11" t="s">
        <v>26</v>
      </c>
      <c r="C11" t="s">
        <v>16</v>
      </c>
      <c r="D11">
        <v>59</v>
      </c>
      <c r="E11">
        <v>79</v>
      </c>
      <c r="F11" t="s">
        <v>29</v>
      </c>
    </row>
    <row r="12" spans="1:6" ht="15" customHeight="1" x14ac:dyDescent="0.2">
      <c r="A12" t="s">
        <v>75</v>
      </c>
      <c r="B12" t="s">
        <v>26</v>
      </c>
      <c r="C12" t="s">
        <v>18</v>
      </c>
      <c r="D12">
        <v>75</v>
      </c>
      <c r="E12">
        <v>79</v>
      </c>
      <c r="F12" t="s">
        <v>30</v>
      </c>
    </row>
    <row r="13" spans="1:6" ht="15" customHeight="1" x14ac:dyDescent="0.2">
      <c r="A13" t="s">
        <v>76</v>
      </c>
      <c r="B13" t="s">
        <v>26</v>
      </c>
      <c r="C13" t="s">
        <v>20</v>
      </c>
      <c r="D13">
        <v>71</v>
      </c>
      <c r="E13">
        <v>83</v>
      </c>
      <c r="F13" t="s">
        <v>31</v>
      </c>
    </row>
    <row r="14" spans="1:6" ht="15" customHeight="1" x14ac:dyDescent="0.2">
      <c r="A14" t="s">
        <v>77</v>
      </c>
      <c r="B14" t="s">
        <v>26</v>
      </c>
      <c r="C14" t="s">
        <v>22</v>
      </c>
      <c r="D14">
        <v>35</v>
      </c>
      <c r="E14">
        <v>79</v>
      </c>
      <c r="F14" t="s">
        <v>32</v>
      </c>
    </row>
    <row r="15" spans="1:6" ht="15" customHeight="1" x14ac:dyDescent="0.2">
      <c r="A15" t="s">
        <v>78</v>
      </c>
      <c r="B15" t="s">
        <v>26</v>
      </c>
      <c r="C15" t="s">
        <v>24</v>
      </c>
      <c r="D15">
        <v>69</v>
      </c>
      <c r="E15">
        <v>79</v>
      </c>
      <c r="F15" t="s">
        <v>33</v>
      </c>
    </row>
    <row r="16" spans="1:6" ht="15" customHeight="1" x14ac:dyDescent="0.2">
      <c r="A16" t="s">
        <v>79</v>
      </c>
      <c r="B16" t="s">
        <v>34</v>
      </c>
      <c r="C16" t="s">
        <v>12</v>
      </c>
      <c r="D16">
        <v>37</v>
      </c>
      <c r="E16">
        <v>74</v>
      </c>
      <c r="F16" t="s">
        <v>35</v>
      </c>
    </row>
    <row r="17" spans="1:6" ht="15" customHeight="1" x14ac:dyDescent="0.2">
      <c r="A17" t="s">
        <v>80</v>
      </c>
      <c r="B17" t="s">
        <v>34</v>
      </c>
      <c r="C17" t="s">
        <v>14</v>
      </c>
      <c r="D17">
        <v>53</v>
      </c>
      <c r="E17">
        <v>74</v>
      </c>
      <c r="F17" t="s">
        <v>36</v>
      </c>
    </row>
    <row r="18" spans="1:6" ht="15" customHeight="1" x14ac:dyDescent="0.2">
      <c r="A18" t="s">
        <v>81</v>
      </c>
      <c r="B18" t="s">
        <v>34</v>
      </c>
      <c r="C18" t="s">
        <v>16</v>
      </c>
      <c r="D18">
        <v>59</v>
      </c>
      <c r="E18">
        <v>79</v>
      </c>
      <c r="F18" t="s">
        <v>37</v>
      </c>
    </row>
    <row r="19" spans="1:6" ht="15" customHeight="1" x14ac:dyDescent="0.2">
      <c r="A19" t="s">
        <v>82</v>
      </c>
      <c r="B19" t="s">
        <v>34</v>
      </c>
      <c r="C19" t="s">
        <v>18</v>
      </c>
      <c r="D19">
        <v>75</v>
      </c>
      <c r="E19">
        <v>79</v>
      </c>
      <c r="F19" t="s">
        <v>38</v>
      </c>
    </row>
    <row r="20" spans="1:6" ht="15" customHeight="1" x14ac:dyDescent="0.2">
      <c r="A20" t="s">
        <v>83</v>
      </c>
      <c r="B20" t="s">
        <v>34</v>
      </c>
      <c r="C20" t="s">
        <v>20</v>
      </c>
      <c r="D20">
        <v>71</v>
      </c>
      <c r="E20">
        <v>83</v>
      </c>
      <c r="F20" t="s">
        <v>39</v>
      </c>
    </row>
    <row r="21" spans="1:6" ht="15" customHeight="1" x14ac:dyDescent="0.2">
      <c r="A21" t="s">
        <v>84</v>
      </c>
      <c r="B21" t="s">
        <v>34</v>
      </c>
      <c r="C21" t="s">
        <v>22</v>
      </c>
      <c r="D21">
        <v>35</v>
      </c>
      <c r="E21">
        <v>79</v>
      </c>
      <c r="F21" t="s">
        <v>40</v>
      </c>
    </row>
    <row r="22" spans="1:6" ht="15" customHeight="1" x14ac:dyDescent="0.2">
      <c r="A22" t="s">
        <v>85</v>
      </c>
      <c r="B22" t="s">
        <v>34</v>
      </c>
      <c r="C22" t="s">
        <v>24</v>
      </c>
      <c r="D22">
        <v>69</v>
      </c>
      <c r="E22">
        <v>79</v>
      </c>
      <c r="F22" t="s">
        <v>41</v>
      </c>
    </row>
  </sheetData>
  <pageMargins left="0.75" right="0.75" top="1" bottom="1" header="0.511811023622047" footer="0.511811023622047"/>
  <pageSetup paperSize="9" orientation="portrait" horizontalDpi="300" verticalDpi="30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B8"/>
  <sheetViews>
    <sheetView zoomScaleNormal="100" workbookViewId="0"/>
  </sheetViews>
  <sheetFormatPr baseColWidth="10" defaultColWidth="8.6640625" defaultRowHeight="15" customHeight="1" x14ac:dyDescent="0.2"/>
  <sheetData>
    <row r="1" spans="1:2" ht="15" customHeight="1" x14ac:dyDescent="0.2">
      <c r="A1" t="s">
        <v>86</v>
      </c>
      <c r="B1" t="s">
        <v>87</v>
      </c>
    </row>
    <row r="2" spans="1:2" ht="15" customHeight="1" x14ac:dyDescent="0.2">
      <c r="A2" t="s">
        <v>11</v>
      </c>
      <c r="B2" t="s">
        <v>12</v>
      </c>
    </row>
    <row r="3" spans="1:2" ht="15" customHeight="1" x14ac:dyDescent="0.2">
      <c r="A3" t="s">
        <v>26</v>
      </c>
      <c r="B3" t="s">
        <v>14</v>
      </c>
    </row>
    <row r="4" spans="1:2" ht="15" customHeight="1" x14ac:dyDescent="0.2">
      <c r="A4" t="s">
        <v>34</v>
      </c>
      <c r="B4" t="s">
        <v>16</v>
      </c>
    </row>
    <row r="5" spans="1:2" ht="15" customHeight="1" x14ac:dyDescent="0.2">
      <c r="B5" t="s">
        <v>18</v>
      </c>
    </row>
    <row r="6" spans="1:2" ht="15" customHeight="1" x14ac:dyDescent="0.2">
      <c r="B6" t="s">
        <v>20</v>
      </c>
    </row>
    <row r="7" spans="1:2" ht="15" customHeight="1" x14ac:dyDescent="0.2">
      <c r="B7" t="s">
        <v>22</v>
      </c>
    </row>
    <row r="8" spans="1:2" ht="15" customHeight="1" x14ac:dyDescent="0.2">
      <c r="B8" t="s">
        <v>24</v>
      </c>
    </row>
  </sheetData>
  <pageMargins left="0.75" right="0.75" top="1" bottom="1" header="0.511811023622047" footer="0.511811023622047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63</vt:i4>
      </vt:variant>
    </vt:vector>
  </HeadingPairs>
  <TitlesOfParts>
    <vt:vector size="101" baseType="lpstr">
      <vt:lpstr>DIAMOND</vt:lpstr>
      <vt:lpstr>CODE_PRICE</vt:lpstr>
      <vt:lpstr>CODE_MASTER_AS</vt:lpstr>
      <vt:lpstr>SIZE GUIDE</vt:lpstr>
      <vt:lpstr>STERLING-W25-01</vt:lpstr>
      <vt:lpstr>DICKSON-W25_02</vt:lpstr>
      <vt:lpstr>COSICANA-TX0121-033</vt:lpstr>
      <vt:lpstr>COSICANA-TX0121-032</vt:lpstr>
      <vt:lpstr>STERLING-W25-02</vt:lpstr>
      <vt:lpstr>SIMON BEDDING-TR-W25-01</vt:lpstr>
      <vt:lpstr>DICKSON-W26_01</vt:lpstr>
      <vt:lpstr>STERLING-W26-01</vt:lpstr>
      <vt:lpstr>DICKSON-W26_02</vt:lpstr>
      <vt:lpstr>COSICANA-TX0121-034</vt:lpstr>
      <vt:lpstr>COSICANA-TX0121-035</vt:lpstr>
      <vt:lpstr>DICKSON-W26_03</vt:lpstr>
      <vt:lpstr>STERLING-W26-02</vt:lpstr>
      <vt:lpstr>STERLING-W27-01</vt:lpstr>
      <vt:lpstr>COSICANA-TX0121-036</vt:lpstr>
      <vt:lpstr>COSICANA-TX0121-037</vt:lpstr>
      <vt:lpstr>DIAMOND-SAMPLE</vt:lpstr>
      <vt:lpstr>STERLING-W28-01</vt:lpstr>
      <vt:lpstr>AP-W28</vt:lpstr>
      <vt:lpstr>DICKSON-W28_01</vt:lpstr>
      <vt:lpstr>COSICANA-TX0121-038</vt:lpstr>
      <vt:lpstr>COSICANA-TX0121-039</vt:lpstr>
      <vt:lpstr>STERLING-W28-02</vt:lpstr>
      <vt:lpstr>COSICANA-TX0121-040</vt:lpstr>
      <vt:lpstr>STERLING-W29-01</vt:lpstr>
      <vt:lpstr>DICKSON-W29_01</vt:lpstr>
      <vt:lpstr>STERLING-W29-02</vt:lpstr>
      <vt:lpstr>COSICANA-TX0121-041</vt:lpstr>
      <vt:lpstr>SOUTHWESTERN</vt:lpstr>
      <vt:lpstr>SIMON BEDDING_W20-01</vt:lpstr>
      <vt:lpstr>COSICANA-TX0121-042</vt:lpstr>
      <vt:lpstr>PRODUCT_DB</vt:lpstr>
      <vt:lpstr>SIZE_DB</vt:lpstr>
      <vt:lpstr>LISTS</vt:lpstr>
      <vt:lpstr>'AP-W28'!Print_Area</vt:lpstr>
      <vt:lpstr>'COSICANA-TX0121-032'!Print_Area</vt:lpstr>
      <vt:lpstr>'COSICANA-TX0121-033'!Print_Area</vt:lpstr>
      <vt:lpstr>'COSICANA-TX0121-034'!Print_Area</vt:lpstr>
      <vt:lpstr>'COSICANA-TX0121-035'!Print_Area</vt:lpstr>
      <vt:lpstr>'COSICANA-TX0121-036'!Print_Area</vt:lpstr>
      <vt:lpstr>'COSICANA-TX0121-037'!Print_Area</vt:lpstr>
      <vt:lpstr>'COSICANA-TX0121-038'!Print_Area</vt:lpstr>
      <vt:lpstr>'COSICANA-TX0121-039'!Print_Area</vt:lpstr>
      <vt:lpstr>'COSICANA-TX0121-040'!Print_Area</vt:lpstr>
      <vt:lpstr>'COSICANA-TX0121-041'!Print_Area</vt:lpstr>
      <vt:lpstr>'COSICANA-TX0121-042'!Print_Area</vt:lpstr>
      <vt:lpstr>DIAMOND!Print_Area</vt:lpstr>
      <vt:lpstr>'DIAMOND-SAMPLE'!Print_Area</vt:lpstr>
      <vt:lpstr>'DICKSON-W25_02'!Print_Area</vt:lpstr>
      <vt:lpstr>'DICKSON-W26_01'!Print_Area</vt:lpstr>
      <vt:lpstr>'DICKSON-W26_02'!Print_Area</vt:lpstr>
      <vt:lpstr>'DICKSON-W26_03'!Print_Area</vt:lpstr>
      <vt:lpstr>'DICKSON-W28_01'!Print_Area</vt:lpstr>
      <vt:lpstr>'DICKSON-W29_01'!Print_Area</vt:lpstr>
      <vt:lpstr>'SIMON BEDDING_W20-01'!Print_Area</vt:lpstr>
      <vt:lpstr>'SIMON BEDDING-TR-W25-01'!Print_Area</vt:lpstr>
      <vt:lpstr>SOUTHWESTERN!Print_Area</vt:lpstr>
      <vt:lpstr>'STERLING-W25-01'!Print_Area</vt:lpstr>
      <vt:lpstr>'STERLING-W25-02'!Print_Area</vt:lpstr>
      <vt:lpstr>'STERLING-W26-01'!Print_Area</vt:lpstr>
      <vt:lpstr>'STERLING-W26-02'!Print_Area</vt:lpstr>
      <vt:lpstr>'STERLING-W27-01'!Print_Area</vt:lpstr>
      <vt:lpstr>'STERLING-W28-01'!Print_Area</vt:lpstr>
      <vt:lpstr>'STERLING-W29-01'!Print_Area</vt:lpstr>
      <vt:lpstr>'STERLING-W29-02'!Print_Area</vt:lpstr>
      <vt:lpstr>'AP-W28'!Print_Titles</vt:lpstr>
      <vt:lpstr>'COSICANA-TX0121-032'!Print_Titles</vt:lpstr>
      <vt:lpstr>'COSICANA-TX0121-033'!Print_Titles</vt:lpstr>
      <vt:lpstr>'COSICANA-TX0121-034'!Print_Titles</vt:lpstr>
      <vt:lpstr>'COSICANA-TX0121-035'!Print_Titles</vt:lpstr>
      <vt:lpstr>'COSICANA-TX0121-036'!Print_Titles</vt:lpstr>
      <vt:lpstr>'COSICANA-TX0121-037'!Print_Titles</vt:lpstr>
      <vt:lpstr>'COSICANA-TX0121-038'!Print_Titles</vt:lpstr>
      <vt:lpstr>'COSICANA-TX0121-039'!Print_Titles</vt:lpstr>
      <vt:lpstr>'COSICANA-TX0121-040'!Print_Titles</vt:lpstr>
      <vt:lpstr>'COSICANA-TX0121-041'!Print_Titles</vt:lpstr>
      <vt:lpstr>'COSICANA-TX0121-042'!Print_Titles</vt:lpstr>
      <vt:lpstr>DIAMOND!Print_Titles</vt:lpstr>
      <vt:lpstr>'DIAMOND-SAMPLE'!Print_Titles</vt:lpstr>
      <vt:lpstr>'DICKSON-W25_02'!Print_Titles</vt:lpstr>
      <vt:lpstr>'DICKSON-W26_01'!Print_Titles</vt:lpstr>
      <vt:lpstr>'DICKSON-W26_02'!Print_Titles</vt:lpstr>
      <vt:lpstr>'DICKSON-W26_03'!Print_Titles</vt:lpstr>
      <vt:lpstr>'DICKSON-W28_01'!Print_Titles</vt:lpstr>
      <vt:lpstr>'DICKSON-W29_01'!Print_Titles</vt:lpstr>
      <vt:lpstr>'SIMON BEDDING_W20-01'!Print_Titles</vt:lpstr>
      <vt:lpstr>'SIMON BEDDING-TR-W25-01'!Print_Titles</vt:lpstr>
      <vt:lpstr>SOUTHWESTERN!Print_Titles</vt:lpstr>
      <vt:lpstr>'STERLING-W25-01'!Print_Titles</vt:lpstr>
      <vt:lpstr>'STERLING-W25-02'!Print_Titles</vt:lpstr>
      <vt:lpstr>'STERLING-W26-01'!Print_Titles</vt:lpstr>
      <vt:lpstr>'STERLING-W26-02'!Print_Titles</vt:lpstr>
      <vt:lpstr>'STERLING-W27-01'!Print_Titles</vt:lpstr>
      <vt:lpstr>'STERLING-W28-01'!Print_Titles</vt:lpstr>
      <vt:lpstr>'STERLING-W28-02'!Print_Titles</vt:lpstr>
      <vt:lpstr>'STERLING-W29-01'!Print_Titles</vt:lpstr>
      <vt:lpstr>'STERLING-W29-02'!Print_Titles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HAULE</dc:creator>
  <cp:lastModifiedBy>a3742</cp:lastModifiedBy>
  <cp:lastPrinted>2026-07-20T14:32:23Z</cp:lastPrinted>
  <dcterms:created xsi:type="dcterms:W3CDTF">2026-04-17T12:56:57Z</dcterms:created>
  <dcterms:modified xsi:type="dcterms:W3CDTF">2026-07-21T11:37:36Z</dcterms:modified>
</cp:coreProperties>
</file>

<file path=docProps/core0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2026-04-17T02:18:46Z</dcterms:created>
  <dc:creator>openpyxl</dc:creator>
  <dc:description/>
  <dc:language>en-US</dc:language>
  <cp:lastModifiedBy/>
  <dcterms:modified xsi:type="dcterms:W3CDTF">2026-04-17T02:18:46Z</dcterms:modified>
  <cp:revision>0</cp:revision>
  <dc:subject/>
  <dc:title/>
</cp:coreProperties>
</file>